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3" sheetId="5" state="visible" r:id="rId5"/>
    <sheet xmlns:r="http://schemas.openxmlformats.org/officeDocument/2006/relationships" name="4" sheetId="6" state="visible" r:id="rId6"/>
    <sheet xmlns:r="http://schemas.openxmlformats.org/officeDocument/2006/relationships" name="5" sheetId="7" state="visible" r:id="rId7"/>
    <sheet xmlns:r="http://schemas.openxmlformats.org/officeDocument/2006/relationships" name="6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16" sheetId="18" state="visible" r:id="rId18"/>
    <sheet xmlns:r="http://schemas.openxmlformats.org/officeDocument/2006/relationships" name="17" sheetId="19" state="visible" r:id="rId19"/>
    <sheet xmlns:r="http://schemas.openxmlformats.org/officeDocument/2006/relationships" name="18" sheetId="20" state="visible" r:id="rId20"/>
    <sheet xmlns:r="http://schemas.openxmlformats.org/officeDocument/2006/relationships" name="19" sheetId="21" state="visible" r:id="rId21"/>
    <sheet xmlns:r="http://schemas.openxmlformats.org/officeDocument/2006/relationships" name="20" sheetId="22" state="visible" r:id="rId22"/>
    <sheet xmlns:r="http://schemas.openxmlformats.org/officeDocument/2006/relationships" name="21" sheetId="23" state="visible" r:id="rId23"/>
    <sheet xmlns:r="http://schemas.openxmlformats.org/officeDocument/2006/relationships" name="22" sheetId="24" state="visible" r:id="rId24"/>
    <sheet xmlns:r="http://schemas.openxmlformats.org/officeDocument/2006/relationships" name="23" sheetId="25" state="visible" r:id="rId25"/>
    <sheet xmlns:r="http://schemas.openxmlformats.org/officeDocument/2006/relationships" name="24" sheetId="26" state="visible" r:id="rId26"/>
    <sheet xmlns:r="http://schemas.openxmlformats.org/officeDocument/2006/relationships" name="25" sheetId="27" state="visible" r:id="rId27"/>
    <sheet xmlns:r="http://schemas.openxmlformats.org/officeDocument/2006/relationships" name="26" sheetId="28" state="visible" r:id="rId28"/>
    <sheet xmlns:r="http://schemas.openxmlformats.org/officeDocument/2006/relationships" name="27" sheetId="29" state="visible" r:id="rId29"/>
    <sheet xmlns:r="http://schemas.openxmlformats.org/officeDocument/2006/relationships" name="28" sheetId="30" state="visible" r:id="rId30"/>
    <sheet xmlns:r="http://schemas.openxmlformats.org/officeDocument/2006/relationships" name="29" sheetId="31" state="visible" r:id="rId31"/>
    <sheet xmlns:r="http://schemas.openxmlformats.org/officeDocument/2006/relationships" name="30" sheetId="32" state="visible" r:id="rId32"/>
    <sheet xmlns:r="http://schemas.openxmlformats.org/officeDocument/2006/relationships" name="31" sheetId="33" state="visible" r:id="rId33"/>
    <sheet xmlns:r="http://schemas.openxmlformats.org/officeDocument/2006/relationships" name="32" sheetId="34" state="visible" r:id="rId34"/>
    <sheet xmlns:r="http://schemas.openxmlformats.org/officeDocument/2006/relationships" name="33" sheetId="35" state="visible" r:id="rId35"/>
    <sheet xmlns:r="http://schemas.openxmlformats.org/officeDocument/2006/relationships" name="34" sheetId="36" state="visible" r:id="rId36"/>
    <sheet xmlns:r="http://schemas.openxmlformats.org/officeDocument/2006/relationships" name="35" sheetId="37" state="visible" r:id="rId37"/>
    <sheet xmlns:r="http://schemas.openxmlformats.org/officeDocument/2006/relationships" name="36" sheetId="38" state="visible" r:id="rId38"/>
    <sheet xmlns:r="http://schemas.openxmlformats.org/officeDocument/2006/relationships" name="37" sheetId="39" state="visible" r:id="rId39"/>
    <sheet xmlns:r="http://schemas.openxmlformats.org/officeDocument/2006/relationships" name="38" sheetId="40" state="visible" r:id="rId40"/>
    <sheet xmlns:r="http://schemas.openxmlformats.org/officeDocument/2006/relationships" name="39" sheetId="41" state="visible" r:id="rId41"/>
    <sheet xmlns:r="http://schemas.openxmlformats.org/officeDocument/2006/relationships" name="40" sheetId="42" state="visible" r:id="rId42"/>
    <sheet xmlns:r="http://schemas.openxmlformats.org/officeDocument/2006/relationships" name="41" sheetId="43" state="visible" r:id="rId43"/>
    <sheet xmlns:r="http://schemas.openxmlformats.org/officeDocument/2006/relationships" name="42" sheetId="44" state="visible" r:id="rId44"/>
    <sheet xmlns:r="http://schemas.openxmlformats.org/officeDocument/2006/relationships" name="43" sheetId="45" state="visible" r:id="rId45"/>
    <sheet xmlns:r="http://schemas.openxmlformats.org/officeDocument/2006/relationships" name="44" sheetId="46" state="visible" r:id="rId46"/>
    <sheet xmlns:r="http://schemas.openxmlformats.org/officeDocument/2006/relationships" name="45" sheetId="47" state="visible" r:id="rId47"/>
    <sheet xmlns:r="http://schemas.openxmlformats.org/officeDocument/2006/relationships" name="46" sheetId="48" state="visible" r:id="rId48"/>
    <sheet xmlns:r="http://schemas.openxmlformats.org/officeDocument/2006/relationships" name="47" sheetId="49" state="visible" r:id="rId49"/>
    <sheet xmlns:r="http://schemas.openxmlformats.org/officeDocument/2006/relationships" name="48" sheetId="50" state="visible" r:id="rId50"/>
    <sheet xmlns:r="http://schemas.openxmlformats.org/officeDocument/2006/relationships" name="49" sheetId="51" state="visible" r:id="rId51"/>
    <sheet xmlns:r="http://schemas.openxmlformats.org/officeDocument/2006/relationships" name="50" sheetId="52" state="visible" r:id="rId52"/>
    <sheet xmlns:r="http://schemas.openxmlformats.org/officeDocument/2006/relationships" name="51" sheetId="53" state="visible" r:id="rId53"/>
    <sheet xmlns:r="http://schemas.openxmlformats.org/officeDocument/2006/relationships" name="52" sheetId="54" state="visible" r:id="rId54"/>
    <sheet xmlns:r="http://schemas.openxmlformats.org/officeDocument/2006/relationships" name="53" sheetId="55" state="visible" r:id="rId55"/>
    <sheet xmlns:r="http://schemas.openxmlformats.org/officeDocument/2006/relationships" name="54" sheetId="56" state="visible" r:id="rId56"/>
    <sheet xmlns:r="http://schemas.openxmlformats.org/officeDocument/2006/relationships" name="55" sheetId="57" state="visible" r:id="rId57"/>
    <sheet xmlns:r="http://schemas.openxmlformats.org/officeDocument/2006/relationships" name="56" sheetId="58" state="visible" r:id="rId58"/>
    <sheet xmlns:r="http://schemas.openxmlformats.org/officeDocument/2006/relationships" name="57" sheetId="59" state="visible" r:id="rId59"/>
    <sheet xmlns:r="http://schemas.openxmlformats.org/officeDocument/2006/relationships" name="58" sheetId="60" state="visible" r:id="rId60"/>
    <sheet xmlns:r="http://schemas.openxmlformats.org/officeDocument/2006/relationships" name="59" sheetId="61" state="visible" r:id="rId61"/>
    <sheet xmlns:r="http://schemas.openxmlformats.org/officeDocument/2006/relationships" name="60" sheetId="62" state="visible" r:id="rId62"/>
    <sheet xmlns:r="http://schemas.openxmlformats.org/officeDocument/2006/relationships" name="61" sheetId="63" state="visible" r:id="rId63"/>
    <sheet xmlns:r="http://schemas.openxmlformats.org/officeDocument/2006/relationships" name="62" sheetId="64" state="visible" r:id="rId64"/>
    <sheet xmlns:r="http://schemas.openxmlformats.org/officeDocument/2006/relationships" name="63" sheetId="65" state="visible" r:id="rId65"/>
    <sheet xmlns:r="http://schemas.openxmlformats.org/officeDocument/2006/relationships" name="64" sheetId="66" state="visible" r:id="rId66"/>
    <sheet xmlns:r="http://schemas.openxmlformats.org/officeDocument/2006/relationships" name="65" sheetId="67" state="visible" r:id="rId67"/>
    <sheet xmlns:r="http://schemas.openxmlformats.org/officeDocument/2006/relationships" name="66" sheetId="68" state="visible" r:id="rId68"/>
    <sheet xmlns:r="http://schemas.openxmlformats.org/officeDocument/2006/relationships" name="67" sheetId="69" state="visible" r:id="rId69"/>
    <sheet xmlns:r="http://schemas.openxmlformats.org/officeDocument/2006/relationships" name="68" sheetId="70" state="visible" r:id="rId70"/>
    <sheet xmlns:r="http://schemas.openxmlformats.org/officeDocument/2006/relationships" name="69" sheetId="71" state="visible" r:id="rId71"/>
    <sheet xmlns:r="http://schemas.openxmlformats.org/officeDocument/2006/relationships" name="70" sheetId="72" state="visible" r:id="rId72"/>
    <sheet xmlns:r="http://schemas.openxmlformats.org/officeDocument/2006/relationships" name="71" sheetId="73" state="visible" r:id="rId73"/>
    <sheet xmlns:r="http://schemas.openxmlformats.org/officeDocument/2006/relationships" name="72" sheetId="74" state="visible" r:id="rId74"/>
    <sheet xmlns:r="http://schemas.openxmlformats.org/officeDocument/2006/relationships" name="73" sheetId="75" state="visible" r:id="rId75"/>
    <sheet xmlns:r="http://schemas.openxmlformats.org/officeDocument/2006/relationships" name="74" sheetId="76" state="visible" r:id="rId76"/>
    <sheet xmlns:r="http://schemas.openxmlformats.org/officeDocument/2006/relationships" name="75" sheetId="77" state="visible" r:id="rId77"/>
    <sheet xmlns:r="http://schemas.openxmlformats.org/officeDocument/2006/relationships" name="76" sheetId="78" state="visible" r:id="rId78"/>
    <sheet xmlns:r="http://schemas.openxmlformats.org/officeDocument/2006/relationships" name="77" sheetId="79" state="visible" r:id="rId79"/>
    <sheet xmlns:r="http://schemas.openxmlformats.org/officeDocument/2006/relationships" name="78" sheetId="80" state="visible" r:id="rId80"/>
    <sheet xmlns:r="http://schemas.openxmlformats.org/officeDocument/2006/relationships" name="79" sheetId="81" state="visible" r:id="rId81"/>
    <sheet xmlns:r="http://schemas.openxmlformats.org/officeDocument/2006/relationships" name="80" sheetId="82" state="visible" r:id="rId82"/>
    <sheet xmlns:r="http://schemas.openxmlformats.org/officeDocument/2006/relationships" name="81" sheetId="83" state="visible" r:id="rId83"/>
    <sheet xmlns:r="http://schemas.openxmlformats.org/officeDocument/2006/relationships" name="82" sheetId="84" state="visible" r:id="rId84"/>
    <sheet xmlns:r="http://schemas.openxmlformats.org/officeDocument/2006/relationships" name="83" sheetId="85" state="visible" r:id="rId85"/>
    <sheet xmlns:r="http://schemas.openxmlformats.org/officeDocument/2006/relationships" name="84" sheetId="86" state="visible" r:id="rId86"/>
    <sheet xmlns:r="http://schemas.openxmlformats.org/officeDocument/2006/relationships" name="85" sheetId="87" state="visible" r:id="rId87"/>
    <sheet xmlns:r="http://schemas.openxmlformats.org/officeDocument/2006/relationships" name="86" sheetId="88" state="visible" r:id="rId88"/>
    <sheet xmlns:r="http://schemas.openxmlformats.org/officeDocument/2006/relationships" name="87" sheetId="89" state="visible" r:id="rId89"/>
    <sheet xmlns:r="http://schemas.openxmlformats.org/officeDocument/2006/relationships" name="88" sheetId="90" state="visible" r:id="rId90"/>
    <sheet xmlns:r="http://schemas.openxmlformats.org/officeDocument/2006/relationships" name="89" sheetId="91" state="visible" r:id="rId91"/>
    <sheet xmlns:r="http://schemas.openxmlformats.org/officeDocument/2006/relationships" name="90" sheetId="92" state="visible" r:id="rId92"/>
    <sheet xmlns:r="http://schemas.openxmlformats.org/officeDocument/2006/relationships" name="91" sheetId="93" state="visible" r:id="rId93"/>
    <sheet xmlns:r="http://schemas.openxmlformats.org/officeDocument/2006/relationships" name="92" sheetId="94" state="visible" r:id="rId94"/>
    <sheet xmlns:r="http://schemas.openxmlformats.org/officeDocument/2006/relationships" name="93" sheetId="95" state="visible" r:id="rId95"/>
    <sheet xmlns:r="http://schemas.openxmlformats.org/officeDocument/2006/relationships" name="94" sheetId="96" state="visible" r:id="rId96"/>
    <sheet xmlns:r="http://schemas.openxmlformats.org/officeDocument/2006/relationships" name="95" sheetId="97" state="visible" r:id="rId97"/>
    <sheet xmlns:r="http://schemas.openxmlformats.org/officeDocument/2006/relationships" name="96" sheetId="98" state="visible" r:id="rId98"/>
    <sheet xmlns:r="http://schemas.openxmlformats.org/officeDocument/2006/relationships" name="97" sheetId="99" state="visible" r:id="rId99"/>
  </sheets>
  <definedNames>
    <definedName name="_xlnm._FilterDatabase" localSheetId="0" hidden="1">'main'!$B$1:$AF$271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0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rgb="FFFFFF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8" tint="-0.249977111117893"/>
      <sz val="11"/>
      <scheme val="minor"/>
    </font>
    <font>
      <name val="Calibri"/>
      <family val="2"/>
      <color theme="8" tint="-0.499984740745262"/>
      <sz val="11"/>
      <scheme val="minor"/>
    </font>
    <font>
      <name val="Calibri"/>
      <family val="2"/>
      <color theme="10"/>
      <sz val="16"/>
      <u val="single"/>
      <scheme val="minor"/>
    </font>
  </fonts>
  <fills count="2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lightGrid">
        <fgColor theme="4" tint="-0.249946592608417"/>
        <bgColor indexed="65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3">
    <xf numFmtId="0" fontId="1" fillId="0" borderId="0"/>
    <xf numFmtId="0" fontId="1" fillId="0" borderId="0"/>
    <xf numFmtId="0" fontId="1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2" borderId="4" applyAlignment="1" pivotButton="0" quotePrefix="0" xfId="0">
      <alignment vertical="top"/>
    </xf>
    <xf numFmtId="0" fontId="0" fillId="0" borderId="4" pivotButton="0" quotePrefix="0" xfId="0"/>
    <xf numFmtId="0" fontId="0" fillId="3" borderId="4" applyAlignment="1" pivotButton="0" quotePrefix="0" xfId="0">
      <alignment vertical="top"/>
    </xf>
    <xf numFmtId="0" fontId="2" fillId="4" borderId="4" pivotButton="0" quotePrefix="0" xfId="0"/>
    <xf numFmtId="0" fontId="0" fillId="5" borderId="4" applyAlignment="1" pivotButton="0" quotePrefix="0" xfId="0">
      <alignment vertical="top"/>
    </xf>
    <xf numFmtId="0" fontId="0" fillId="6" borderId="4" applyAlignment="1" pivotButton="0" quotePrefix="0" xfId="0">
      <alignment vertical="top"/>
    </xf>
    <xf numFmtId="0" fontId="0" fillId="7" borderId="4" applyAlignment="1" pivotButton="0" quotePrefix="0" xfId="0">
      <alignment vertical="top"/>
    </xf>
    <xf numFmtId="0" fontId="0" fillId="8" borderId="4" applyAlignment="1" pivotButton="0" quotePrefix="0" xfId="0">
      <alignment vertical="top"/>
    </xf>
    <xf numFmtId="0" fontId="4" fillId="2" borderId="4" applyAlignment="1" pivotButton="0" quotePrefix="0" xfId="0">
      <alignment vertical="top"/>
    </xf>
    <xf numFmtId="0" fontId="4" fillId="3" borderId="4" applyAlignment="1" pivotButton="0" quotePrefix="0" xfId="0">
      <alignment vertical="top"/>
    </xf>
    <xf numFmtId="0" fontId="4" fillId="5" borderId="4" applyAlignment="1" pivotButton="0" quotePrefix="0" xfId="0">
      <alignment vertical="top"/>
    </xf>
    <xf numFmtId="0" fontId="4" fillId="6" borderId="4" applyAlignment="1" pivotButton="0" quotePrefix="0" xfId="0">
      <alignment vertical="top"/>
    </xf>
    <xf numFmtId="0" fontId="5" fillId="7" borderId="4" applyAlignment="1" pivotButton="0" quotePrefix="0" xfId="0">
      <alignment vertical="top"/>
    </xf>
    <xf numFmtId="0" fontId="2" fillId="9" borderId="4" pivotButton="0" quotePrefix="0" xfId="0"/>
    <xf numFmtId="0" fontId="6" fillId="8" borderId="4" applyAlignment="1" pivotButton="0" quotePrefix="0" xfId="0">
      <alignment vertical="top"/>
    </xf>
    <xf numFmtId="0" fontId="2" fillId="10" borderId="4" pivotButton="0" quotePrefix="0" xfId="0"/>
    <xf numFmtId="0" fontId="2" fillId="11" borderId="4" pivotButton="0" quotePrefix="0" xfId="0"/>
    <xf numFmtId="0" fontId="2" fillId="0" borderId="4" pivotButton="0" quotePrefix="0" xfId="0"/>
    <xf numFmtId="0" fontId="2" fillId="12" borderId="4" pivotButton="0" quotePrefix="0" xfId="0"/>
    <xf numFmtId="0" fontId="2" fillId="13" borderId="4" pivotButton="0" quotePrefix="0" xfId="0"/>
    <xf numFmtId="0" fontId="2" fillId="14" borderId="4" pivotButton="0" quotePrefix="0" xfId="0"/>
    <xf numFmtId="0" fontId="8" fillId="15" borderId="0" pivotButton="0" quotePrefix="0" xfId="0"/>
    <xf numFmtId="14" fontId="8" fillId="16" borderId="0" pivotButton="0" quotePrefix="0" xfId="0"/>
    <xf numFmtId="0" fontId="8" fillId="17" borderId="0" pivotButton="0" quotePrefix="0" xfId="1"/>
    <xf numFmtId="14" fontId="8" fillId="18" borderId="0" pivotButton="0" quotePrefix="0" xfId="0"/>
    <xf numFmtId="0" fontId="8" fillId="15" borderId="0" pivotButton="0" quotePrefix="0" xfId="1"/>
    <xf numFmtId="0" fontId="0" fillId="0" borderId="0" pivotButton="0" quotePrefix="1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20" borderId="15" pivotButton="0" quotePrefix="0" xfId="0"/>
    <xf numFmtId="0" fontId="0" fillId="21" borderId="8" pivotButton="0" quotePrefix="0" xfId="0"/>
    <xf numFmtId="0" fontId="0" fillId="18" borderId="14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14" fontId="2" fillId="0" borderId="1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9" fillId="22" borderId="4" pivotButton="0" quotePrefix="0" xfId="0"/>
    <xf numFmtId="0" fontId="0" fillId="0" borderId="8" pivotButton="0" quotePrefix="0" xfId="0"/>
    <xf numFmtId="0" fontId="7" fillId="0" borderId="4" applyAlignment="1" pivotButton="0" quotePrefix="0" xfId="0">
      <alignment horizontal="center"/>
    </xf>
    <xf numFmtId="0" fontId="0" fillId="21" borderId="16" pivotButton="0" quotePrefix="0" xfId="0"/>
    <xf numFmtId="0" fontId="0" fillId="18" borderId="16" pivotButton="0" quotePrefix="0" xfId="0"/>
    <xf numFmtId="0" fontId="0" fillId="20" borderId="16" pivotButton="0" quotePrefix="0" xfId="0"/>
    <xf numFmtId="0" fontId="0" fillId="0" borderId="17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25" borderId="4" pivotButton="0" quotePrefix="0" xfId="0"/>
    <xf numFmtId="0" fontId="0" fillId="23" borderId="4" pivotButton="0" quotePrefix="0" xfId="0"/>
    <xf numFmtId="0" fontId="0" fillId="24" borderId="4" pivotButton="0" quotePrefix="0" xfId="0"/>
    <xf numFmtId="0" fontId="0" fillId="20" borderId="4" pivotButton="0" quotePrefix="0" xfId="0"/>
    <xf numFmtId="0" fontId="0" fillId="19" borderId="4" pivotButton="0" quotePrefix="0" xfId="0"/>
    <xf numFmtId="0" fontId="0" fillId="20" borderId="0" pivotButton="0" quotePrefix="0" xfId="0"/>
    <xf numFmtId="0" fontId="0" fillId="19" borderId="0" pivotButton="0" quotePrefix="0" xfId="0"/>
    <xf numFmtId="0" fontId="10" fillId="0" borderId="0" pivotButton="0" quotePrefix="0" xfId="2"/>
    <xf numFmtId="0" fontId="3" fillId="0" borderId="0" pivotButton="0" quotePrefix="0" xfId="0"/>
    <xf numFmtId="0" fontId="0" fillId="0" borderId="18" pivotButton="0" quotePrefix="0" xfId="0"/>
    <xf numFmtId="0" fontId="0" fillId="0" borderId="17" pivotButton="0" quotePrefix="0" xfId="0"/>
    <xf numFmtId="0" fontId="3" fillId="0" borderId="19" pivotButton="0" quotePrefix="0" xfId="0"/>
    <xf numFmtId="0" fontId="1" fillId="0" borderId="4" pivotButton="0" quotePrefix="0" xfId="0"/>
    <xf numFmtId="0" fontId="0" fillId="0" borderId="0" applyAlignment="1" pivotButton="0" quotePrefix="0" xfId="0">
      <alignment wrapText="1"/>
    </xf>
    <xf numFmtId="0" fontId="11" fillId="0" borderId="4" pivotButton="0" quotePrefix="0" xfId="0"/>
    <xf numFmtId="0" fontId="0" fillId="0" borderId="4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2" fillId="0" borderId="0" pivotButton="0" quotePrefix="0" xfId="0"/>
    <xf numFmtId="0" fontId="13" fillId="0" borderId="0" applyAlignment="1" pivotButton="0" quotePrefix="0" xfId="2">
      <alignment horizontal="center" vertical="center"/>
    </xf>
    <xf numFmtId="0" fontId="0" fillId="21" borderId="16" applyAlignment="1" pivotButton="0" quotePrefix="0" xfId="0">
      <alignment horizontal="center"/>
    </xf>
    <xf numFmtId="0" fontId="0" fillId="18" borderId="16" applyAlignment="1" pivotButton="0" quotePrefix="0" xfId="0">
      <alignment horizontal="center"/>
    </xf>
    <xf numFmtId="0" fontId="0" fillId="20" borderId="16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0" fontId="0" fillId="0" borderId="11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0" applyAlignment="1" pivotButton="0" quotePrefix="0" xfId="0">
      <alignment horizontal="right"/>
    </xf>
    <xf numFmtId="0" fontId="0" fillId="0" borderId="26" applyAlignment="1" pivotButton="0" quotePrefix="0" xfId="0">
      <alignment wrapText="1"/>
    </xf>
    <xf numFmtId="0" fontId="0" fillId="0" borderId="16" pivotButton="0" quotePrefix="0" xfId="0"/>
    <xf numFmtId="0" fontId="0" fillId="19" borderId="1" applyAlignment="1" pivotButton="0" quotePrefix="0" xfId="0">
      <alignment horizontal="center" vertical="center"/>
    </xf>
    <xf numFmtId="0" fontId="0" fillId="19" borderId="8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8" borderId="8" applyAlignment="1" pivotButton="0" quotePrefix="0" xfId="0">
      <alignment horizontal="center" vertical="center"/>
    </xf>
    <xf numFmtId="0" fontId="0" fillId="18" borderId="5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0" borderId="8" applyAlignment="1" pivotButton="0" quotePrefix="0" xfId="0">
      <alignment horizontal="center" vertical="center"/>
    </xf>
    <xf numFmtId="0" fontId="0" fillId="20" borderId="5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</cellXfs>
  <cellStyles count="3">
    <cellStyle name="Normal" xfId="0" builtinId="0"/>
    <cellStyle name="Normal 2" xfId="1"/>
    <cellStyle name="Hyperlink" xfId="2" builtinId="8"/>
  </cellStyles>
  <dxfs count="24">
    <dxf>
      <fill>
        <patternFill>
          <bgColor theme="9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auto="1"/>
      </font>
      <fill>
        <patternFill patternType="lightGrid">
          <fgColor rgb="FFFF8585"/>
          <bgColor theme="0"/>
        </patternFill>
      </fill>
    </dxf>
    <dxf>
      <font>
        <b val="1"/>
        <color auto="1"/>
      </font>
      <fill>
        <patternFill patternType="lightGrid">
          <fgColor theme="8" tint="-0.249946592608417"/>
          <bgColor theme="0"/>
        </patternFill>
      </fill>
    </dxf>
    <dxf>
      <font>
        <b val="1"/>
        <color auto="1"/>
      </font>
      <fill>
        <patternFill patternType="solid">
          <fgColor theme="8" tint="-0.249946592608417"/>
          <bgColor rgb="FFFFFF00"/>
        </patternFill>
      </fill>
    </dxf>
    <dxf>
      <font>
        <b val="1"/>
        <color auto="1"/>
      </font>
      <fill>
        <patternFill patternType="solid">
          <fgColor theme="8" tint="-0.249946592608417"/>
          <bgColor rgb="FFFFFF00"/>
        </patternFill>
      </fill>
    </dxf>
    <dxf>
      <font>
        <b val="1"/>
        <color auto="1"/>
      </font>
      <fill>
        <patternFill patternType="gray0625">
          <fgColor theme="8" tint="-0.249946592608417"/>
          <bgColor theme="4" tint="0.7999816888943144"/>
        </patternFill>
      </fill>
    </dxf>
    <dxf>
      <font>
        <b val="1"/>
        <color rgb="FFFF0000"/>
      </font>
      <fill>
        <patternFill>
          <bgColor theme="4" tint="0.7999816888943144"/>
        </patternFill>
      </fill>
    </dxf>
    <dxf>
      <font>
        <b val="1"/>
        <color rgb="FFFF0000"/>
      </font>
      <fill>
        <patternFill>
          <bgColor theme="4"/>
        </patternFill>
      </fill>
    </dxf>
    <dxf>
      <font>
        <b val="1"/>
        <color rgb="FFFFFF00"/>
      </font>
      <fill>
        <patternFill>
          <bgColor rgb="FF9900CC"/>
        </patternFill>
      </fill>
    </dxf>
    <dxf>
      <font>
        <b val="1"/>
        <color rgb="FFC00000"/>
      </font>
      <fill>
        <patternFill patternType="solid">
          <bgColor theme="5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3"/>
        </patternFill>
      </fill>
    </dxf>
    <dxf>
      <font>
        <b val="1"/>
      </font>
      <fill>
        <patternFill>
          <bgColor rgb="FFFFCCFF"/>
        </patternFill>
      </fill>
    </dxf>
    <dxf>
      <font>
        <b val="1"/>
      </font>
      <fill>
        <patternFill>
          <bgColor rgb="FF00FFCC"/>
        </patternFill>
      </fill>
    </dxf>
    <dxf>
      <font>
        <b val="1"/>
        <color rgb="FFFF0000"/>
      </font>
      <fill>
        <patternFill>
          <bgColor theme="4" tint="0.7999816888943144"/>
        </patternFill>
      </fill>
    </dxf>
    <dxf>
      <font>
        <b val="1"/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styles" Target="styles.xml" Id="rId100"/><Relationship Type="http://schemas.openxmlformats.org/officeDocument/2006/relationships/theme" Target="theme/theme1.xml" Id="rId10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F292"/>
  <sheetViews>
    <sheetView topLeftCell="B15" zoomScaleNormal="100" workbookViewId="0">
      <selection activeCell="Q22" sqref="Q22"/>
    </sheetView>
  </sheetViews>
  <sheetFormatPr baseColWidth="8" defaultRowHeight="15"/>
  <cols>
    <col hidden="1" width="9.140625" customWidth="1" min="1" max="1"/>
    <col width="12.42578125" customWidth="1" min="2" max="2"/>
    <col width="8.5703125" customWidth="1" min="3" max="3"/>
    <col width="5.140625" customWidth="1" min="4" max="4"/>
    <col width="6.7109375" customWidth="1" min="5" max="5"/>
    <col width="5.7109375" customWidth="1" min="6" max="31"/>
  </cols>
  <sheetData>
    <row r="1" ht="15.75" customHeight="1" thickBot="1">
      <c r="A1" t="inlineStr">
        <is>
          <t>Day</t>
        </is>
      </c>
      <c r="B1" s="3" t="inlineStr">
        <is>
          <t>Date</t>
        </is>
      </c>
      <c r="D1" t="inlineStr">
        <is>
          <t>队</t>
        </is>
      </c>
      <c r="E1" s="3" t="inlineStr">
        <is>
          <t>剩步</t>
        </is>
      </c>
      <c r="F1" s="57" t="n">
        <v>1</v>
      </c>
      <c r="G1" s="57" t="n">
        <v>2</v>
      </c>
      <c r="H1" s="57" t="n">
        <v>3</v>
      </c>
      <c r="I1" s="57" t="n">
        <v>4</v>
      </c>
      <c r="J1" s="57" t="n">
        <v>5</v>
      </c>
      <c r="K1" s="57" t="n">
        <v>6</v>
      </c>
      <c r="L1" s="57" t="n">
        <v>7</v>
      </c>
      <c r="M1" s="57" t="n">
        <v>8</v>
      </c>
      <c r="N1" s="57" t="n">
        <v>9</v>
      </c>
      <c r="O1" s="57" t="n">
        <v>10</v>
      </c>
      <c r="P1" s="57" t="n">
        <v>11</v>
      </c>
      <c r="Q1" s="57" t="n">
        <v>12</v>
      </c>
      <c r="R1" s="57" t="n">
        <v>13</v>
      </c>
      <c r="S1" s="57" t="n">
        <v>14</v>
      </c>
      <c r="T1" s="57" t="n">
        <v>15</v>
      </c>
      <c r="U1" s="57" t="n">
        <v>16</v>
      </c>
      <c r="V1" s="57" t="n">
        <v>17</v>
      </c>
      <c r="W1" s="57" t="n">
        <v>18</v>
      </c>
      <c r="X1" s="57" t="n">
        <v>19</v>
      </c>
      <c r="Y1" s="57" t="n">
        <v>20</v>
      </c>
      <c r="Z1" s="57" t="n">
        <v>21</v>
      </c>
      <c r="AA1" s="57" t="n">
        <v>22</v>
      </c>
      <c r="AB1" s="57" t="n">
        <v>23</v>
      </c>
      <c r="AC1" s="57" t="n">
        <v>24</v>
      </c>
      <c r="AD1" s="57" t="n">
        <v>25</v>
      </c>
      <c r="AE1" s="57" t="inlineStr">
        <is>
          <t>跳</t>
        </is>
      </c>
      <c r="AF1" s="3" t="inlineStr">
        <is>
          <t>Note</t>
        </is>
      </c>
    </row>
    <row r="2" ht="15.75" customHeight="1">
      <c r="A2" s="58" t="n">
        <v>1</v>
      </c>
      <c r="B2" s="103">
        <f>INDEX(data!$I$2:$I$98,MATCH(A2*1,data!$G$2:$G$98,0))</f>
        <v/>
      </c>
      <c r="C2" s="66">
        <f>HYPERLINK("#'" &amp; A2 &amp; "'!A1", "编辑")</f>
        <v/>
      </c>
      <c r="D2" s="54" t="inlineStr">
        <is>
          <t>1队</t>
        </is>
      </c>
      <c r="E2" s="79">
        <f t="array" ref="E2">INDIRECT("'"&amp;$A3&amp;"'!I2")</f>
        <v/>
      </c>
      <c r="F2" s="29">
        <f t="array" ref="F2">INDIRECT("'"&amp;$A2&amp;"'!C8")</f>
        <v/>
      </c>
      <c r="G2" s="30">
        <f t="array" ref="G2">INDIRECT("'"&amp;$A2&amp;"'!D8")</f>
        <v/>
      </c>
      <c r="H2" s="30">
        <f t="array" ref="H2">INDIRECT("'"&amp;$A2&amp;"'!E8")</f>
        <v/>
      </c>
      <c r="I2" s="30">
        <f t="array" ref="I2">INDIRECT("'"&amp;$A2&amp;"'!F8")</f>
        <v/>
      </c>
      <c r="J2" s="30">
        <f t="array" ref="J2">INDIRECT("'"&amp;$A2&amp;"'!G8")</f>
        <v/>
      </c>
      <c r="K2" s="30">
        <f t="array" ref="K2">INDIRECT("'"&amp;$A2&amp;"'!H8")</f>
        <v/>
      </c>
      <c r="L2" s="30">
        <f t="array" ref="L2">INDIRECT("'"&amp;$A2&amp;"'!I8")</f>
        <v/>
      </c>
      <c r="M2" s="30">
        <f t="array" ref="M2">INDIRECT("'"&amp;$A2&amp;"'!J8")</f>
        <v/>
      </c>
      <c r="N2" s="30">
        <f t="array" ref="N2">INDIRECT("'"&amp;$A2&amp;"'!K8")</f>
        <v/>
      </c>
      <c r="O2" s="30">
        <f t="array" ref="O2">INDIRECT("'"&amp;$A2&amp;"'!L8")</f>
        <v/>
      </c>
      <c r="P2" s="30">
        <f t="array" ref="P2">INDIRECT("'"&amp;$A2&amp;"'!M8")</f>
        <v/>
      </c>
      <c r="Q2" s="30">
        <f t="array" ref="Q2">INDIRECT("'"&amp;$A2&amp;"'!N8")</f>
        <v/>
      </c>
      <c r="R2" s="30">
        <f t="array" ref="R2">INDIRECT("'"&amp;$A2&amp;"'!O8")</f>
        <v/>
      </c>
      <c r="S2" s="30">
        <f t="array" ref="S2">INDIRECT("'"&amp;$A2&amp;"'!P8")</f>
        <v/>
      </c>
      <c r="T2" s="30">
        <f t="array" ref="T2">INDIRECT("'"&amp;$A2&amp;"'!Q8")</f>
        <v/>
      </c>
      <c r="U2" s="30">
        <f t="array" ref="U2">INDIRECT("'"&amp;$A2&amp;"'!R8")</f>
        <v/>
      </c>
      <c r="V2" s="30">
        <f t="array" ref="V2">INDIRECT("'"&amp;$A2&amp;"'!S8")</f>
        <v/>
      </c>
      <c r="W2" s="30">
        <f t="array" ref="W2">INDIRECT("'"&amp;$A2&amp;"'!T8")</f>
        <v/>
      </c>
      <c r="X2" s="30">
        <f t="array" ref="X2">INDIRECT("'"&amp;$A2&amp;"'!U8")</f>
        <v/>
      </c>
      <c r="Y2" s="30">
        <f t="array" ref="Y2">INDIRECT("'"&amp;$A2&amp;"'!V8")</f>
        <v/>
      </c>
      <c r="Z2" s="30">
        <f t="array" ref="Z2">INDIRECT("'"&amp;$A2&amp;"'!W8")</f>
        <v/>
      </c>
      <c r="AA2" s="30">
        <f t="array" ref="AA2">INDIRECT("'"&amp;$A2&amp;"'!X8")</f>
        <v/>
      </c>
      <c r="AB2" s="30">
        <f t="array" ref="AB2">INDIRECT("'"&amp;$A2&amp;"'!Y8")</f>
        <v/>
      </c>
      <c r="AC2" s="30">
        <f t="array" ref="AC2">INDIRECT("'"&amp;$A2&amp;"'!Z8")</f>
        <v/>
      </c>
      <c r="AD2" s="31">
        <f t="array" ref="AD2">INDIRECT("'"&amp;$A2&amp;"'!AA8")</f>
        <v/>
      </c>
      <c r="AE2" s="79">
        <f t="array" ref="AE2">INDIRECT("'"&amp;$A3&amp;"'!J2")</f>
        <v/>
      </c>
      <c r="AF2" s="53">
        <f t="array" ref="AF2">INDIRECT("'"&amp;$A3&amp;"'!AD1")</f>
        <v/>
      </c>
    </row>
    <row r="3">
      <c r="A3" s="58" t="n">
        <v>1</v>
      </c>
      <c r="B3" s="105" t="n"/>
      <c r="C3" s="67">
        <f t="array" ref="C3">CONCATENATE("粮 ",INDIRECT("'"&amp;$A3&amp;"'!D4"))</f>
        <v/>
      </c>
      <c r="D3" s="55" t="inlineStr">
        <is>
          <t>2队</t>
        </is>
      </c>
      <c r="E3" s="80">
        <f t="array" ref="E3">INDIRECT("'"&amp;$A3&amp;"'!I3")</f>
        <v/>
      </c>
      <c r="F3" s="52">
        <f t="array" ref="F3">INDIRECT("'"&amp;$A3&amp;"'!C11")</f>
        <v/>
      </c>
      <c r="G3" s="3">
        <f t="array" ref="G3">INDIRECT("'"&amp;$A3&amp;"'!D11")</f>
        <v/>
      </c>
      <c r="H3" s="3">
        <f t="array" ref="H3">INDIRECT("'"&amp;$A3&amp;"'!E11")</f>
        <v/>
      </c>
      <c r="I3" s="3">
        <f t="array" ref="I3">INDIRECT("'"&amp;$A3&amp;"'!F11")</f>
        <v/>
      </c>
      <c r="J3" s="3">
        <f t="array" ref="J3">INDIRECT("'"&amp;$A3&amp;"'!G11")</f>
        <v/>
      </c>
      <c r="K3" s="3">
        <f t="array" ref="K3">INDIRECT("'"&amp;$A3&amp;"'!H11")</f>
        <v/>
      </c>
      <c r="L3" s="3">
        <f t="array" ref="L3">INDIRECT("'"&amp;$A3&amp;"'!I11")</f>
        <v/>
      </c>
      <c r="M3" s="3">
        <f t="array" ref="M3">INDIRECT("'"&amp;$A3&amp;"'!J11")</f>
        <v/>
      </c>
      <c r="N3" s="3">
        <f t="array" ref="N3">INDIRECT("'"&amp;$A3&amp;"'!K11")</f>
        <v/>
      </c>
      <c r="O3" s="3">
        <f t="array" ref="O3">INDIRECT("'"&amp;$A3&amp;"'!L11")</f>
        <v/>
      </c>
      <c r="P3" s="3">
        <f t="array" ref="P3">INDIRECT("'"&amp;$A3&amp;"'!M11")</f>
        <v/>
      </c>
      <c r="Q3" s="3">
        <f t="array" ref="Q3">INDIRECT("'"&amp;$A3&amp;"'!N11")</f>
        <v/>
      </c>
      <c r="R3" s="3">
        <f t="array" ref="R3">INDIRECT("'"&amp;$A3&amp;"'!O11")</f>
        <v/>
      </c>
      <c r="S3" s="3">
        <f t="array" ref="S3">INDIRECT("'"&amp;$A3&amp;"'!P11")</f>
        <v/>
      </c>
      <c r="T3" s="3">
        <f t="array" ref="T3">INDIRECT("'"&amp;$A3&amp;"'!Q11")</f>
        <v/>
      </c>
      <c r="U3" s="3">
        <f t="array" ref="U3">INDIRECT("'"&amp;$A3&amp;"'!R11")</f>
        <v/>
      </c>
      <c r="V3" s="3">
        <f t="array" ref="V3">INDIRECT("'"&amp;$A3&amp;"'!S11")</f>
        <v/>
      </c>
      <c r="W3" s="3">
        <f t="array" ref="W3">INDIRECT("'"&amp;$A3&amp;"'!T11")</f>
        <v/>
      </c>
      <c r="X3" s="3">
        <f t="array" ref="X3">INDIRECT("'"&amp;$A3&amp;"'!U11")</f>
        <v/>
      </c>
      <c r="Y3" s="3">
        <f t="array" ref="Y3">INDIRECT("'"&amp;$A3&amp;"'!V11")</f>
        <v/>
      </c>
      <c r="Z3" s="3">
        <f t="array" ref="Z3">INDIRECT("'"&amp;$A3&amp;"'!W11")</f>
        <v/>
      </c>
      <c r="AA3" s="3">
        <f t="array" ref="AA3">INDIRECT("'"&amp;$A3&amp;"'!X11")</f>
        <v/>
      </c>
      <c r="AB3" s="3">
        <f t="array" ref="AB3">INDIRECT("'"&amp;$A3&amp;"'!Y11")</f>
        <v/>
      </c>
      <c r="AC3" s="3">
        <f t="array" ref="AC3">INDIRECT("'"&amp;$A3&amp;"'!Z11")</f>
        <v/>
      </c>
      <c r="AD3" s="32">
        <f t="array" ref="AD3">INDIRECT("'"&amp;$A3&amp;"'!AA11")</f>
        <v/>
      </c>
      <c r="AE3" s="80">
        <f t="array" ref="AE3">INDIRECT("'"&amp;$A3&amp;"'!J3")</f>
        <v/>
      </c>
      <c r="AF3" s="53">
        <f t="array" ref="AF3">INDIRECT("'"&amp;$A3&amp;"'!AC1")</f>
        <v/>
      </c>
    </row>
    <row r="4" ht="15.75" customHeight="1" thickBot="1">
      <c r="A4" s="58" t="n">
        <v>1</v>
      </c>
      <c r="B4" s="106" t="n"/>
      <c r="C4" s="77">
        <f t="array" ref="C4">CONCATENATE("分 ",INDIRECT("'"&amp;$A3&amp;"'!D6"))</f>
        <v/>
      </c>
      <c r="D4" s="56" t="inlineStr">
        <is>
          <t>3队</t>
        </is>
      </c>
      <c r="E4" s="81">
        <f t="array" ref="E4">INDIRECT("'"&amp;$A3&amp;"'!I4")</f>
        <v/>
      </c>
      <c r="F4" s="52">
        <f t="array" ref="F4">INDIRECT("'"&amp;$A4&amp;"'!C14")</f>
        <v/>
      </c>
      <c r="G4" s="3">
        <f t="array" ref="G4">INDIRECT("'"&amp;$A4&amp;"'!D14")</f>
        <v/>
      </c>
      <c r="H4" s="3">
        <f t="array" ref="H4">INDIRECT("'"&amp;$A4&amp;"'!E14")</f>
        <v/>
      </c>
      <c r="I4" s="3">
        <f t="array" ref="I4">INDIRECT("'"&amp;$A4&amp;"'!F14")</f>
        <v/>
      </c>
      <c r="J4" s="3">
        <f t="array" ref="J4">INDIRECT("'"&amp;$A4&amp;"'!G14")</f>
        <v/>
      </c>
      <c r="K4" s="3">
        <f t="array" ref="K4">INDIRECT("'"&amp;$A4&amp;"'!H14")</f>
        <v/>
      </c>
      <c r="L4" s="3">
        <f t="array" ref="L4">INDIRECT("'"&amp;$A4&amp;"'!I14")</f>
        <v/>
      </c>
      <c r="M4" s="3">
        <f t="array" ref="M4">INDIRECT("'"&amp;$A4&amp;"'!J14")</f>
        <v/>
      </c>
      <c r="N4" s="3">
        <f t="array" ref="N4">INDIRECT("'"&amp;$A4&amp;"'!K14")</f>
        <v/>
      </c>
      <c r="O4" s="3">
        <f t="array" ref="O4">INDIRECT("'"&amp;$A4&amp;"'!L14")</f>
        <v/>
      </c>
      <c r="P4" s="3">
        <f t="array" ref="P4">INDIRECT("'"&amp;$A4&amp;"'!M14")</f>
        <v/>
      </c>
      <c r="Q4" s="3">
        <f t="array" ref="Q4">INDIRECT("'"&amp;$A4&amp;"'!N14")</f>
        <v/>
      </c>
      <c r="R4" s="3">
        <f t="array" ref="R4">INDIRECT("'"&amp;$A4&amp;"'!O14")</f>
        <v/>
      </c>
      <c r="S4" s="3">
        <f t="array" ref="S4">INDIRECT("'"&amp;$A4&amp;"'!P14")</f>
        <v/>
      </c>
      <c r="T4" s="3">
        <f t="array" ref="T4">INDIRECT("'"&amp;$A4&amp;"'!Q14")</f>
        <v/>
      </c>
      <c r="U4" s="3">
        <f t="array" ref="U4">INDIRECT("'"&amp;$A4&amp;"'!R14")</f>
        <v/>
      </c>
      <c r="V4" s="3">
        <f t="array" ref="V4">INDIRECT("'"&amp;$A4&amp;"'!S14")</f>
        <v/>
      </c>
      <c r="W4" s="3">
        <f t="array" ref="W4">INDIRECT("'"&amp;$A4&amp;"'!T14")</f>
        <v/>
      </c>
      <c r="X4" s="3">
        <f t="array" ref="X4">INDIRECT("'"&amp;$A4&amp;"'!U14")</f>
        <v/>
      </c>
      <c r="Y4" s="3">
        <f t="array" ref="Y4">INDIRECT("'"&amp;$A4&amp;"'!V14")</f>
        <v/>
      </c>
      <c r="Z4" s="3">
        <f t="array" ref="Z4">INDIRECT("'"&amp;$A4&amp;"'!W14")</f>
        <v/>
      </c>
      <c r="AA4" s="3">
        <f t="array" ref="AA4">INDIRECT("'"&amp;$A4&amp;"'!X14")</f>
        <v/>
      </c>
      <c r="AB4" s="3">
        <f t="array" ref="AB4">INDIRECT("'"&amp;$A4&amp;"'!Y14")</f>
        <v/>
      </c>
      <c r="AC4" s="3">
        <f t="array" ref="AC4">INDIRECT("'"&amp;$A4&amp;"'!Z14")</f>
        <v/>
      </c>
      <c r="AD4" s="32">
        <f t="array" ref="AD4">INDIRECT("'"&amp;$A4&amp;"'!AA14")</f>
        <v/>
      </c>
      <c r="AE4" s="81">
        <f t="array" ref="AE4">INDIRECT("'"&amp;$A3&amp;"'!J4")</f>
        <v/>
      </c>
      <c r="AF4" s="53" t="n"/>
    </row>
    <row r="5">
      <c r="A5" s="58" t="n">
        <v>2</v>
      </c>
      <c r="B5" s="103">
        <f>INDEX(data!$I$2:$I$98,MATCH(A5*1,data!$G$2:$G$98,0))</f>
        <v/>
      </c>
      <c r="C5" s="66">
        <f>HYPERLINK("#'" &amp; A5 &amp; "'!A1", "编辑")</f>
        <v/>
      </c>
      <c r="D5" s="54" t="inlineStr">
        <is>
          <t>1队</t>
        </is>
      </c>
      <c r="E5" s="79">
        <f t="array" ref="E5">INDIRECT("'"&amp;$A6&amp;"'!I2")</f>
        <v/>
      </c>
      <c r="F5" s="29">
        <f t="array" ref="F5">INDIRECT("'"&amp;$A5&amp;"'!C8")</f>
        <v/>
      </c>
      <c r="G5" s="30">
        <f t="array" ref="G5">INDIRECT("'"&amp;$A5&amp;"'!D8")</f>
        <v/>
      </c>
      <c r="H5" s="30">
        <f t="array" ref="H5">INDIRECT("'"&amp;$A5&amp;"'!E8")</f>
        <v/>
      </c>
      <c r="I5" s="30">
        <f t="array" ref="I5">INDIRECT("'"&amp;$A5&amp;"'!F8")</f>
        <v/>
      </c>
      <c r="J5" s="30">
        <f t="array" ref="J5">INDIRECT("'"&amp;$A5&amp;"'!G8")</f>
        <v/>
      </c>
      <c r="K5" s="30">
        <f t="array" ref="K5">INDIRECT("'"&amp;$A5&amp;"'!H8")</f>
        <v/>
      </c>
      <c r="L5" s="30">
        <f t="array" ref="L5">INDIRECT("'"&amp;$A5&amp;"'!I8")</f>
        <v/>
      </c>
      <c r="M5" s="30">
        <f t="array" ref="M5">INDIRECT("'"&amp;$A5&amp;"'!J8")</f>
        <v/>
      </c>
      <c r="N5" s="30">
        <f t="array" ref="N5">INDIRECT("'"&amp;$A5&amp;"'!K8")</f>
        <v/>
      </c>
      <c r="O5" s="30">
        <f t="array" ref="O5">INDIRECT("'"&amp;$A5&amp;"'!L8")</f>
        <v/>
      </c>
      <c r="P5" s="30">
        <f t="array" ref="P5">INDIRECT("'"&amp;$A5&amp;"'!M8")</f>
        <v/>
      </c>
      <c r="Q5" s="30">
        <f t="array" ref="Q5">INDIRECT("'"&amp;$A5&amp;"'!N8")</f>
        <v/>
      </c>
      <c r="R5" s="30">
        <f t="array" ref="R5">INDIRECT("'"&amp;$A5&amp;"'!O8")</f>
        <v/>
      </c>
      <c r="S5" s="30">
        <f t="array" ref="S5">INDIRECT("'"&amp;$A5&amp;"'!P8")</f>
        <v/>
      </c>
      <c r="T5" s="30">
        <f t="array" ref="T5">INDIRECT("'"&amp;$A5&amp;"'!Q8")</f>
        <v/>
      </c>
      <c r="U5" s="30">
        <f t="array" ref="U5">INDIRECT("'"&amp;$A5&amp;"'!R8")</f>
        <v/>
      </c>
      <c r="V5" s="30">
        <f t="array" ref="V5">INDIRECT("'"&amp;$A5&amp;"'!S8")</f>
        <v/>
      </c>
      <c r="W5" s="30">
        <f t="array" ref="W5">INDIRECT("'"&amp;$A5&amp;"'!T8")</f>
        <v/>
      </c>
      <c r="X5" s="30">
        <f t="array" ref="X5">INDIRECT("'"&amp;$A5&amp;"'!U8")</f>
        <v/>
      </c>
      <c r="Y5" s="30">
        <f t="array" ref="Y5">INDIRECT("'"&amp;$A5&amp;"'!V8")</f>
        <v/>
      </c>
      <c r="Z5" s="30">
        <f t="array" ref="Z5">INDIRECT("'"&amp;$A5&amp;"'!W8")</f>
        <v/>
      </c>
      <c r="AA5" s="30">
        <f t="array" ref="AA5">INDIRECT("'"&amp;$A5&amp;"'!X8")</f>
        <v/>
      </c>
      <c r="AB5" s="30">
        <f t="array" ref="AB5">INDIRECT("'"&amp;$A5&amp;"'!Y8")</f>
        <v/>
      </c>
      <c r="AC5" s="30">
        <f t="array" ref="AC5">INDIRECT("'"&amp;$A5&amp;"'!Z8")</f>
        <v/>
      </c>
      <c r="AD5" s="31">
        <f t="array" ref="AD5">INDIRECT("'"&amp;$A5&amp;"'!AA8")</f>
        <v/>
      </c>
      <c r="AE5" s="79">
        <f t="array" ref="AE5">INDIRECT("'"&amp;$A6&amp;"'!J2")</f>
        <v/>
      </c>
      <c r="AF5" s="53">
        <f t="array" ref="AF5">INDIRECT("'"&amp;$A6&amp;"'!AD1")</f>
        <v/>
      </c>
    </row>
    <row r="6">
      <c r="A6" s="58" t="n">
        <v>2</v>
      </c>
      <c r="B6" s="105" t="n"/>
      <c r="C6" s="67">
        <f t="array" ref="C6">CONCATENATE("粮 ",INDIRECT("'"&amp;$A6&amp;"'!D4"))</f>
        <v/>
      </c>
      <c r="D6" s="55" t="inlineStr">
        <is>
          <t>2队</t>
        </is>
      </c>
      <c r="E6" s="80">
        <f t="array" ref="E6">INDIRECT("'"&amp;$A6&amp;"'!I3")</f>
        <v/>
      </c>
      <c r="F6" s="52">
        <f t="array" ref="F6">INDIRECT("'"&amp;$A6&amp;"'!C11")</f>
        <v/>
      </c>
      <c r="G6" s="3">
        <f t="array" ref="G6">INDIRECT("'"&amp;$A6&amp;"'!D11")</f>
        <v/>
      </c>
      <c r="H6" s="3">
        <f t="array" ref="H6">INDIRECT("'"&amp;$A6&amp;"'!E11")</f>
        <v/>
      </c>
      <c r="I6" s="3">
        <f t="array" ref="I6">INDIRECT("'"&amp;$A6&amp;"'!F11")</f>
        <v/>
      </c>
      <c r="J6" s="3">
        <f t="array" ref="J6">INDIRECT("'"&amp;$A6&amp;"'!G11")</f>
        <v/>
      </c>
      <c r="K6" s="3">
        <f t="array" ref="K6">INDIRECT("'"&amp;$A6&amp;"'!H11")</f>
        <v/>
      </c>
      <c r="L6" s="3">
        <f t="array" ref="L6">INDIRECT("'"&amp;$A6&amp;"'!I11")</f>
        <v/>
      </c>
      <c r="M6" s="3">
        <f t="array" ref="M6">INDIRECT("'"&amp;$A6&amp;"'!J11")</f>
        <v/>
      </c>
      <c r="N6" s="3">
        <f t="array" ref="N6">INDIRECT("'"&amp;$A6&amp;"'!K11")</f>
        <v/>
      </c>
      <c r="O6" s="3">
        <f t="array" ref="O6">INDIRECT("'"&amp;$A6&amp;"'!L11")</f>
        <v/>
      </c>
      <c r="P6" s="3">
        <f t="array" ref="P6">INDIRECT("'"&amp;$A6&amp;"'!M11")</f>
        <v/>
      </c>
      <c r="Q6" s="3">
        <f t="array" ref="Q6">INDIRECT("'"&amp;$A6&amp;"'!N11")</f>
        <v/>
      </c>
      <c r="R6" s="3">
        <f t="array" ref="R6">INDIRECT("'"&amp;$A6&amp;"'!O11")</f>
        <v/>
      </c>
      <c r="S6" s="3">
        <f t="array" ref="S6">INDIRECT("'"&amp;$A6&amp;"'!P11")</f>
        <v/>
      </c>
      <c r="T6" s="3">
        <f t="array" ref="T6">INDIRECT("'"&amp;$A6&amp;"'!Q11")</f>
        <v/>
      </c>
      <c r="U6" s="3">
        <f t="array" ref="U6">INDIRECT("'"&amp;$A6&amp;"'!R11")</f>
        <v/>
      </c>
      <c r="V6" s="3">
        <f t="array" ref="V6">INDIRECT("'"&amp;$A6&amp;"'!S11")</f>
        <v/>
      </c>
      <c r="W6" s="3">
        <f t="array" ref="W6">INDIRECT("'"&amp;$A6&amp;"'!T11")</f>
        <v/>
      </c>
      <c r="X6" s="3">
        <f t="array" ref="X6">INDIRECT("'"&amp;$A6&amp;"'!U11")</f>
        <v/>
      </c>
      <c r="Y6" s="3">
        <f t="array" ref="Y6">INDIRECT("'"&amp;$A6&amp;"'!V11")</f>
        <v/>
      </c>
      <c r="Z6" s="3">
        <f t="array" ref="Z6">INDIRECT("'"&amp;$A6&amp;"'!W11")</f>
        <v/>
      </c>
      <c r="AA6" s="3">
        <f t="array" ref="AA6">INDIRECT("'"&amp;$A6&amp;"'!X11")</f>
        <v/>
      </c>
      <c r="AB6" s="3">
        <f t="array" ref="AB6">INDIRECT("'"&amp;$A6&amp;"'!Y11")</f>
        <v/>
      </c>
      <c r="AC6" s="3">
        <f t="array" ref="AC6">INDIRECT("'"&amp;$A6&amp;"'!Z11")</f>
        <v/>
      </c>
      <c r="AD6" s="32">
        <f t="array" ref="AD6">INDIRECT("'"&amp;$A6&amp;"'!AA11")</f>
        <v/>
      </c>
      <c r="AE6" s="80">
        <f t="array" ref="AE6">INDIRECT("'"&amp;$A6&amp;"'!J3")</f>
        <v/>
      </c>
      <c r="AF6" s="53">
        <f t="array" ref="AF6">INDIRECT("'"&amp;$A6&amp;"'!AC1")</f>
        <v/>
      </c>
    </row>
    <row r="7" ht="15.75" customHeight="1" thickBot="1">
      <c r="A7" s="58" t="n">
        <v>2</v>
      </c>
      <c r="B7" s="106" t="n"/>
      <c r="C7" s="77">
        <f t="array" ref="C7">CONCATENATE("分 ",INDIRECT("'"&amp;$A6&amp;"'!D6"))</f>
        <v/>
      </c>
      <c r="D7" s="56" t="inlineStr">
        <is>
          <t>3队</t>
        </is>
      </c>
      <c r="E7" s="81">
        <f t="array" ref="E7">INDIRECT("'"&amp;$A6&amp;"'!I4")</f>
        <v/>
      </c>
      <c r="F7" s="52">
        <f t="array" ref="F7">INDIRECT("'"&amp;$A7&amp;"'!C14")</f>
        <v/>
      </c>
      <c r="G7" s="3">
        <f t="array" ref="G7">INDIRECT("'"&amp;$A7&amp;"'!D14")</f>
        <v/>
      </c>
      <c r="H7" s="3">
        <f t="array" ref="H7">INDIRECT("'"&amp;$A7&amp;"'!E14")</f>
        <v/>
      </c>
      <c r="I7" s="3">
        <f t="array" ref="I7">INDIRECT("'"&amp;$A7&amp;"'!F14")</f>
        <v/>
      </c>
      <c r="J7" s="3">
        <f t="array" ref="J7">INDIRECT("'"&amp;$A7&amp;"'!G14")</f>
        <v/>
      </c>
      <c r="K7" s="3">
        <f t="array" ref="K7">INDIRECT("'"&amp;$A7&amp;"'!H14")</f>
        <v/>
      </c>
      <c r="L7" s="3">
        <f t="array" ref="L7">INDIRECT("'"&amp;$A7&amp;"'!I14")</f>
        <v/>
      </c>
      <c r="M7" s="3">
        <f t="array" ref="M7">INDIRECT("'"&amp;$A7&amp;"'!J14")</f>
        <v/>
      </c>
      <c r="N7" s="3">
        <f t="array" ref="N7">INDIRECT("'"&amp;$A7&amp;"'!K14")</f>
        <v/>
      </c>
      <c r="O7" s="3">
        <f t="array" ref="O7">INDIRECT("'"&amp;$A7&amp;"'!L14")</f>
        <v/>
      </c>
      <c r="P7" s="3">
        <f t="array" ref="P7">INDIRECT("'"&amp;$A7&amp;"'!M14")</f>
        <v/>
      </c>
      <c r="Q7" s="3">
        <f t="array" ref="Q7">INDIRECT("'"&amp;$A7&amp;"'!N14")</f>
        <v/>
      </c>
      <c r="R7" s="3">
        <f t="array" ref="R7">INDIRECT("'"&amp;$A7&amp;"'!O14")</f>
        <v/>
      </c>
      <c r="S7" s="3">
        <f t="array" ref="S7">INDIRECT("'"&amp;$A7&amp;"'!P14")</f>
        <v/>
      </c>
      <c r="T7" s="3">
        <f t="array" ref="T7">INDIRECT("'"&amp;$A7&amp;"'!Q14")</f>
        <v/>
      </c>
      <c r="U7" s="3">
        <f t="array" ref="U7">INDIRECT("'"&amp;$A7&amp;"'!R14")</f>
        <v/>
      </c>
      <c r="V7" s="3">
        <f t="array" ref="V7">INDIRECT("'"&amp;$A7&amp;"'!S14")</f>
        <v/>
      </c>
      <c r="W7" s="3">
        <f t="array" ref="W7">INDIRECT("'"&amp;$A7&amp;"'!T14")</f>
        <v/>
      </c>
      <c r="X7" s="3">
        <f t="array" ref="X7">INDIRECT("'"&amp;$A7&amp;"'!U14")</f>
        <v/>
      </c>
      <c r="Y7" s="3">
        <f t="array" ref="Y7">INDIRECT("'"&amp;$A7&amp;"'!V14")</f>
        <v/>
      </c>
      <c r="Z7" s="3">
        <f t="array" ref="Z7">INDIRECT("'"&amp;$A7&amp;"'!W14")</f>
        <v/>
      </c>
      <c r="AA7" s="3">
        <f t="array" ref="AA7">INDIRECT("'"&amp;$A7&amp;"'!X14")</f>
        <v/>
      </c>
      <c r="AB7" s="3">
        <f t="array" ref="AB7">INDIRECT("'"&amp;$A7&amp;"'!Y14")</f>
        <v/>
      </c>
      <c r="AC7" s="3">
        <f t="array" ref="AC7">INDIRECT("'"&amp;$A7&amp;"'!Z14")</f>
        <v/>
      </c>
      <c r="AD7" s="32">
        <f t="array" ref="AD7">INDIRECT("'"&amp;$A7&amp;"'!AA14")</f>
        <v/>
      </c>
      <c r="AE7" s="81">
        <f t="array" ref="AE7">INDIRECT("'"&amp;$A6&amp;"'!J4")</f>
        <v/>
      </c>
      <c r="AF7" s="53" t="n"/>
    </row>
    <row r="8">
      <c r="A8" s="58" t="n">
        <v>3</v>
      </c>
      <c r="B8" s="103">
        <f>INDEX(data!$I$2:$I$98,MATCH(A8*1,data!$G$2:$G$98,0))</f>
        <v/>
      </c>
      <c r="C8" s="66">
        <f>HYPERLINK("#'" &amp; A8 &amp; "'!A1", "编辑")</f>
        <v/>
      </c>
      <c r="D8" s="54" t="inlineStr">
        <is>
          <t>1队</t>
        </is>
      </c>
      <c r="E8" s="79">
        <f t="array" ref="E8">INDIRECT("'"&amp;$A9&amp;"'!I2")</f>
        <v/>
      </c>
      <c r="F8" s="29">
        <f t="array" ref="F8">INDIRECT("'"&amp;$A8&amp;"'!C8")</f>
        <v/>
      </c>
      <c r="G8" s="30">
        <f t="array" ref="G8">INDIRECT("'"&amp;$A8&amp;"'!D8")</f>
        <v/>
      </c>
      <c r="H8" s="30">
        <f t="array" ref="H8">INDIRECT("'"&amp;$A8&amp;"'!E8")</f>
        <v/>
      </c>
      <c r="I8" s="30">
        <f t="array" ref="I8">INDIRECT("'"&amp;$A8&amp;"'!F8")</f>
        <v/>
      </c>
      <c r="J8" s="30">
        <f t="array" ref="J8">INDIRECT("'"&amp;$A8&amp;"'!G8")</f>
        <v/>
      </c>
      <c r="K8" s="30">
        <f t="array" ref="K8">INDIRECT("'"&amp;$A8&amp;"'!H8")</f>
        <v/>
      </c>
      <c r="L8" s="30">
        <f t="array" ref="L8">INDIRECT("'"&amp;$A8&amp;"'!I8")</f>
        <v/>
      </c>
      <c r="M8" s="30">
        <f t="array" ref="M8">INDIRECT("'"&amp;$A8&amp;"'!J8")</f>
        <v/>
      </c>
      <c r="N8" s="30">
        <f t="array" ref="N8">INDIRECT("'"&amp;$A8&amp;"'!K8")</f>
        <v/>
      </c>
      <c r="O8" s="30">
        <f t="array" ref="O8">INDIRECT("'"&amp;$A8&amp;"'!L8")</f>
        <v/>
      </c>
      <c r="P8" s="30">
        <f t="array" ref="P8">INDIRECT("'"&amp;$A8&amp;"'!M8")</f>
        <v/>
      </c>
      <c r="Q8" s="30">
        <f t="array" ref="Q8">INDIRECT("'"&amp;$A8&amp;"'!N8")</f>
        <v/>
      </c>
      <c r="R8" s="30">
        <f t="array" ref="R8">INDIRECT("'"&amp;$A8&amp;"'!O8")</f>
        <v/>
      </c>
      <c r="S8" s="30">
        <f t="array" ref="S8">INDIRECT("'"&amp;$A8&amp;"'!P8")</f>
        <v/>
      </c>
      <c r="T8" s="30">
        <f t="array" ref="T8">INDIRECT("'"&amp;$A8&amp;"'!Q8")</f>
        <v/>
      </c>
      <c r="U8" s="30">
        <f t="array" ref="U8">INDIRECT("'"&amp;$A8&amp;"'!R8")</f>
        <v/>
      </c>
      <c r="V8" s="30">
        <f t="array" ref="V8">INDIRECT("'"&amp;$A8&amp;"'!S8")</f>
        <v/>
      </c>
      <c r="W8" s="30">
        <f t="array" ref="W8">INDIRECT("'"&amp;$A8&amp;"'!T8")</f>
        <v/>
      </c>
      <c r="X8" s="30">
        <f t="array" ref="X8">INDIRECT("'"&amp;$A8&amp;"'!U8")</f>
        <v/>
      </c>
      <c r="Y8" s="30">
        <f t="array" ref="Y8">INDIRECT("'"&amp;$A8&amp;"'!V8")</f>
        <v/>
      </c>
      <c r="Z8" s="30">
        <f t="array" ref="Z8">INDIRECT("'"&amp;$A8&amp;"'!W8")</f>
        <v/>
      </c>
      <c r="AA8" s="30">
        <f t="array" ref="AA8">INDIRECT("'"&amp;$A8&amp;"'!X8")</f>
        <v/>
      </c>
      <c r="AB8" s="30">
        <f t="array" ref="AB8">INDIRECT("'"&amp;$A8&amp;"'!Y8")</f>
        <v/>
      </c>
      <c r="AC8" s="30">
        <f t="array" ref="AC8">INDIRECT("'"&amp;$A8&amp;"'!Z8")</f>
        <v/>
      </c>
      <c r="AD8" s="31">
        <f t="array" ref="AD8">INDIRECT("'"&amp;$A8&amp;"'!AA8")</f>
        <v/>
      </c>
      <c r="AE8" s="79">
        <f t="array" ref="AE8">INDIRECT("'"&amp;$A9&amp;"'!J2")</f>
        <v/>
      </c>
      <c r="AF8" s="53">
        <f t="array" ref="AF8">INDIRECT("'"&amp;$A9&amp;"'!AD1")</f>
        <v/>
      </c>
    </row>
    <row r="9">
      <c r="A9" s="58" t="n">
        <v>3</v>
      </c>
      <c r="B9" s="105" t="n"/>
      <c r="C9" s="67">
        <f t="array" ref="C9">CONCATENATE("粮 ",INDIRECT("'"&amp;$A9&amp;"'!D4"))</f>
        <v/>
      </c>
      <c r="D9" s="55" t="inlineStr">
        <is>
          <t>2队</t>
        </is>
      </c>
      <c r="E9" s="80">
        <f t="array" ref="E9">INDIRECT("'"&amp;$A9&amp;"'!I3")</f>
        <v/>
      </c>
      <c r="F9" s="52">
        <f t="array" ref="F9">INDIRECT("'"&amp;$A9&amp;"'!C11")</f>
        <v/>
      </c>
      <c r="G9" s="3">
        <f t="array" ref="G9">INDIRECT("'"&amp;$A9&amp;"'!D11")</f>
        <v/>
      </c>
      <c r="H9" s="3">
        <f t="array" ref="H9">INDIRECT("'"&amp;$A9&amp;"'!E11")</f>
        <v/>
      </c>
      <c r="I9" s="3">
        <f t="array" ref="I9">INDIRECT("'"&amp;$A9&amp;"'!F11")</f>
        <v/>
      </c>
      <c r="J9" s="3">
        <f t="array" ref="J9">INDIRECT("'"&amp;$A9&amp;"'!G11")</f>
        <v/>
      </c>
      <c r="K9" s="3">
        <f t="array" ref="K9">INDIRECT("'"&amp;$A9&amp;"'!H11")</f>
        <v/>
      </c>
      <c r="L9" s="3">
        <f t="array" ref="L9">INDIRECT("'"&amp;$A9&amp;"'!I11")</f>
        <v/>
      </c>
      <c r="M9" s="3">
        <f t="array" ref="M9">INDIRECT("'"&amp;$A9&amp;"'!J11")</f>
        <v/>
      </c>
      <c r="N9" s="3">
        <f t="array" ref="N9">INDIRECT("'"&amp;$A9&amp;"'!K11")</f>
        <v/>
      </c>
      <c r="O9" s="3">
        <f t="array" ref="O9">INDIRECT("'"&amp;$A9&amp;"'!L11")</f>
        <v/>
      </c>
      <c r="P9" s="3">
        <f t="array" ref="P9">INDIRECT("'"&amp;$A9&amp;"'!M11")</f>
        <v/>
      </c>
      <c r="Q9" s="3">
        <f t="array" ref="Q9">INDIRECT("'"&amp;$A9&amp;"'!N11")</f>
        <v/>
      </c>
      <c r="R9" s="3">
        <f t="array" ref="R9">INDIRECT("'"&amp;$A9&amp;"'!O11")</f>
        <v/>
      </c>
      <c r="S9" s="3">
        <f t="array" ref="S9">INDIRECT("'"&amp;$A9&amp;"'!P11")</f>
        <v/>
      </c>
      <c r="T9" s="3">
        <f t="array" ref="T9">INDIRECT("'"&amp;$A9&amp;"'!Q11")</f>
        <v/>
      </c>
      <c r="U9" s="3">
        <f t="array" ref="U9">INDIRECT("'"&amp;$A9&amp;"'!R11")</f>
        <v/>
      </c>
      <c r="V9" s="3">
        <f t="array" ref="V9">INDIRECT("'"&amp;$A9&amp;"'!S11")</f>
        <v/>
      </c>
      <c r="W9" s="3">
        <f t="array" ref="W9">INDIRECT("'"&amp;$A9&amp;"'!T11")</f>
        <v/>
      </c>
      <c r="X9" s="3">
        <f t="array" ref="X9">INDIRECT("'"&amp;$A9&amp;"'!U11")</f>
        <v/>
      </c>
      <c r="Y9" s="3">
        <f t="array" ref="Y9">INDIRECT("'"&amp;$A9&amp;"'!V11")</f>
        <v/>
      </c>
      <c r="Z9" s="3">
        <f t="array" ref="Z9">INDIRECT("'"&amp;$A9&amp;"'!W11")</f>
        <v/>
      </c>
      <c r="AA9" s="3">
        <f t="array" ref="AA9">INDIRECT("'"&amp;$A9&amp;"'!X11")</f>
        <v/>
      </c>
      <c r="AB9" s="3">
        <f t="array" ref="AB9">INDIRECT("'"&amp;$A9&amp;"'!Y11")</f>
        <v/>
      </c>
      <c r="AC9" s="3">
        <f t="array" ref="AC9">INDIRECT("'"&amp;$A9&amp;"'!Z11")</f>
        <v/>
      </c>
      <c r="AD9" s="32">
        <f t="array" ref="AD9">INDIRECT("'"&amp;$A9&amp;"'!AA11")</f>
        <v/>
      </c>
      <c r="AE9" s="80">
        <f t="array" ref="AE9">INDIRECT("'"&amp;$A9&amp;"'!J3")</f>
        <v/>
      </c>
      <c r="AF9" s="53">
        <f t="array" ref="AF9">INDIRECT("'"&amp;$A9&amp;"'!AC1")</f>
        <v/>
      </c>
    </row>
    <row r="10" ht="15.75" customHeight="1" thickBot="1">
      <c r="A10" s="58" t="n">
        <v>3</v>
      </c>
      <c r="B10" s="106" t="n"/>
      <c r="C10" s="77">
        <f t="array" ref="C10">CONCATENATE("分 ",INDIRECT("'"&amp;$A9&amp;"'!D6"))</f>
        <v/>
      </c>
      <c r="D10" s="56" t="inlineStr">
        <is>
          <t>3队</t>
        </is>
      </c>
      <c r="E10" s="81">
        <f t="array" ref="E10">INDIRECT("'"&amp;$A9&amp;"'!I4")</f>
        <v/>
      </c>
      <c r="F10" s="52">
        <f t="array" ref="F10">INDIRECT("'"&amp;$A10&amp;"'!C14")</f>
        <v/>
      </c>
      <c r="G10" s="3">
        <f t="array" ref="G10">INDIRECT("'"&amp;$A10&amp;"'!D14")</f>
        <v/>
      </c>
      <c r="H10" s="3">
        <f t="array" ref="H10">INDIRECT("'"&amp;$A10&amp;"'!E14")</f>
        <v/>
      </c>
      <c r="I10" s="3">
        <f t="array" ref="I10">INDIRECT("'"&amp;$A10&amp;"'!F14")</f>
        <v/>
      </c>
      <c r="J10" s="3">
        <f t="array" ref="J10">INDIRECT("'"&amp;$A10&amp;"'!G14")</f>
        <v/>
      </c>
      <c r="K10" s="3">
        <f t="array" ref="K10">INDIRECT("'"&amp;$A10&amp;"'!H14")</f>
        <v/>
      </c>
      <c r="L10" s="3">
        <f t="array" ref="L10">INDIRECT("'"&amp;$A10&amp;"'!I14")</f>
        <v/>
      </c>
      <c r="M10" s="3">
        <f t="array" ref="M10">INDIRECT("'"&amp;$A10&amp;"'!J14")</f>
        <v/>
      </c>
      <c r="N10" s="3">
        <f t="array" ref="N10">INDIRECT("'"&amp;$A10&amp;"'!K14")</f>
        <v/>
      </c>
      <c r="O10" s="3">
        <f t="array" ref="O10">INDIRECT("'"&amp;$A10&amp;"'!L14")</f>
        <v/>
      </c>
      <c r="P10" s="3">
        <f t="array" ref="P10">INDIRECT("'"&amp;$A10&amp;"'!M14")</f>
        <v/>
      </c>
      <c r="Q10" s="3">
        <f t="array" ref="Q10">INDIRECT("'"&amp;$A10&amp;"'!N14")</f>
        <v/>
      </c>
      <c r="R10" s="3">
        <f t="array" ref="R10">INDIRECT("'"&amp;$A10&amp;"'!O14")</f>
        <v/>
      </c>
      <c r="S10" s="3">
        <f t="array" ref="S10">INDIRECT("'"&amp;$A10&amp;"'!P14")</f>
        <v/>
      </c>
      <c r="T10" s="3">
        <f t="array" ref="T10">INDIRECT("'"&amp;$A10&amp;"'!Q14")</f>
        <v/>
      </c>
      <c r="U10" s="3">
        <f t="array" ref="U10">INDIRECT("'"&amp;$A10&amp;"'!R14")</f>
        <v/>
      </c>
      <c r="V10" s="3">
        <f t="array" ref="V10">INDIRECT("'"&amp;$A10&amp;"'!S14")</f>
        <v/>
      </c>
      <c r="W10" s="3">
        <f t="array" ref="W10">INDIRECT("'"&amp;$A10&amp;"'!T14")</f>
        <v/>
      </c>
      <c r="X10" s="3">
        <f t="array" ref="X10">INDIRECT("'"&amp;$A10&amp;"'!U14")</f>
        <v/>
      </c>
      <c r="Y10" s="3">
        <f t="array" ref="Y10">INDIRECT("'"&amp;$A10&amp;"'!V14")</f>
        <v/>
      </c>
      <c r="Z10" s="3">
        <f t="array" ref="Z10">INDIRECT("'"&amp;$A10&amp;"'!W14")</f>
        <v/>
      </c>
      <c r="AA10" s="3">
        <f t="array" ref="AA10">INDIRECT("'"&amp;$A10&amp;"'!X14")</f>
        <v/>
      </c>
      <c r="AB10" s="3">
        <f t="array" ref="AB10">INDIRECT("'"&amp;$A10&amp;"'!Y14")</f>
        <v/>
      </c>
      <c r="AC10" s="3">
        <f t="array" ref="AC10">INDIRECT("'"&amp;$A10&amp;"'!Z14")</f>
        <v/>
      </c>
      <c r="AD10" s="32">
        <f t="array" ref="AD10">INDIRECT("'"&amp;$A10&amp;"'!AA14")</f>
        <v/>
      </c>
      <c r="AE10" s="81">
        <f t="array" ref="AE10">INDIRECT("'"&amp;$A9&amp;"'!J4")</f>
        <v/>
      </c>
      <c r="AF10" s="53" t="n"/>
    </row>
    <row r="11">
      <c r="A11" s="58" t="n">
        <v>4</v>
      </c>
      <c r="B11" s="103">
        <f>INDEX(data!$I$2:$I$98,MATCH(A11*1,data!$G$2:$G$98,0))</f>
        <v/>
      </c>
      <c r="C11" s="66">
        <f>HYPERLINK("#'" &amp; A11 &amp; "'!A1", "编辑")</f>
        <v/>
      </c>
      <c r="D11" s="54" t="inlineStr">
        <is>
          <t>1队</t>
        </is>
      </c>
      <c r="E11" s="79">
        <f t="array" ref="E11">INDIRECT("'"&amp;$A12&amp;"'!I2")</f>
        <v/>
      </c>
      <c r="F11" s="29">
        <f t="array" ref="F11">INDIRECT("'"&amp;$A11&amp;"'!C8")</f>
        <v/>
      </c>
      <c r="G11" s="30">
        <f t="array" ref="G11">INDIRECT("'"&amp;$A11&amp;"'!D8")</f>
        <v/>
      </c>
      <c r="H11" s="30">
        <f t="array" ref="H11">INDIRECT("'"&amp;$A11&amp;"'!E8")</f>
        <v/>
      </c>
      <c r="I11" s="30">
        <f t="array" ref="I11">INDIRECT("'"&amp;$A11&amp;"'!F8")</f>
        <v/>
      </c>
      <c r="J11" s="30">
        <f t="array" ref="J11">INDIRECT("'"&amp;$A11&amp;"'!G8")</f>
        <v/>
      </c>
      <c r="K11" s="30">
        <f t="array" ref="K11">INDIRECT("'"&amp;$A11&amp;"'!H8")</f>
        <v/>
      </c>
      <c r="L11" s="30">
        <f t="array" ref="L11">INDIRECT("'"&amp;$A11&amp;"'!I8")</f>
        <v/>
      </c>
      <c r="M11" s="30">
        <f t="array" ref="M11">INDIRECT("'"&amp;$A11&amp;"'!J8")</f>
        <v/>
      </c>
      <c r="N11" s="30">
        <f t="array" ref="N11">INDIRECT("'"&amp;$A11&amp;"'!K8")</f>
        <v/>
      </c>
      <c r="O11" s="30">
        <f t="array" ref="O11">INDIRECT("'"&amp;$A11&amp;"'!L8")</f>
        <v/>
      </c>
      <c r="P11" s="30">
        <f t="array" ref="P11">INDIRECT("'"&amp;$A11&amp;"'!M8")</f>
        <v/>
      </c>
      <c r="Q11" s="30">
        <f t="array" ref="Q11">INDIRECT("'"&amp;$A11&amp;"'!N8")</f>
        <v/>
      </c>
      <c r="R11" s="30">
        <f t="array" ref="R11">INDIRECT("'"&amp;$A11&amp;"'!O8")</f>
        <v/>
      </c>
      <c r="S11" s="30">
        <f t="array" ref="S11">INDIRECT("'"&amp;$A11&amp;"'!P8")</f>
        <v/>
      </c>
      <c r="T11" s="30">
        <f t="array" ref="T11">INDIRECT("'"&amp;$A11&amp;"'!Q8")</f>
        <v/>
      </c>
      <c r="U11" s="30">
        <f t="array" ref="U11">INDIRECT("'"&amp;$A11&amp;"'!R8")</f>
        <v/>
      </c>
      <c r="V11" s="30">
        <f t="array" ref="V11">INDIRECT("'"&amp;$A11&amp;"'!S8")</f>
        <v/>
      </c>
      <c r="W11" s="30">
        <f t="array" ref="W11">INDIRECT("'"&amp;$A11&amp;"'!T8")</f>
        <v/>
      </c>
      <c r="X11" s="30">
        <f t="array" ref="X11">INDIRECT("'"&amp;$A11&amp;"'!U8")</f>
        <v/>
      </c>
      <c r="Y11" s="30">
        <f t="array" ref="Y11">INDIRECT("'"&amp;$A11&amp;"'!V8")</f>
        <v/>
      </c>
      <c r="Z11" s="30">
        <f t="array" ref="Z11">INDIRECT("'"&amp;$A11&amp;"'!W8")</f>
        <v/>
      </c>
      <c r="AA11" s="30">
        <f t="array" ref="AA11">INDIRECT("'"&amp;$A11&amp;"'!X8")</f>
        <v/>
      </c>
      <c r="AB11" s="30">
        <f t="array" ref="AB11">INDIRECT("'"&amp;$A11&amp;"'!Y8")</f>
        <v/>
      </c>
      <c r="AC11" s="30">
        <f t="array" ref="AC11">INDIRECT("'"&amp;$A11&amp;"'!Z8")</f>
        <v/>
      </c>
      <c r="AD11" s="31">
        <f t="array" ref="AD11">INDIRECT("'"&amp;$A11&amp;"'!AA8")</f>
        <v/>
      </c>
      <c r="AE11" s="79">
        <f t="array" ref="AE11">INDIRECT("'"&amp;$A12&amp;"'!J2")</f>
        <v/>
      </c>
      <c r="AF11" s="53">
        <f t="array" ref="AF11">INDIRECT("'"&amp;$A12&amp;"'!AD1")</f>
        <v/>
      </c>
    </row>
    <row r="12">
      <c r="A12" s="58" t="n">
        <v>4</v>
      </c>
      <c r="B12" s="105" t="n"/>
      <c r="C12" s="67">
        <f t="array" ref="C12">CONCATENATE("粮 ",INDIRECT("'"&amp;$A12&amp;"'!D4"))</f>
        <v/>
      </c>
      <c r="D12" s="55" t="inlineStr">
        <is>
          <t>2队</t>
        </is>
      </c>
      <c r="E12" s="80">
        <f t="array" ref="E12">INDIRECT("'"&amp;$A12&amp;"'!I3")</f>
        <v/>
      </c>
      <c r="F12" s="52">
        <f t="array" ref="F12">INDIRECT("'"&amp;$A12&amp;"'!C11")</f>
        <v/>
      </c>
      <c r="G12" s="3">
        <f t="array" ref="G12">INDIRECT("'"&amp;$A12&amp;"'!D11")</f>
        <v/>
      </c>
      <c r="H12" s="3">
        <f t="array" ref="H12">INDIRECT("'"&amp;$A12&amp;"'!E11")</f>
        <v/>
      </c>
      <c r="I12" s="3">
        <f t="array" ref="I12">INDIRECT("'"&amp;$A12&amp;"'!F11")</f>
        <v/>
      </c>
      <c r="J12" s="3">
        <f t="array" ref="J12">INDIRECT("'"&amp;$A12&amp;"'!G11")</f>
        <v/>
      </c>
      <c r="K12" s="3">
        <f t="array" ref="K12">INDIRECT("'"&amp;$A12&amp;"'!H11")</f>
        <v/>
      </c>
      <c r="L12" s="3">
        <f t="array" ref="L12">INDIRECT("'"&amp;$A12&amp;"'!I11")</f>
        <v/>
      </c>
      <c r="M12" s="3">
        <f t="array" ref="M12">INDIRECT("'"&amp;$A12&amp;"'!J11")</f>
        <v/>
      </c>
      <c r="N12" s="3">
        <f t="array" ref="N12">INDIRECT("'"&amp;$A12&amp;"'!K11")</f>
        <v/>
      </c>
      <c r="O12" s="3">
        <f t="array" ref="O12">INDIRECT("'"&amp;$A12&amp;"'!L11")</f>
        <v/>
      </c>
      <c r="P12" s="3">
        <f t="array" ref="P12">INDIRECT("'"&amp;$A12&amp;"'!M11")</f>
        <v/>
      </c>
      <c r="Q12" s="3">
        <f t="array" ref="Q12">INDIRECT("'"&amp;$A12&amp;"'!N11")</f>
        <v/>
      </c>
      <c r="R12" s="3">
        <f t="array" ref="R12">INDIRECT("'"&amp;$A12&amp;"'!O11")</f>
        <v/>
      </c>
      <c r="S12" s="3">
        <f t="array" ref="S12">INDIRECT("'"&amp;$A12&amp;"'!P11")</f>
        <v/>
      </c>
      <c r="T12" s="3">
        <f t="array" ref="T12">INDIRECT("'"&amp;$A12&amp;"'!Q11")</f>
        <v/>
      </c>
      <c r="U12" s="3">
        <f t="array" ref="U12">INDIRECT("'"&amp;$A12&amp;"'!R11")</f>
        <v/>
      </c>
      <c r="V12" s="3">
        <f t="array" ref="V12">INDIRECT("'"&amp;$A12&amp;"'!S11")</f>
        <v/>
      </c>
      <c r="W12" s="3">
        <f t="array" ref="W12">INDIRECT("'"&amp;$A12&amp;"'!T11")</f>
        <v/>
      </c>
      <c r="X12" s="3">
        <f t="array" ref="X12">INDIRECT("'"&amp;$A12&amp;"'!U11")</f>
        <v/>
      </c>
      <c r="Y12" s="3">
        <f t="array" ref="Y12">INDIRECT("'"&amp;$A12&amp;"'!V11")</f>
        <v/>
      </c>
      <c r="Z12" s="3">
        <f t="array" ref="Z12">INDIRECT("'"&amp;$A12&amp;"'!W11")</f>
        <v/>
      </c>
      <c r="AA12" s="3">
        <f t="array" ref="AA12">INDIRECT("'"&amp;$A12&amp;"'!X11")</f>
        <v/>
      </c>
      <c r="AB12" s="3">
        <f t="array" ref="AB12">INDIRECT("'"&amp;$A12&amp;"'!Y11")</f>
        <v/>
      </c>
      <c r="AC12" s="3">
        <f t="array" ref="AC12">INDIRECT("'"&amp;$A12&amp;"'!Z11")</f>
        <v/>
      </c>
      <c r="AD12" s="32">
        <f t="array" ref="AD12">INDIRECT("'"&amp;$A12&amp;"'!AA11")</f>
        <v/>
      </c>
      <c r="AE12" s="80">
        <f t="array" ref="AE12">INDIRECT("'"&amp;$A12&amp;"'!J3")</f>
        <v/>
      </c>
      <c r="AF12" s="53">
        <f t="array" ref="AF12">INDIRECT("'"&amp;$A12&amp;"'!AC1")</f>
        <v/>
      </c>
    </row>
    <row r="13" ht="15.75" customHeight="1" thickBot="1">
      <c r="A13" s="58" t="n">
        <v>4</v>
      </c>
      <c r="B13" s="106" t="n"/>
      <c r="C13" s="77">
        <f t="array" ref="C13">CONCATENATE("分 ",INDIRECT("'"&amp;$A12&amp;"'!D6"))</f>
        <v/>
      </c>
      <c r="D13" s="56" t="inlineStr">
        <is>
          <t>3队</t>
        </is>
      </c>
      <c r="E13" s="81">
        <f t="array" ref="E13">INDIRECT("'"&amp;$A12&amp;"'!I4")</f>
        <v/>
      </c>
      <c r="F13" s="52">
        <f t="array" ref="F13">INDIRECT("'"&amp;$A13&amp;"'!C14")</f>
        <v/>
      </c>
      <c r="G13" s="3">
        <f t="array" ref="G13">INDIRECT("'"&amp;$A13&amp;"'!D14")</f>
        <v/>
      </c>
      <c r="H13" s="3">
        <f t="array" ref="H13">INDIRECT("'"&amp;$A13&amp;"'!E14")</f>
        <v/>
      </c>
      <c r="I13" s="3">
        <f t="array" ref="I13">INDIRECT("'"&amp;$A13&amp;"'!F14")</f>
        <v/>
      </c>
      <c r="J13" s="3">
        <f t="array" ref="J13">INDIRECT("'"&amp;$A13&amp;"'!G14")</f>
        <v/>
      </c>
      <c r="K13" s="3">
        <f t="array" ref="K13">INDIRECT("'"&amp;$A13&amp;"'!H14")</f>
        <v/>
      </c>
      <c r="L13" s="3">
        <f t="array" ref="L13">INDIRECT("'"&amp;$A13&amp;"'!I14")</f>
        <v/>
      </c>
      <c r="M13" s="3">
        <f t="array" ref="M13">INDIRECT("'"&amp;$A13&amp;"'!J14")</f>
        <v/>
      </c>
      <c r="N13" s="3">
        <f t="array" ref="N13">INDIRECT("'"&amp;$A13&amp;"'!K14")</f>
        <v/>
      </c>
      <c r="O13" s="3">
        <f t="array" ref="O13">INDIRECT("'"&amp;$A13&amp;"'!L14")</f>
        <v/>
      </c>
      <c r="P13" s="3">
        <f t="array" ref="P13">INDIRECT("'"&amp;$A13&amp;"'!M14")</f>
        <v/>
      </c>
      <c r="Q13" s="3">
        <f t="array" ref="Q13">INDIRECT("'"&amp;$A13&amp;"'!N14")</f>
        <v/>
      </c>
      <c r="R13" s="3">
        <f t="array" ref="R13">INDIRECT("'"&amp;$A13&amp;"'!O14")</f>
        <v/>
      </c>
      <c r="S13" s="3">
        <f t="array" ref="S13">INDIRECT("'"&amp;$A13&amp;"'!P14")</f>
        <v/>
      </c>
      <c r="T13" s="3">
        <f t="array" ref="T13">INDIRECT("'"&amp;$A13&amp;"'!Q14")</f>
        <v/>
      </c>
      <c r="U13" s="3">
        <f t="array" ref="U13">INDIRECT("'"&amp;$A13&amp;"'!R14")</f>
        <v/>
      </c>
      <c r="V13" s="3">
        <f t="array" ref="V13">INDIRECT("'"&amp;$A13&amp;"'!S14")</f>
        <v/>
      </c>
      <c r="W13" s="3">
        <f t="array" ref="W13">INDIRECT("'"&amp;$A13&amp;"'!T14")</f>
        <v/>
      </c>
      <c r="X13" s="3">
        <f t="array" ref="X13">INDIRECT("'"&amp;$A13&amp;"'!U14")</f>
        <v/>
      </c>
      <c r="Y13" s="3">
        <f t="array" ref="Y13">INDIRECT("'"&amp;$A13&amp;"'!V14")</f>
        <v/>
      </c>
      <c r="Z13" s="3">
        <f t="array" ref="Z13">INDIRECT("'"&amp;$A13&amp;"'!W14")</f>
        <v/>
      </c>
      <c r="AA13" s="3">
        <f t="array" ref="AA13">INDIRECT("'"&amp;$A13&amp;"'!X14")</f>
        <v/>
      </c>
      <c r="AB13" s="3">
        <f t="array" ref="AB13">INDIRECT("'"&amp;$A13&amp;"'!Y14")</f>
        <v/>
      </c>
      <c r="AC13" s="3">
        <f t="array" ref="AC13">INDIRECT("'"&amp;$A13&amp;"'!Z14")</f>
        <v/>
      </c>
      <c r="AD13" s="32">
        <f t="array" ref="AD13">INDIRECT("'"&amp;$A13&amp;"'!AA14")</f>
        <v/>
      </c>
      <c r="AE13" s="81">
        <f t="array" ref="AE13">INDIRECT("'"&amp;$A12&amp;"'!J4")</f>
        <v/>
      </c>
      <c r="AF13" s="53" t="n"/>
    </row>
    <row r="14">
      <c r="A14" s="58" t="n">
        <v>5</v>
      </c>
      <c r="B14" s="103">
        <f>INDEX(data!$I$2:$I$98,MATCH(A14*1,data!$G$2:$G$98,0))</f>
        <v/>
      </c>
      <c r="C14" s="66">
        <f>HYPERLINK("#'" &amp; A14 &amp; "'!A1", "编辑")</f>
        <v/>
      </c>
      <c r="D14" s="54" t="inlineStr">
        <is>
          <t>1队</t>
        </is>
      </c>
      <c r="E14" s="79">
        <f t="array" ref="E14">INDIRECT("'"&amp;$A15&amp;"'!I2")</f>
        <v/>
      </c>
      <c r="F14" s="29">
        <f t="array" ref="F14">INDIRECT("'"&amp;$A14&amp;"'!C8")</f>
        <v/>
      </c>
      <c r="G14" s="30">
        <f t="array" ref="G14">INDIRECT("'"&amp;$A14&amp;"'!D8")</f>
        <v/>
      </c>
      <c r="H14" s="30">
        <f t="array" ref="H14">INDIRECT("'"&amp;$A14&amp;"'!E8")</f>
        <v/>
      </c>
      <c r="I14" s="30">
        <f t="array" ref="I14">INDIRECT("'"&amp;$A14&amp;"'!F8")</f>
        <v/>
      </c>
      <c r="J14" s="30">
        <f t="array" ref="J14">INDIRECT("'"&amp;$A14&amp;"'!G8")</f>
        <v/>
      </c>
      <c r="K14" s="30">
        <f t="array" ref="K14">INDIRECT("'"&amp;$A14&amp;"'!H8")</f>
        <v/>
      </c>
      <c r="L14" s="30">
        <f t="array" ref="L14">INDIRECT("'"&amp;$A14&amp;"'!I8")</f>
        <v/>
      </c>
      <c r="M14" s="30">
        <f t="array" ref="M14">INDIRECT("'"&amp;$A14&amp;"'!J8")</f>
        <v/>
      </c>
      <c r="N14" s="30">
        <f t="array" ref="N14">INDIRECT("'"&amp;$A14&amp;"'!K8")</f>
        <v/>
      </c>
      <c r="O14" s="30">
        <f t="array" ref="O14">INDIRECT("'"&amp;$A14&amp;"'!L8")</f>
        <v/>
      </c>
      <c r="P14" s="30">
        <f t="array" ref="P14">INDIRECT("'"&amp;$A14&amp;"'!M8")</f>
        <v/>
      </c>
      <c r="Q14" s="30">
        <f t="array" ref="Q14">INDIRECT("'"&amp;$A14&amp;"'!N8")</f>
        <v/>
      </c>
      <c r="R14" s="30">
        <f t="array" ref="R14">INDIRECT("'"&amp;$A14&amp;"'!O8")</f>
        <v/>
      </c>
      <c r="S14" s="30">
        <f t="array" ref="S14">INDIRECT("'"&amp;$A14&amp;"'!P8")</f>
        <v/>
      </c>
      <c r="T14" s="30">
        <f t="array" ref="T14">INDIRECT("'"&amp;$A14&amp;"'!Q8")</f>
        <v/>
      </c>
      <c r="U14" s="30">
        <f t="array" ref="U14">INDIRECT("'"&amp;$A14&amp;"'!R8")</f>
        <v/>
      </c>
      <c r="V14" s="30">
        <f t="array" ref="V14">INDIRECT("'"&amp;$A14&amp;"'!S8")</f>
        <v/>
      </c>
      <c r="W14" s="30">
        <f t="array" ref="W14">INDIRECT("'"&amp;$A14&amp;"'!T8")</f>
        <v/>
      </c>
      <c r="X14" s="30">
        <f t="array" ref="X14">INDIRECT("'"&amp;$A14&amp;"'!U8")</f>
        <v/>
      </c>
      <c r="Y14" s="30">
        <f t="array" ref="Y14">INDIRECT("'"&amp;$A14&amp;"'!V8")</f>
        <v/>
      </c>
      <c r="Z14" s="30">
        <f t="array" ref="Z14">INDIRECT("'"&amp;$A14&amp;"'!W8")</f>
        <v/>
      </c>
      <c r="AA14" s="30">
        <f t="array" ref="AA14">INDIRECT("'"&amp;$A14&amp;"'!X8")</f>
        <v/>
      </c>
      <c r="AB14" s="30">
        <f t="array" ref="AB14">INDIRECT("'"&amp;$A14&amp;"'!Y8")</f>
        <v/>
      </c>
      <c r="AC14" s="30">
        <f t="array" ref="AC14">INDIRECT("'"&amp;$A14&amp;"'!Z8")</f>
        <v/>
      </c>
      <c r="AD14" s="31">
        <f t="array" ref="AD14">INDIRECT("'"&amp;$A14&amp;"'!AA8")</f>
        <v/>
      </c>
      <c r="AE14" s="79">
        <f t="array" ref="AE14">INDIRECT("'"&amp;$A15&amp;"'!J2")</f>
        <v/>
      </c>
      <c r="AF14" s="53">
        <f t="array" ref="AF14">INDIRECT("'"&amp;$A15&amp;"'!AD1")</f>
        <v/>
      </c>
    </row>
    <row r="15">
      <c r="A15" s="58" t="n">
        <v>5</v>
      </c>
      <c r="B15" s="105" t="n"/>
      <c r="C15" s="67">
        <f t="array" ref="C15">CONCATENATE("粮 ",INDIRECT("'"&amp;$A15&amp;"'!D4"))</f>
        <v/>
      </c>
      <c r="D15" s="55" t="inlineStr">
        <is>
          <t>2队</t>
        </is>
      </c>
      <c r="E15" s="80">
        <f t="array" ref="E15">INDIRECT("'"&amp;$A15&amp;"'!I3")</f>
        <v/>
      </c>
      <c r="F15" s="52">
        <f t="array" ref="F15">INDIRECT("'"&amp;$A15&amp;"'!C11")</f>
        <v/>
      </c>
      <c r="G15" s="3">
        <f t="array" ref="G15">INDIRECT("'"&amp;$A15&amp;"'!D11")</f>
        <v/>
      </c>
      <c r="H15" s="3">
        <f t="array" ref="H15">INDIRECT("'"&amp;$A15&amp;"'!E11")</f>
        <v/>
      </c>
      <c r="I15" s="3">
        <f t="array" ref="I15">INDIRECT("'"&amp;$A15&amp;"'!F11")</f>
        <v/>
      </c>
      <c r="J15" s="3">
        <f t="array" ref="J15">INDIRECT("'"&amp;$A15&amp;"'!G11")</f>
        <v/>
      </c>
      <c r="K15" s="3">
        <f t="array" ref="K15">INDIRECT("'"&amp;$A15&amp;"'!H11")</f>
        <v/>
      </c>
      <c r="L15" s="3">
        <f t="array" ref="L15">INDIRECT("'"&amp;$A15&amp;"'!I11")</f>
        <v/>
      </c>
      <c r="M15" s="3">
        <f t="array" ref="M15">INDIRECT("'"&amp;$A15&amp;"'!J11")</f>
        <v/>
      </c>
      <c r="N15" s="3">
        <f t="array" ref="N15">INDIRECT("'"&amp;$A15&amp;"'!K11")</f>
        <v/>
      </c>
      <c r="O15" s="3">
        <f t="array" ref="O15">INDIRECT("'"&amp;$A15&amp;"'!L11")</f>
        <v/>
      </c>
      <c r="P15" s="3">
        <f t="array" ref="P15">INDIRECT("'"&amp;$A15&amp;"'!M11")</f>
        <v/>
      </c>
      <c r="Q15" s="3">
        <f t="array" ref="Q15">INDIRECT("'"&amp;$A15&amp;"'!N11")</f>
        <v/>
      </c>
      <c r="R15" s="3">
        <f t="array" ref="R15">INDIRECT("'"&amp;$A15&amp;"'!O11")</f>
        <v/>
      </c>
      <c r="S15" s="3">
        <f t="array" ref="S15">INDIRECT("'"&amp;$A15&amp;"'!P11")</f>
        <v/>
      </c>
      <c r="T15" s="3">
        <f t="array" ref="T15">INDIRECT("'"&amp;$A15&amp;"'!Q11")</f>
        <v/>
      </c>
      <c r="U15" s="3">
        <f t="array" ref="U15">INDIRECT("'"&amp;$A15&amp;"'!R11")</f>
        <v/>
      </c>
      <c r="V15" s="3">
        <f t="array" ref="V15">INDIRECT("'"&amp;$A15&amp;"'!S11")</f>
        <v/>
      </c>
      <c r="W15" s="3">
        <f t="array" ref="W15">INDIRECT("'"&amp;$A15&amp;"'!T11")</f>
        <v/>
      </c>
      <c r="X15" s="3">
        <f t="array" ref="X15">INDIRECT("'"&amp;$A15&amp;"'!U11")</f>
        <v/>
      </c>
      <c r="Y15" s="3">
        <f t="array" ref="Y15">INDIRECT("'"&amp;$A15&amp;"'!V11")</f>
        <v/>
      </c>
      <c r="Z15" s="3">
        <f t="array" ref="Z15">INDIRECT("'"&amp;$A15&amp;"'!W11")</f>
        <v/>
      </c>
      <c r="AA15" s="3">
        <f t="array" ref="AA15">INDIRECT("'"&amp;$A15&amp;"'!X11")</f>
        <v/>
      </c>
      <c r="AB15" s="3">
        <f t="array" ref="AB15">INDIRECT("'"&amp;$A15&amp;"'!Y11")</f>
        <v/>
      </c>
      <c r="AC15" s="3">
        <f t="array" ref="AC15">INDIRECT("'"&amp;$A15&amp;"'!Z11")</f>
        <v/>
      </c>
      <c r="AD15" s="32">
        <f t="array" ref="AD15">INDIRECT("'"&amp;$A15&amp;"'!AA11")</f>
        <v/>
      </c>
      <c r="AE15" s="80">
        <f t="array" ref="AE15">INDIRECT("'"&amp;$A15&amp;"'!J3")</f>
        <v/>
      </c>
      <c r="AF15" s="53">
        <f t="array" ref="AF15">INDIRECT("'"&amp;$A15&amp;"'!AC1")</f>
        <v/>
      </c>
    </row>
    <row r="16" ht="15.75" customHeight="1" thickBot="1">
      <c r="A16" s="58" t="n">
        <v>5</v>
      </c>
      <c r="B16" s="106" t="n"/>
      <c r="C16" s="77">
        <f t="array" ref="C16">CONCATENATE("分 ",INDIRECT("'"&amp;$A15&amp;"'!D6"))</f>
        <v/>
      </c>
      <c r="D16" s="56" t="inlineStr">
        <is>
          <t>3队</t>
        </is>
      </c>
      <c r="E16" s="81">
        <f t="array" ref="E16">INDIRECT("'"&amp;$A15&amp;"'!I4")</f>
        <v/>
      </c>
      <c r="F16" s="52">
        <f t="array" ref="F16">INDIRECT("'"&amp;$A16&amp;"'!C14")</f>
        <v/>
      </c>
      <c r="G16" s="3">
        <f t="array" ref="G16">INDIRECT("'"&amp;$A16&amp;"'!D14")</f>
        <v/>
      </c>
      <c r="H16" s="3">
        <f t="array" ref="H16">INDIRECT("'"&amp;$A16&amp;"'!E14")</f>
        <v/>
      </c>
      <c r="I16" s="3">
        <f t="array" ref="I16">INDIRECT("'"&amp;$A16&amp;"'!F14")</f>
        <v/>
      </c>
      <c r="J16" s="3">
        <f t="array" ref="J16">INDIRECT("'"&amp;$A16&amp;"'!G14")</f>
        <v/>
      </c>
      <c r="K16" s="3">
        <f t="array" ref="K16">INDIRECT("'"&amp;$A16&amp;"'!H14")</f>
        <v/>
      </c>
      <c r="L16" s="3">
        <f t="array" ref="L16">INDIRECT("'"&amp;$A16&amp;"'!I14")</f>
        <v/>
      </c>
      <c r="M16" s="3">
        <f t="array" ref="M16">INDIRECT("'"&amp;$A16&amp;"'!J14")</f>
        <v/>
      </c>
      <c r="N16" s="3">
        <f t="array" ref="N16">INDIRECT("'"&amp;$A16&amp;"'!K14")</f>
        <v/>
      </c>
      <c r="O16" s="3">
        <f t="array" ref="O16">INDIRECT("'"&amp;$A16&amp;"'!L14")</f>
        <v/>
      </c>
      <c r="P16" s="3">
        <f t="array" ref="P16">INDIRECT("'"&amp;$A16&amp;"'!M14")</f>
        <v/>
      </c>
      <c r="Q16" s="3">
        <f t="array" ref="Q16">INDIRECT("'"&amp;$A16&amp;"'!N14")</f>
        <v/>
      </c>
      <c r="R16" s="3">
        <f t="array" ref="R16">INDIRECT("'"&amp;$A16&amp;"'!O14")</f>
        <v/>
      </c>
      <c r="S16" s="3">
        <f t="array" ref="S16">INDIRECT("'"&amp;$A16&amp;"'!P14")</f>
        <v/>
      </c>
      <c r="T16" s="3">
        <f t="array" ref="T16">INDIRECT("'"&amp;$A16&amp;"'!Q14")</f>
        <v/>
      </c>
      <c r="U16" s="3">
        <f t="array" ref="U16">INDIRECT("'"&amp;$A16&amp;"'!R14")</f>
        <v/>
      </c>
      <c r="V16" s="3">
        <f t="array" ref="V16">INDIRECT("'"&amp;$A16&amp;"'!S14")</f>
        <v/>
      </c>
      <c r="W16" s="3">
        <f t="array" ref="W16">INDIRECT("'"&amp;$A16&amp;"'!T14")</f>
        <v/>
      </c>
      <c r="X16" s="3">
        <f t="array" ref="X16">INDIRECT("'"&amp;$A16&amp;"'!U14")</f>
        <v/>
      </c>
      <c r="Y16" s="3">
        <f t="array" ref="Y16">INDIRECT("'"&amp;$A16&amp;"'!V14")</f>
        <v/>
      </c>
      <c r="Z16" s="3">
        <f t="array" ref="Z16">INDIRECT("'"&amp;$A16&amp;"'!W14")</f>
        <v/>
      </c>
      <c r="AA16" s="3">
        <f t="array" ref="AA16">INDIRECT("'"&amp;$A16&amp;"'!X14")</f>
        <v/>
      </c>
      <c r="AB16" s="3">
        <f t="array" ref="AB16">INDIRECT("'"&amp;$A16&amp;"'!Y14")</f>
        <v/>
      </c>
      <c r="AC16" s="3">
        <f t="array" ref="AC16">INDIRECT("'"&amp;$A16&amp;"'!Z14")</f>
        <v/>
      </c>
      <c r="AD16" s="32">
        <f t="array" ref="AD16">INDIRECT("'"&amp;$A16&amp;"'!AA14")</f>
        <v/>
      </c>
      <c r="AE16" s="81">
        <f t="array" ref="AE16">INDIRECT("'"&amp;$A15&amp;"'!J4")</f>
        <v/>
      </c>
      <c r="AF16" s="53" t="n"/>
    </row>
    <row r="17">
      <c r="A17" s="58" t="n">
        <v>6</v>
      </c>
      <c r="B17" s="103">
        <f>INDEX(data!$I$2:$I$98,MATCH(A17*1,data!$G$2:$G$98,0))</f>
        <v/>
      </c>
      <c r="C17" s="66">
        <f>HYPERLINK("#'" &amp; A17 &amp; "'!A1", "编辑")</f>
        <v/>
      </c>
      <c r="D17" s="54" t="inlineStr">
        <is>
          <t>1队</t>
        </is>
      </c>
      <c r="E17" s="79">
        <f t="array" ref="E17">INDIRECT("'"&amp;$A18&amp;"'!I2")</f>
        <v/>
      </c>
      <c r="F17" s="29">
        <f t="array" ref="F17">INDIRECT("'"&amp;$A17&amp;"'!C8")</f>
        <v/>
      </c>
      <c r="G17" s="30">
        <f t="array" ref="G17">INDIRECT("'"&amp;$A17&amp;"'!D8")</f>
        <v/>
      </c>
      <c r="H17" s="30">
        <f t="array" ref="H17">INDIRECT("'"&amp;$A17&amp;"'!E8")</f>
        <v/>
      </c>
      <c r="I17" s="30">
        <f t="array" ref="I17">INDIRECT("'"&amp;$A17&amp;"'!F8")</f>
        <v/>
      </c>
      <c r="J17" s="30">
        <f t="array" ref="J17">INDIRECT("'"&amp;$A17&amp;"'!G8")</f>
        <v/>
      </c>
      <c r="K17" s="30">
        <f t="array" ref="K17">INDIRECT("'"&amp;$A17&amp;"'!H8")</f>
        <v/>
      </c>
      <c r="L17" s="30">
        <f t="array" ref="L17">INDIRECT("'"&amp;$A17&amp;"'!I8")</f>
        <v/>
      </c>
      <c r="M17" s="30">
        <f t="array" ref="M17">INDIRECT("'"&amp;$A17&amp;"'!J8")</f>
        <v/>
      </c>
      <c r="N17" s="30">
        <f t="array" ref="N17">INDIRECT("'"&amp;$A17&amp;"'!K8")</f>
        <v/>
      </c>
      <c r="O17" s="30">
        <f t="array" ref="O17">INDIRECT("'"&amp;$A17&amp;"'!L8")</f>
        <v/>
      </c>
      <c r="P17" s="30">
        <f t="array" ref="P17">INDIRECT("'"&amp;$A17&amp;"'!M8")</f>
        <v/>
      </c>
      <c r="Q17" s="30">
        <f t="array" ref="Q17">INDIRECT("'"&amp;$A17&amp;"'!N8")</f>
        <v/>
      </c>
      <c r="R17" s="30">
        <f t="array" ref="R17">INDIRECT("'"&amp;$A17&amp;"'!O8")</f>
        <v/>
      </c>
      <c r="S17" s="30">
        <f t="array" ref="S17">INDIRECT("'"&amp;$A17&amp;"'!P8")</f>
        <v/>
      </c>
      <c r="T17" s="30">
        <f t="array" ref="T17">INDIRECT("'"&amp;$A17&amp;"'!Q8")</f>
        <v/>
      </c>
      <c r="U17" s="30">
        <f t="array" ref="U17">INDIRECT("'"&amp;$A17&amp;"'!R8")</f>
        <v/>
      </c>
      <c r="V17" s="30">
        <f t="array" ref="V17">INDIRECT("'"&amp;$A17&amp;"'!S8")</f>
        <v/>
      </c>
      <c r="W17" s="30">
        <f t="array" ref="W17">INDIRECT("'"&amp;$A17&amp;"'!T8")</f>
        <v/>
      </c>
      <c r="X17" s="30">
        <f t="array" ref="X17">INDIRECT("'"&amp;$A17&amp;"'!U8")</f>
        <v/>
      </c>
      <c r="Y17" s="30">
        <f t="array" ref="Y17">INDIRECT("'"&amp;$A17&amp;"'!V8")</f>
        <v/>
      </c>
      <c r="Z17" s="30">
        <f t="array" ref="Z17">INDIRECT("'"&amp;$A17&amp;"'!W8")</f>
        <v/>
      </c>
      <c r="AA17" s="30">
        <f t="array" ref="AA17">INDIRECT("'"&amp;$A17&amp;"'!X8")</f>
        <v/>
      </c>
      <c r="AB17" s="30">
        <f t="array" ref="AB17">INDIRECT("'"&amp;$A17&amp;"'!Y8")</f>
        <v/>
      </c>
      <c r="AC17" s="30">
        <f t="array" ref="AC17">INDIRECT("'"&amp;$A17&amp;"'!Z8")</f>
        <v/>
      </c>
      <c r="AD17" s="31">
        <f t="array" ref="AD17">INDIRECT("'"&amp;$A17&amp;"'!AA8")</f>
        <v/>
      </c>
      <c r="AE17" s="79">
        <f t="array" ref="AE17">INDIRECT("'"&amp;$A18&amp;"'!J2")</f>
        <v/>
      </c>
      <c r="AF17" s="53">
        <f t="array" ref="AF17">INDIRECT("'"&amp;$A18&amp;"'!AD1")</f>
        <v/>
      </c>
    </row>
    <row r="18">
      <c r="A18" s="58" t="n">
        <v>6</v>
      </c>
      <c r="B18" s="105" t="n"/>
      <c r="C18" s="67">
        <f t="array" ref="C18">CONCATENATE("粮 ",INDIRECT("'"&amp;$A18&amp;"'!D4"))</f>
        <v/>
      </c>
      <c r="D18" s="55" t="inlineStr">
        <is>
          <t>2队</t>
        </is>
      </c>
      <c r="E18" s="80">
        <f t="array" ref="E18">INDIRECT("'"&amp;$A18&amp;"'!I3")</f>
        <v/>
      </c>
      <c r="F18" s="52">
        <f t="array" ref="F18">INDIRECT("'"&amp;$A18&amp;"'!C11")</f>
        <v/>
      </c>
      <c r="G18" s="3">
        <f t="array" ref="G18">INDIRECT("'"&amp;$A18&amp;"'!D11")</f>
        <v/>
      </c>
      <c r="H18" s="3">
        <f t="array" ref="H18">INDIRECT("'"&amp;$A18&amp;"'!E11")</f>
        <v/>
      </c>
      <c r="I18" s="3">
        <f t="array" ref="I18">INDIRECT("'"&amp;$A18&amp;"'!F11")</f>
        <v/>
      </c>
      <c r="J18" s="3">
        <f t="array" ref="J18">INDIRECT("'"&amp;$A18&amp;"'!G11")</f>
        <v/>
      </c>
      <c r="K18" s="3">
        <f t="array" ref="K18">INDIRECT("'"&amp;$A18&amp;"'!H11")</f>
        <v/>
      </c>
      <c r="L18" s="3">
        <f t="array" ref="L18">INDIRECT("'"&amp;$A18&amp;"'!I11")</f>
        <v/>
      </c>
      <c r="M18" s="3">
        <f t="array" ref="M18">INDIRECT("'"&amp;$A18&amp;"'!J11")</f>
        <v/>
      </c>
      <c r="N18" s="3">
        <f t="array" ref="N18">INDIRECT("'"&amp;$A18&amp;"'!K11")</f>
        <v/>
      </c>
      <c r="O18" s="3">
        <f t="array" ref="O18">INDIRECT("'"&amp;$A18&amp;"'!L11")</f>
        <v/>
      </c>
      <c r="P18" s="3">
        <f t="array" ref="P18">INDIRECT("'"&amp;$A18&amp;"'!M11")</f>
        <v/>
      </c>
      <c r="Q18" s="3">
        <f t="array" ref="Q18">INDIRECT("'"&amp;$A18&amp;"'!N11")</f>
        <v/>
      </c>
      <c r="R18" s="3">
        <f t="array" ref="R18">INDIRECT("'"&amp;$A18&amp;"'!O11")</f>
        <v/>
      </c>
      <c r="S18" s="3">
        <f t="array" ref="S18">INDIRECT("'"&amp;$A18&amp;"'!P11")</f>
        <v/>
      </c>
      <c r="T18" s="3">
        <f t="array" ref="T18">INDIRECT("'"&amp;$A18&amp;"'!Q11")</f>
        <v/>
      </c>
      <c r="U18" s="3">
        <f t="array" ref="U18">INDIRECT("'"&amp;$A18&amp;"'!R11")</f>
        <v/>
      </c>
      <c r="V18" s="3">
        <f t="array" ref="V18">INDIRECT("'"&amp;$A18&amp;"'!S11")</f>
        <v/>
      </c>
      <c r="W18" s="3">
        <f t="array" ref="W18">INDIRECT("'"&amp;$A18&amp;"'!T11")</f>
        <v/>
      </c>
      <c r="X18" s="3">
        <f t="array" ref="X18">INDIRECT("'"&amp;$A18&amp;"'!U11")</f>
        <v/>
      </c>
      <c r="Y18" s="3">
        <f t="array" ref="Y18">INDIRECT("'"&amp;$A18&amp;"'!V11")</f>
        <v/>
      </c>
      <c r="Z18" s="3">
        <f t="array" ref="Z18">INDIRECT("'"&amp;$A18&amp;"'!W11")</f>
        <v/>
      </c>
      <c r="AA18" s="3">
        <f t="array" ref="AA18">INDIRECT("'"&amp;$A18&amp;"'!X11")</f>
        <v/>
      </c>
      <c r="AB18" s="3">
        <f t="array" ref="AB18">INDIRECT("'"&amp;$A18&amp;"'!Y11")</f>
        <v/>
      </c>
      <c r="AC18" s="3">
        <f t="array" ref="AC18">INDIRECT("'"&amp;$A18&amp;"'!Z11")</f>
        <v/>
      </c>
      <c r="AD18" s="32">
        <f t="array" ref="AD18">INDIRECT("'"&amp;$A18&amp;"'!AA11")</f>
        <v/>
      </c>
      <c r="AE18" s="80">
        <f t="array" ref="AE18">INDIRECT("'"&amp;$A18&amp;"'!J3")</f>
        <v/>
      </c>
      <c r="AF18" s="53">
        <f t="array" ref="AF18">INDIRECT("'"&amp;$A18&amp;"'!AC1")</f>
        <v/>
      </c>
    </row>
    <row r="19" ht="15.75" customHeight="1" thickBot="1">
      <c r="A19" s="58" t="n">
        <v>6</v>
      </c>
      <c r="B19" s="106" t="n"/>
      <c r="C19" s="77">
        <f t="array" ref="C19">CONCATENATE("分 ",INDIRECT("'"&amp;$A18&amp;"'!D6"))</f>
        <v/>
      </c>
      <c r="D19" s="56" t="inlineStr">
        <is>
          <t>3队</t>
        </is>
      </c>
      <c r="E19" s="81">
        <f t="array" ref="E19">INDIRECT("'"&amp;$A18&amp;"'!I4")</f>
        <v/>
      </c>
      <c r="F19" s="52">
        <f t="array" ref="F19">INDIRECT("'"&amp;$A19&amp;"'!C14")</f>
        <v/>
      </c>
      <c r="G19" s="3">
        <f t="array" ref="G19">INDIRECT("'"&amp;$A19&amp;"'!D14")</f>
        <v/>
      </c>
      <c r="H19" s="3">
        <f t="array" ref="H19">INDIRECT("'"&amp;$A19&amp;"'!E14")</f>
        <v/>
      </c>
      <c r="I19" s="3">
        <f t="array" ref="I19">INDIRECT("'"&amp;$A19&amp;"'!F14")</f>
        <v/>
      </c>
      <c r="J19" s="3">
        <f t="array" ref="J19">INDIRECT("'"&amp;$A19&amp;"'!G14")</f>
        <v/>
      </c>
      <c r="K19" s="3">
        <f t="array" ref="K19">INDIRECT("'"&amp;$A19&amp;"'!H14")</f>
        <v/>
      </c>
      <c r="L19" s="3">
        <f t="array" ref="L19">INDIRECT("'"&amp;$A19&amp;"'!I14")</f>
        <v/>
      </c>
      <c r="M19" s="3">
        <f t="array" ref="M19">INDIRECT("'"&amp;$A19&amp;"'!J14")</f>
        <v/>
      </c>
      <c r="N19" s="3">
        <f t="array" ref="N19">INDIRECT("'"&amp;$A19&amp;"'!K14")</f>
        <v/>
      </c>
      <c r="O19" s="3">
        <f t="array" ref="O19">INDIRECT("'"&amp;$A19&amp;"'!L14")</f>
        <v/>
      </c>
      <c r="P19" s="3">
        <f t="array" ref="P19">INDIRECT("'"&amp;$A19&amp;"'!M14")</f>
        <v/>
      </c>
      <c r="Q19" s="3">
        <f t="array" ref="Q19">INDIRECT("'"&amp;$A19&amp;"'!N14")</f>
        <v/>
      </c>
      <c r="R19" s="3">
        <f t="array" ref="R19">INDIRECT("'"&amp;$A19&amp;"'!O14")</f>
        <v/>
      </c>
      <c r="S19" s="3">
        <f t="array" ref="S19">INDIRECT("'"&amp;$A19&amp;"'!P14")</f>
        <v/>
      </c>
      <c r="T19" s="3">
        <f t="array" ref="T19">INDIRECT("'"&amp;$A19&amp;"'!Q14")</f>
        <v/>
      </c>
      <c r="U19" s="3">
        <f t="array" ref="U19">INDIRECT("'"&amp;$A19&amp;"'!R14")</f>
        <v/>
      </c>
      <c r="V19" s="3">
        <f t="array" ref="V19">INDIRECT("'"&amp;$A19&amp;"'!S14")</f>
        <v/>
      </c>
      <c r="W19" s="3">
        <f t="array" ref="W19">INDIRECT("'"&amp;$A19&amp;"'!T14")</f>
        <v/>
      </c>
      <c r="X19" s="3">
        <f t="array" ref="X19">INDIRECT("'"&amp;$A19&amp;"'!U14")</f>
        <v/>
      </c>
      <c r="Y19" s="3">
        <f t="array" ref="Y19">INDIRECT("'"&amp;$A19&amp;"'!V14")</f>
        <v/>
      </c>
      <c r="Z19" s="3">
        <f t="array" ref="Z19">INDIRECT("'"&amp;$A19&amp;"'!W14")</f>
        <v/>
      </c>
      <c r="AA19" s="3">
        <f t="array" ref="AA19">INDIRECT("'"&amp;$A19&amp;"'!X14")</f>
        <v/>
      </c>
      <c r="AB19" s="3">
        <f t="array" ref="AB19">INDIRECT("'"&amp;$A19&amp;"'!Y14")</f>
        <v/>
      </c>
      <c r="AC19" s="3">
        <f t="array" ref="AC19">INDIRECT("'"&amp;$A19&amp;"'!Z14")</f>
        <v/>
      </c>
      <c r="AD19" s="32">
        <f t="array" ref="AD19">INDIRECT("'"&amp;$A19&amp;"'!AA14")</f>
        <v/>
      </c>
      <c r="AE19" s="81">
        <f t="array" ref="AE19">INDIRECT("'"&amp;$A18&amp;"'!J4")</f>
        <v/>
      </c>
      <c r="AF19" s="53" t="n"/>
    </row>
    <row r="20">
      <c r="A20" s="58" t="n">
        <v>7</v>
      </c>
      <c r="B20" s="103">
        <f>INDEX(data!$I$2:$I$98,MATCH(A20*1,data!$G$2:$G$98,0))</f>
        <v/>
      </c>
      <c r="C20" s="66">
        <f>HYPERLINK("#'" &amp; A20 &amp; "'!A1", "编辑")</f>
        <v/>
      </c>
      <c r="D20" s="54" t="inlineStr">
        <is>
          <t>1队</t>
        </is>
      </c>
      <c r="E20" s="79">
        <f t="array" ref="E20">INDIRECT("'"&amp;$A21&amp;"'!I2")</f>
        <v/>
      </c>
      <c r="F20" s="29">
        <f t="array" ref="F20">INDIRECT("'"&amp;$A20&amp;"'!C8")</f>
        <v/>
      </c>
      <c r="G20" s="30">
        <f t="array" ref="G20">INDIRECT("'"&amp;$A20&amp;"'!D8")</f>
        <v/>
      </c>
      <c r="H20" s="30">
        <f t="array" ref="H20">INDIRECT("'"&amp;$A20&amp;"'!E8")</f>
        <v/>
      </c>
      <c r="I20" s="30">
        <f t="array" ref="I20">INDIRECT("'"&amp;$A20&amp;"'!F8")</f>
        <v/>
      </c>
      <c r="J20" s="30">
        <f t="array" ref="J20">INDIRECT("'"&amp;$A20&amp;"'!G8")</f>
        <v/>
      </c>
      <c r="K20" s="30">
        <f t="array" ref="K20">INDIRECT("'"&amp;$A20&amp;"'!H8")</f>
        <v/>
      </c>
      <c r="L20" s="30">
        <f t="array" ref="L20">INDIRECT("'"&amp;$A20&amp;"'!I8")</f>
        <v/>
      </c>
      <c r="M20" s="30">
        <f t="array" ref="M20">INDIRECT("'"&amp;$A20&amp;"'!J8")</f>
        <v/>
      </c>
      <c r="N20" s="30">
        <f t="array" ref="N20">INDIRECT("'"&amp;$A20&amp;"'!K8")</f>
        <v/>
      </c>
      <c r="O20" s="30">
        <f t="array" ref="O20">INDIRECT("'"&amp;$A20&amp;"'!L8")</f>
        <v/>
      </c>
      <c r="P20" s="30">
        <f t="array" ref="P20">INDIRECT("'"&amp;$A20&amp;"'!M8")</f>
        <v/>
      </c>
      <c r="Q20" s="30">
        <f t="array" ref="Q20">INDIRECT("'"&amp;$A20&amp;"'!N8")</f>
        <v/>
      </c>
      <c r="R20" s="30">
        <f t="array" ref="R20">INDIRECT("'"&amp;$A20&amp;"'!O8")</f>
        <v/>
      </c>
      <c r="S20" s="30">
        <f t="array" ref="S20">INDIRECT("'"&amp;$A20&amp;"'!P8")</f>
        <v/>
      </c>
      <c r="T20" s="30">
        <f t="array" ref="T20">INDIRECT("'"&amp;$A20&amp;"'!Q8")</f>
        <v/>
      </c>
      <c r="U20" s="30">
        <f t="array" ref="U20">INDIRECT("'"&amp;$A20&amp;"'!R8")</f>
        <v/>
      </c>
      <c r="V20" s="30">
        <f t="array" ref="V20">INDIRECT("'"&amp;$A20&amp;"'!S8")</f>
        <v/>
      </c>
      <c r="W20" s="30">
        <f t="array" ref="W20">INDIRECT("'"&amp;$A20&amp;"'!T8")</f>
        <v/>
      </c>
      <c r="X20" s="30">
        <f t="array" ref="X20">INDIRECT("'"&amp;$A20&amp;"'!U8")</f>
        <v/>
      </c>
      <c r="Y20" s="30">
        <f t="array" ref="Y20">INDIRECT("'"&amp;$A20&amp;"'!V8")</f>
        <v/>
      </c>
      <c r="Z20" s="30">
        <f t="array" ref="Z20">INDIRECT("'"&amp;$A20&amp;"'!W8")</f>
        <v/>
      </c>
      <c r="AA20" s="30">
        <f t="array" ref="AA20">INDIRECT("'"&amp;$A20&amp;"'!X8")</f>
        <v/>
      </c>
      <c r="AB20" s="30">
        <f t="array" ref="AB20">INDIRECT("'"&amp;$A20&amp;"'!Y8")</f>
        <v/>
      </c>
      <c r="AC20" s="30">
        <f t="array" ref="AC20">INDIRECT("'"&amp;$A20&amp;"'!Z8")</f>
        <v/>
      </c>
      <c r="AD20" s="31">
        <f t="array" ref="AD20">INDIRECT("'"&amp;$A20&amp;"'!AA8")</f>
        <v/>
      </c>
      <c r="AE20" s="79">
        <f t="array" ref="AE20">INDIRECT("'"&amp;$A21&amp;"'!J2")</f>
        <v/>
      </c>
      <c r="AF20" s="53">
        <f t="array" ref="AF20">INDIRECT("'"&amp;$A21&amp;"'!AD1")</f>
        <v/>
      </c>
    </row>
    <row r="21">
      <c r="A21" s="58" t="n">
        <v>7</v>
      </c>
      <c r="B21" s="105" t="n"/>
      <c r="C21" s="67">
        <f t="array" ref="C21">CONCATENATE("粮 ",INDIRECT("'"&amp;$A21&amp;"'!D4"))</f>
        <v/>
      </c>
      <c r="D21" s="55" t="inlineStr">
        <is>
          <t>2队</t>
        </is>
      </c>
      <c r="E21" s="80">
        <f t="array" ref="E21">INDIRECT("'"&amp;$A21&amp;"'!I3")</f>
        <v/>
      </c>
      <c r="F21" s="52">
        <f t="array" ref="F21">INDIRECT("'"&amp;$A21&amp;"'!C11")</f>
        <v/>
      </c>
      <c r="G21" s="3">
        <f t="array" ref="G21">INDIRECT("'"&amp;$A21&amp;"'!D11")</f>
        <v/>
      </c>
      <c r="H21" s="3">
        <f t="array" ref="H21">INDIRECT("'"&amp;$A21&amp;"'!E11")</f>
        <v/>
      </c>
      <c r="I21" s="3">
        <f t="array" ref="I21">INDIRECT("'"&amp;$A21&amp;"'!F11")</f>
        <v/>
      </c>
      <c r="J21" s="3">
        <f t="array" ref="J21">INDIRECT("'"&amp;$A21&amp;"'!G11")</f>
        <v/>
      </c>
      <c r="K21" s="3">
        <f t="array" ref="K21">INDIRECT("'"&amp;$A21&amp;"'!H11")</f>
        <v/>
      </c>
      <c r="L21" s="3">
        <f t="array" ref="L21">INDIRECT("'"&amp;$A21&amp;"'!I11")</f>
        <v/>
      </c>
      <c r="M21" s="3">
        <f t="array" ref="M21">INDIRECT("'"&amp;$A21&amp;"'!J11")</f>
        <v/>
      </c>
      <c r="N21" s="3">
        <f t="array" ref="N21">INDIRECT("'"&amp;$A21&amp;"'!K11")</f>
        <v/>
      </c>
      <c r="O21" s="3">
        <f t="array" ref="O21">INDIRECT("'"&amp;$A21&amp;"'!L11")</f>
        <v/>
      </c>
      <c r="P21" s="3">
        <f t="array" ref="P21">INDIRECT("'"&amp;$A21&amp;"'!M11")</f>
        <v/>
      </c>
      <c r="Q21" s="3">
        <f t="array" ref="Q21">INDIRECT("'"&amp;$A21&amp;"'!N11")</f>
        <v/>
      </c>
      <c r="R21" s="3">
        <f t="array" ref="R21">INDIRECT("'"&amp;$A21&amp;"'!O11")</f>
        <v/>
      </c>
      <c r="S21" s="3">
        <f t="array" ref="S21">INDIRECT("'"&amp;$A21&amp;"'!P11")</f>
        <v/>
      </c>
      <c r="T21" s="3">
        <f t="array" ref="T21">INDIRECT("'"&amp;$A21&amp;"'!Q11")</f>
        <v/>
      </c>
      <c r="U21" s="3">
        <f t="array" ref="U21">INDIRECT("'"&amp;$A21&amp;"'!R11")</f>
        <v/>
      </c>
      <c r="V21" s="3">
        <f t="array" ref="V21">INDIRECT("'"&amp;$A21&amp;"'!S11")</f>
        <v/>
      </c>
      <c r="W21" s="3">
        <f t="array" ref="W21">INDIRECT("'"&amp;$A21&amp;"'!T11")</f>
        <v/>
      </c>
      <c r="X21" s="3">
        <f t="array" ref="X21">INDIRECT("'"&amp;$A21&amp;"'!U11")</f>
        <v/>
      </c>
      <c r="Y21" s="3">
        <f t="array" ref="Y21">INDIRECT("'"&amp;$A21&amp;"'!V11")</f>
        <v/>
      </c>
      <c r="Z21" s="3">
        <f t="array" ref="Z21">INDIRECT("'"&amp;$A21&amp;"'!W11")</f>
        <v/>
      </c>
      <c r="AA21" s="3">
        <f t="array" ref="AA21">INDIRECT("'"&amp;$A21&amp;"'!X11")</f>
        <v/>
      </c>
      <c r="AB21" s="3">
        <f t="array" ref="AB21">INDIRECT("'"&amp;$A21&amp;"'!Y11")</f>
        <v/>
      </c>
      <c r="AC21" s="3">
        <f t="array" ref="AC21">INDIRECT("'"&amp;$A21&amp;"'!Z11")</f>
        <v/>
      </c>
      <c r="AD21" s="32">
        <f t="array" ref="AD21">INDIRECT("'"&amp;$A21&amp;"'!AA11")</f>
        <v/>
      </c>
      <c r="AE21" s="80">
        <f t="array" ref="AE21">INDIRECT("'"&amp;$A21&amp;"'!J3")</f>
        <v/>
      </c>
      <c r="AF21" s="53">
        <f t="array" ref="AF21">INDIRECT("'"&amp;$A21&amp;"'!AC1")</f>
        <v/>
      </c>
    </row>
    <row r="22" ht="15.75" customHeight="1" thickBot="1">
      <c r="A22" s="58" t="n">
        <v>7</v>
      </c>
      <c r="B22" s="106" t="n"/>
      <c r="C22" s="77">
        <f t="array" ref="C22">CONCATENATE("分 ",INDIRECT("'"&amp;$A21&amp;"'!D6"))</f>
        <v/>
      </c>
      <c r="D22" s="56" t="inlineStr">
        <is>
          <t>3队</t>
        </is>
      </c>
      <c r="E22" s="81">
        <f t="array" ref="E22">INDIRECT("'"&amp;$A21&amp;"'!I4")</f>
        <v/>
      </c>
      <c r="F22" s="52">
        <f t="array" ref="F22">INDIRECT("'"&amp;$A22&amp;"'!C14")</f>
        <v/>
      </c>
      <c r="G22" s="3">
        <f t="array" ref="G22">INDIRECT("'"&amp;$A22&amp;"'!D14")</f>
        <v/>
      </c>
      <c r="H22" s="3">
        <f t="array" ref="H22">INDIRECT("'"&amp;$A22&amp;"'!E14")</f>
        <v/>
      </c>
      <c r="I22" s="3">
        <f t="array" ref="I22">INDIRECT("'"&amp;$A22&amp;"'!F14")</f>
        <v/>
      </c>
      <c r="J22" s="3">
        <f t="array" ref="J22">INDIRECT("'"&amp;$A22&amp;"'!G14")</f>
        <v/>
      </c>
      <c r="K22" s="3">
        <f t="array" ref="K22">INDIRECT("'"&amp;$A22&amp;"'!H14")</f>
        <v/>
      </c>
      <c r="L22" s="3">
        <f t="array" ref="L22">INDIRECT("'"&amp;$A22&amp;"'!I14")</f>
        <v/>
      </c>
      <c r="M22" s="3">
        <f t="array" ref="M22">INDIRECT("'"&amp;$A22&amp;"'!J14")</f>
        <v/>
      </c>
      <c r="N22" s="3">
        <f t="array" ref="N22">INDIRECT("'"&amp;$A22&amp;"'!K14")</f>
        <v/>
      </c>
      <c r="O22" s="3">
        <f t="array" ref="O22">INDIRECT("'"&amp;$A22&amp;"'!L14")</f>
        <v/>
      </c>
      <c r="P22" s="3">
        <f t="array" ref="P22">INDIRECT("'"&amp;$A22&amp;"'!M14")</f>
        <v/>
      </c>
      <c r="Q22" s="3">
        <f t="array" ref="Q22">INDIRECT("'"&amp;$A22&amp;"'!N14")</f>
        <v/>
      </c>
      <c r="R22" s="3">
        <f t="array" ref="R22">INDIRECT("'"&amp;$A22&amp;"'!O14")</f>
        <v/>
      </c>
      <c r="S22" s="3">
        <f t="array" ref="S22">INDIRECT("'"&amp;$A22&amp;"'!P14")</f>
        <v/>
      </c>
      <c r="T22" s="3">
        <f t="array" ref="T22">INDIRECT("'"&amp;$A22&amp;"'!Q14")</f>
        <v/>
      </c>
      <c r="U22" s="3">
        <f t="array" ref="U22">INDIRECT("'"&amp;$A22&amp;"'!R14")</f>
        <v/>
      </c>
      <c r="V22" s="3">
        <f t="array" ref="V22">INDIRECT("'"&amp;$A22&amp;"'!S14")</f>
        <v/>
      </c>
      <c r="W22" s="3">
        <f t="array" ref="W22">INDIRECT("'"&amp;$A22&amp;"'!T14")</f>
        <v/>
      </c>
      <c r="X22" s="3">
        <f t="array" ref="X22">INDIRECT("'"&amp;$A22&amp;"'!U14")</f>
        <v/>
      </c>
      <c r="Y22" s="3">
        <f t="array" ref="Y22">INDIRECT("'"&amp;$A22&amp;"'!V14")</f>
        <v/>
      </c>
      <c r="Z22" s="3">
        <f t="array" ref="Z22">INDIRECT("'"&amp;$A22&amp;"'!W14")</f>
        <v/>
      </c>
      <c r="AA22" s="3">
        <f t="array" ref="AA22">INDIRECT("'"&amp;$A22&amp;"'!X14")</f>
        <v/>
      </c>
      <c r="AB22" s="3">
        <f t="array" ref="AB22">INDIRECT("'"&amp;$A22&amp;"'!Y14")</f>
        <v/>
      </c>
      <c r="AC22" s="3">
        <f t="array" ref="AC22">INDIRECT("'"&amp;$A22&amp;"'!Z14")</f>
        <v/>
      </c>
      <c r="AD22" s="32">
        <f t="array" ref="AD22">INDIRECT("'"&amp;$A22&amp;"'!AA14")</f>
        <v/>
      </c>
      <c r="AE22" s="81">
        <f t="array" ref="AE22">INDIRECT("'"&amp;$A21&amp;"'!J4")</f>
        <v/>
      </c>
      <c r="AF22" s="53" t="n"/>
    </row>
    <row r="23">
      <c r="A23" s="58" t="n">
        <v>8</v>
      </c>
      <c r="B23" s="103">
        <f>INDEX(data!$I$2:$I$98,MATCH(A23*1,data!$G$2:$G$98,0))</f>
        <v/>
      </c>
      <c r="C23" s="66">
        <f>HYPERLINK("#'" &amp; A23 &amp; "'!A1", "编辑")</f>
        <v/>
      </c>
      <c r="D23" s="54" t="inlineStr">
        <is>
          <t>1队</t>
        </is>
      </c>
      <c r="E23" s="79">
        <f t="array" ref="E23">INDIRECT("'"&amp;$A24&amp;"'!I2")</f>
        <v/>
      </c>
      <c r="F23" s="29">
        <f t="array" ref="F23">INDIRECT("'"&amp;$A23&amp;"'!C8")</f>
        <v/>
      </c>
      <c r="G23" s="30">
        <f t="array" ref="G23">INDIRECT("'"&amp;$A23&amp;"'!D8")</f>
        <v/>
      </c>
      <c r="H23" s="30">
        <f t="array" ref="H23">INDIRECT("'"&amp;$A23&amp;"'!E8")</f>
        <v/>
      </c>
      <c r="I23" s="30">
        <f t="array" ref="I23">INDIRECT("'"&amp;$A23&amp;"'!F8")</f>
        <v/>
      </c>
      <c r="J23" s="30">
        <f t="array" ref="J23">INDIRECT("'"&amp;$A23&amp;"'!G8")</f>
        <v/>
      </c>
      <c r="K23" s="30">
        <f t="array" ref="K23">INDIRECT("'"&amp;$A23&amp;"'!H8")</f>
        <v/>
      </c>
      <c r="L23" s="30">
        <f t="array" ref="L23">INDIRECT("'"&amp;$A23&amp;"'!I8")</f>
        <v/>
      </c>
      <c r="M23" s="30">
        <f t="array" ref="M23">INDIRECT("'"&amp;$A23&amp;"'!J8")</f>
        <v/>
      </c>
      <c r="N23" s="30">
        <f t="array" ref="N23">INDIRECT("'"&amp;$A23&amp;"'!K8")</f>
        <v/>
      </c>
      <c r="O23" s="30">
        <f t="array" ref="O23">INDIRECT("'"&amp;$A23&amp;"'!L8")</f>
        <v/>
      </c>
      <c r="P23" s="30">
        <f t="array" ref="P23">INDIRECT("'"&amp;$A23&amp;"'!M8")</f>
        <v/>
      </c>
      <c r="Q23" s="30">
        <f t="array" ref="Q23">INDIRECT("'"&amp;$A23&amp;"'!N8")</f>
        <v/>
      </c>
      <c r="R23" s="30">
        <f t="array" ref="R23">INDIRECT("'"&amp;$A23&amp;"'!O8")</f>
        <v/>
      </c>
      <c r="S23" s="30">
        <f t="array" ref="S23">INDIRECT("'"&amp;$A23&amp;"'!P8")</f>
        <v/>
      </c>
      <c r="T23" s="30">
        <f t="array" ref="T23">INDIRECT("'"&amp;$A23&amp;"'!Q8")</f>
        <v/>
      </c>
      <c r="U23" s="30">
        <f t="array" ref="U23">INDIRECT("'"&amp;$A23&amp;"'!R8")</f>
        <v/>
      </c>
      <c r="V23" s="30">
        <f t="array" ref="V23">INDIRECT("'"&amp;$A23&amp;"'!S8")</f>
        <v/>
      </c>
      <c r="W23" s="30">
        <f t="array" ref="W23">INDIRECT("'"&amp;$A23&amp;"'!T8")</f>
        <v/>
      </c>
      <c r="X23" s="30">
        <f t="array" ref="X23">INDIRECT("'"&amp;$A23&amp;"'!U8")</f>
        <v/>
      </c>
      <c r="Y23" s="30">
        <f t="array" ref="Y23">INDIRECT("'"&amp;$A23&amp;"'!V8")</f>
        <v/>
      </c>
      <c r="Z23" s="30">
        <f t="array" ref="Z23">INDIRECT("'"&amp;$A23&amp;"'!W8")</f>
        <v/>
      </c>
      <c r="AA23" s="30">
        <f t="array" ref="AA23">INDIRECT("'"&amp;$A23&amp;"'!X8")</f>
        <v/>
      </c>
      <c r="AB23" s="30">
        <f t="array" ref="AB23">INDIRECT("'"&amp;$A23&amp;"'!Y8")</f>
        <v/>
      </c>
      <c r="AC23" s="30">
        <f t="array" ref="AC23">INDIRECT("'"&amp;$A23&amp;"'!Z8")</f>
        <v/>
      </c>
      <c r="AD23" s="31">
        <f t="array" ref="AD23">INDIRECT("'"&amp;$A23&amp;"'!AA8")</f>
        <v/>
      </c>
      <c r="AE23" s="79">
        <f t="array" ref="AE23">INDIRECT("'"&amp;$A24&amp;"'!J2")</f>
        <v/>
      </c>
      <c r="AF23" s="53">
        <f t="array" ref="AF23">INDIRECT("'"&amp;$A24&amp;"'!AD1")</f>
        <v/>
      </c>
    </row>
    <row r="24">
      <c r="A24" s="58" t="n">
        <v>8</v>
      </c>
      <c r="B24" s="105" t="n"/>
      <c r="C24" s="67">
        <f t="array" ref="C24">CONCATENATE("粮 ",INDIRECT("'"&amp;$A24&amp;"'!D4"))</f>
        <v/>
      </c>
      <c r="D24" s="55" t="inlineStr">
        <is>
          <t>2队</t>
        </is>
      </c>
      <c r="E24" s="80">
        <f t="array" ref="E24">INDIRECT("'"&amp;$A24&amp;"'!I3")</f>
        <v/>
      </c>
      <c r="F24" s="52">
        <f t="array" ref="F24">INDIRECT("'"&amp;$A24&amp;"'!C11")</f>
        <v/>
      </c>
      <c r="G24" s="3">
        <f t="array" ref="G24">INDIRECT("'"&amp;$A24&amp;"'!D11")</f>
        <v/>
      </c>
      <c r="H24" s="3">
        <f t="array" ref="H24">INDIRECT("'"&amp;$A24&amp;"'!E11")</f>
        <v/>
      </c>
      <c r="I24" s="3">
        <f t="array" ref="I24">INDIRECT("'"&amp;$A24&amp;"'!F11")</f>
        <v/>
      </c>
      <c r="J24" s="3">
        <f t="array" ref="J24">INDIRECT("'"&amp;$A24&amp;"'!G11")</f>
        <v/>
      </c>
      <c r="K24" s="3">
        <f t="array" ref="K24">INDIRECT("'"&amp;$A24&amp;"'!H11")</f>
        <v/>
      </c>
      <c r="L24" s="3">
        <f t="array" ref="L24">INDIRECT("'"&amp;$A24&amp;"'!I11")</f>
        <v/>
      </c>
      <c r="M24" s="3">
        <f t="array" ref="M24">INDIRECT("'"&amp;$A24&amp;"'!J11")</f>
        <v/>
      </c>
      <c r="N24" s="3">
        <f t="array" ref="N24">INDIRECT("'"&amp;$A24&amp;"'!K11")</f>
        <v/>
      </c>
      <c r="O24" s="3">
        <f t="array" ref="O24">INDIRECT("'"&amp;$A24&amp;"'!L11")</f>
        <v/>
      </c>
      <c r="P24" s="3">
        <f t="array" ref="P24">INDIRECT("'"&amp;$A24&amp;"'!M11")</f>
        <v/>
      </c>
      <c r="Q24" s="3">
        <f t="array" ref="Q24">INDIRECT("'"&amp;$A24&amp;"'!N11")</f>
        <v/>
      </c>
      <c r="R24" s="3">
        <f t="array" ref="R24">INDIRECT("'"&amp;$A24&amp;"'!O11")</f>
        <v/>
      </c>
      <c r="S24" s="3">
        <f t="array" ref="S24">INDIRECT("'"&amp;$A24&amp;"'!P11")</f>
        <v/>
      </c>
      <c r="T24" s="3">
        <f t="array" ref="T24">INDIRECT("'"&amp;$A24&amp;"'!Q11")</f>
        <v/>
      </c>
      <c r="U24" s="3">
        <f t="array" ref="U24">INDIRECT("'"&amp;$A24&amp;"'!R11")</f>
        <v/>
      </c>
      <c r="V24" s="3">
        <f t="array" ref="V24">INDIRECT("'"&amp;$A24&amp;"'!S11")</f>
        <v/>
      </c>
      <c r="W24" s="3">
        <f t="array" ref="W24">INDIRECT("'"&amp;$A24&amp;"'!T11")</f>
        <v/>
      </c>
      <c r="X24" s="3">
        <f t="array" ref="X24">INDIRECT("'"&amp;$A24&amp;"'!U11")</f>
        <v/>
      </c>
      <c r="Y24" s="3">
        <f t="array" ref="Y24">INDIRECT("'"&amp;$A24&amp;"'!V11")</f>
        <v/>
      </c>
      <c r="Z24" s="3">
        <f t="array" ref="Z24">INDIRECT("'"&amp;$A24&amp;"'!W11")</f>
        <v/>
      </c>
      <c r="AA24" s="3">
        <f t="array" ref="AA24">INDIRECT("'"&amp;$A24&amp;"'!X11")</f>
        <v/>
      </c>
      <c r="AB24" s="3">
        <f t="array" ref="AB24">INDIRECT("'"&amp;$A24&amp;"'!Y11")</f>
        <v/>
      </c>
      <c r="AC24" s="3">
        <f t="array" ref="AC24">INDIRECT("'"&amp;$A24&amp;"'!Z11")</f>
        <v/>
      </c>
      <c r="AD24" s="32">
        <f t="array" ref="AD24">INDIRECT("'"&amp;$A24&amp;"'!AA11")</f>
        <v/>
      </c>
      <c r="AE24" s="80">
        <f t="array" ref="AE24">INDIRECT("'"&amp;$A24&amp;"'!J3")</f>
        <v/>
      </c>
      <c r="AF24" s="53">
        <f t="array" ref="AF24">INDIRECT("'"&amp;$A24&amp;"'!AC1")</f>
        <v/>
      </c>
    </row>
    <row r="25" ht="15.75" customHeight="1" thickBot="1">
      <c r="A25" s="58" t="n">
        <v>8</v>
      </c>
      <c r="B25" s="106" t="n"/>
      <c r="C25" s="77">
        <f t="array" ref="C25">CONCATENATE("分 ",INDIRECT("'"&amp;$A24&amp;"'!D6"))</f>
        <v/>
      </c>
      <c r="D25" s="56" t="inlineStr">
        <is>
          <t>3队</t>
        </is>
      </c>
      <c r="E25" s="81">
        <f t="array" ref="E25">INDIRECT("'"&amp;$A24&amp;"'!I4")</f>
        <v/>
      </c>
      <c r="F25" s="52">
        <f t="array" ref="F25">INDIRECT("'"&amp;$A25&amp;"'!C14")</f>
        <v/>
      </c>
      <c r="G25" s="3">
        <f t="array" ref="G25">INDIRECT("'"&amp;$A25&amp;"'!D14")</f>
        <v/>
      </c>
      <c r="H25" s="3">
        <f t="array" ref="H25">INDIRECT("'"&amp;$A25&amp;"'!E14")</f>
        <v/>
      </c>
      <c r="I25" s="3">
        <f t="array" ref="I25">INDIRECT("'"&amp;$A25&amp;"'!F14")</f>
        <v/>
      </c>
      <c r="J25" s="3">
        <f t="array" ref="J25">INDIRECT("'"&amp;$A25&amp;"'!G14")</f>
        <v/>
      </c>
      <c r="K25" s="3">
        <f t="array" ref="K25">INDIRECT("'"&amp;$A25&amp;"'!H14")</f>
        <v/>
      </c>
      <c r="L25" s="3">
        <f t="array" ref="L25">INDIRECT("'"&amp;$A25&amp;"'!I14")</f>
        <v/>
      </c>
      <c r="M25" s="3">
        <f t="array" ref="M25">INDIRECT("'"&amp;$A25&amp;"'!J14")</f>
        <v/>
      </c>
      <c r="N25" s="3">
        <f t="array" ref="N25">INDIRECT("'"&amp;$A25&amp;"'!K14")</f>
        <v/>
      </c>
      <c r="O25" s="3">
        <f t="array" ref="O25">INDIRECT("'"&amp;$A25&amp;"'!L14")</f>
        <v/>
      </c>
      <c r="P25" s="3">
        <f t="array" ref="P25">INDIRECT("'"&amp;$A25&amp;"'!M14")</f>
        <v/>
      </c>
      <c r="Q25" s="3">
        <f t="array" ref="Q25">INDIRECT("'"&amp;$A25&amp;"'!N14")</f>
        <v/>
      </c>
      <c r="R25" s="3">
        <f t="array" ref="R25">INDIRECT("'"&amp;$A25&amp;"'!O14")</f>
        <v/>
      </c>
      <c r="S25" s="3">
        <f t="array" ref="S25">INDIRECT("'"&amp;$A25&amp;"'!P14")</f>
        <v/>
      </c>
      <c r="T25" s="3">
        <f t="array" ref="T25">INDIRECT("'"&amp;$A25&amp;"'!Q14")</f>
        <v/>
      </c>
      <c r="U25" s="3">
        <f t="array" ref="U25">INDIRECT("'"&amp;$A25&amp;"'!R14")</f>
        <v/>
      </c>
      <c r="V25" s="3">
        <f t="array" ref="V25">INDIRECT("'"&amp;$A25&amp;"'!S14")</f>
        <v/>
      </c>
      <c r="W25" s="3">
        <f t="array" ref="W25">INDIRECT("'"&amp;$A25&amp;"'!T14")</f>
        <v/>
      </c>
      <c r="X25" s="3">
        <f t="array" ref="X25">INDIRECT("'"&amp;$A25&amp;"'!U14")</f>
        <v/>
      </c>
      <c r="Y25" s="3">
        <f t="array" ref="Y25">INDIRECT("'"&amp;$A25&amp;"'!V14")</f>
        <v/>
      </c>
      <c r="Z25" s="3">
        <f t="array" ref="Z25">INDIRECT("'"&amp;$A25&amp;"'!W14")</f>
        <v/>
      </c>
      <c r="AA25" s="3">
        <f t="array" ref="AA25">INDIRECT("'"&amp;$A25&amp;"'!X14")</f>
        <v/>
      </c>
      <c r="AB25" s="3">
        <f t="array" ref="AB25">INDIRECT("'"&amp;$A25&amp;"'!Y14")</f>
        <v/>
      </c>
      <c r="AC25" s="3">
        <f t="array" ref="AC25">INDIRECT("'"&amp;$A25&amp;"'!Z14")</f>
        <v/>
      </c>
      <c r="AD25" s="32">
        <f t="array" ref="AD25">INDIRECT("'"&amp;$A25&amp;"'!AA14")</f>
        <v/>
      </c>
      <c r="AE25" s="81">
        <f t="array" ref="AE25">INDIRECT("'"&amp;$A24&amp;"'!J4")</f>
        <v/>
      </c>
      <c r="AF25" s="53" t="n"/>
    </row>
    <row r="26">
      <c r="A26" s="58" t="n">
        <v>9</v>
      </c>
      <c r="B26" s="103">
        <f>INDEX(data!$I$2:$I$98,MATCH(A26*1,data!$G$2:$G$98,0))</f>
        <v/>
      </c>
      <c r="C26" s="66">
        <f>HYPERLINK("#'" &amp; A26 &amp; "'!A1", "编辑")</f>
        <v/>
      </c>
      <c r="D26" s="54" t="inlineStr">
        <is>
          <t>1队</t>
        </is>
      </c>
      <c r="E26" s="79">
        <f t="array" ref="E26">INDIRECT("'"&amp;$A27&amp;"'!I2")</f>
        <v/>
      </c>
      <c r="F26" s="29">
        <f t="array" ref="F26">INDIRECT("'"&amp;$A26&amp;"'!C8")</f>
        <v/>
      </c>
      <c r="G26" s="30">
        <f t="array" ref="G26">INDIRECT("'"&amp;$A26&amp;"'!D8")</f>
        <v/>
      </c>
      <c r="H26" s="30">
        <f t="array" ref="H26">INDIRECT("'"&amp;$A26&amp;"'!E8")</f>
        <v/>
      </c>
      <c r="I26" s="30">
        <f t="array" ref="I26">INDIRECT("'"&amp;$A26&amp;"'!F8")</f>
        <v/>
      </c>
      <c r="J26" s="30">
        <f t="array" ref="J26">INDIRECT("'"&amp;$A26&amp;"'!G8")</f>
        <v/>
      </c>
      <c r="K26" s="30">
        <f t="array" ref="K26">INDIRECT("'"&amp;$A26&amp;"'!H8")</f>
        <v/>
      </c>
      <c r="L26" s="30">
        <f t="array" ref="L26">INDIRECT("'"&amp;$A26&amp;"'!I8")</f>
        <v/>
      </c>
      <c r="M26" s="30">
        <f t="array" ref="M26">INDIRECT("'"&amp;$A26&amp;"'!J8")</f>
        <v/>
      </c>
      <c r="N26" s="30">
        <f t="array" ref="N26">INDIRECT("'"&amp;$A26&amp;"'!K8")</f>
        <v/>
      </c>
      <c r="O26" s="30">
        <f t="array" ref="O26">INDIRECT("'"&amp;$A26&amp;"'!L8")</f>
        <v/>
      </c>
      <c r="P26" s="30">
        <f t="array" ref="P26">INDIRECT("'"&amp;$A26&amp;"'!M8")</f>
        <v/>
      </c>
      <c r="Q26" s="30">
        <f t="array" ref="Q26">INDIRECT("'"&amp;$A26&amp;"'!N8")</f>
        <v/>
      </c>
      <c r="R26" s="30">
        <f t="array" ref="R26">INDIRECT("'"&amp;$A26&amp;"'!O8")</f>
        <v/>
      </c>
      <c r="S26" s="30">
        <f t="array" ref="S26">INDIRECT("'"&amp;$A26&amp;"'!P8")</f>
        <v/>
      </c>
      <c r="T26" s="30">
        <f t="array" ref="T26">INDIRECT("'"&amp;$A26&amp;"'!Q8")</f>
        <v/>
      </c>
      <c r="U26" s="30">
        <f t="array" ref="U26">INDIRECT("'"&amp;$A26&amp;"'!R8")</f>
        <v/>
      </c>
      <c r="V26" s="30">
        <f t="array" ref="V26">INDIRECT("'"&amp;$A26&amp;"'!S8")</f>
        <v/>
      </c>
      <c r="W26" s="30">
        <f t="array" ref="W26">INDIRECT("'"&amp;$A26&amp;"'!T8")</f>
        <v/>
      </c>
      <c r="X26" s="30">
        <f t="array" ref="X26">INDIRECT("'"&amp;$A26&amp;"'!U8")</f>
        <v/>
      </c>
      <c r="Y26" s="30">
        <f t="array" ref="Y26">INDIRECT("'"&amp;$A26&amp;"'!V8")</f>
        <v/>
      </c>
      <c r="Z26" s="30">
        <f t="array" ref="Z26">INDIRECT("'"&amp;$A26&amp;"'!W8")</f>
        <v/>
      </c>
      <c r="AA26" s="30">
        <f t="array" ref="AA26">INDIRECT("'"&amp;$A26&amp;"'!X8")</f>
        <v/>
      </c>
      <c r="AB26" s="30">
        <f t="array" ref="AB26">INDIRECT("'"&amp;$A26&amp;"'!Y8")</f>
        <v/>
      </c>
      <c r="AC26" s="30">
        <f t="array" ref="AC26">INDIRECT("'"&amp;$A26&amp;"'!Z8")</f>
        <v/>
      </c>
      <c r="AD26" s="31">
        <f t="array" ref="AD26">INDIRECT("'"&amp;$A26&amp;"'!AA8")</f>
        <v/>
      </c>
      <c r="AE26" s="79">
        <f t="array" ref="AE26">INDIRECT("'"&amp;$A27&amp;"'!J2")</f>
        <v/>
      </c>
      <c r="AF26" s="53">
        <f t="array" ref="AF26">INDIRECT("'"&amp;$A27&amp;"'!AD1")</f>
        <v/>
      </c>
    </row>
    <row r="27">
      <c r="A27" s="58" t="n">
        <v>9</v>
      </c>
      <c r="B27" s="105" t="n"/>
      <c r="C27" s="67">
        <f t="array" ref="C27">CONCATENATE("粮 ",INDIRECT("'"&amp;$A27&amp;"'!D4"))</f>
        <v/>
      </c>
      <c r="D27" s="55" t="inlineStr">
        <is>
          <t>2队</t>
        </is>
      </c>
      <c r="E27" s="80">
        <f t="array" ref="E27">INDIRECT("'"&amp;$A27&amp;"'!I3")</f>
        <v/>
      </c>
      <c r="F27" s="52">
        <f t="array" ref="F27">INDIRECT("'"&amp;$A27&amp;"'!C11")</f>
        <v/>
      </c>
      <c r="G27" s="3">
        <f t="array" ref="G27">INDIRECT("'"&amp;$A27&amp;"'!D11")</f>
        <v/>
      </c>
      <c r="H27" s="3">
        <f t="array" ref="H27">INDIRECT("'"&amp;$A27&amp;"'!E11")</f>
        <v/>
      </c>
      <c r="I27" s="3">
        <f t="array" ref="I27">INDIRECT("'"&amp;$A27&amp;"'!F11")</f>
        <v/>
      </c>
      <c r="J27" s="3">
        <f t="array" ref="J27">INDIRECT("'"&amp;$A27&amp;"'!G11")</f>
        <v/>
      </c>
      <c r="K27" s="3">
        <f t="array" ref="K27">INDIRECT("'"&amp;$A27&amp;"'!H11")</f>
        <v/>
      </c>
      <c r="L27" s="3">
        <f t="array" ref="L27">INDIRECT("'"&amp;$A27&amp;"'!I11")</f>
        <v/>
      </c>
      <c r="M27" s="3">
        <f t="array" ref="M27">INDIRECT("'"&amp;$A27&amp;"'!J11")</f>
        <v/>
      </c>
      <c r="N27" s="3">
        <f t="array" ref="N27">INDIRECT("'"&amp;$A27&amp;"'!K11")</f>
        <v/>
      </c>
      <c r="O27" s="3">
        <f t="array" ref="O27">INDIRECT("'"&amp;$A27&amp;"'!L11")</f>
        <v/>
      </c>
      <c r="P27" s="3">
        <f t="array" ref="P27">INDIRECT("'"&amp;$A27&amp;"'!M11")</f>
        <v/>
      </c>
      <c r="Q27" s="3">
        <f t="array" ref="Q27">INDIRECT("'"&amp;$A27&amp;"'!N11")</f>
        <v/>
      </c>
      <c r="R27" s="3">
        <f t="array" ref="R27">INDIRECT("'"&amp;$A27&amp;"'!O11")</f>
        <v/>
      </c>
      <c r="S27" s="3">
        <f t="array" ref="S27">INDIRECT("'"&amp;$A27&amp;"'!P11")</f>
        <v/>
      </c>
      <c r="T27" s="3">
        <f t="array" ref="T27">INDIRECT("'"&amp;$A27&amp;"'!Q11")</f>
        <v/>
      </c>
      <c r="U27" s="3">
        <f t="array" ref="U27">INDIRECT("'"&amp;$A27&amp;"'!R11")</f>
        <v/>
      </c>
      <c r="V27" s="3">
        <f t="array" ref="V27">INDIRECT("'"&amp;$A27&amp;"'!S11")</f>
        <v/>
      </c>
      <c r="W27" s="3">
        <f t="array" ref="W27">INDIRECT("'"&amp;$A27&amp;"'!T11")</f>
        <v/>
      </c>
      <c r="X27" s="3">
        <f t="array" ref="X27">INDIRECT("'"&amp;$A27&amp;"'!U11")</f>
        <v/>
      </c>
      <c r="Y27" s="3">
        <f t="array" ref="Y27">INDIRECT("'"&amp;$A27&amp;"'!V11")</f>
        <v/>
      </c>
      <c r="Z27" s="3">
        <f t="array" ref="Z27">INDIRECT("'"&amp;$A27&amp;"'!W11")</f>
        <v/>
      </c>
      <c r="AA27" s="3">
        <f t="array" ref="AA27">INDIRECT("'"&amp;$A27&amp;"'!X11")</f>
        <v/>
      </c>
      <c r="AB27" s="3">
        <f t="array" ref="AB27">INDIRECT("'"&amp;$A27&amp;"'!Y11")</f>
        <v/>
      </c>
      <c r="AC27" s="3">
        <f t="array" ref="AC27">INDIRECT("'"&amp;$A27&amp;"'!Z11")</f>
        <v/>
      </c>
      <c r="AD27" s="32">
        <f t="array" ref="AD27">INDIRECT("'"&amp;$A27&amp;"'!AA11")</f>
        <v/>
      </c>
      <c r="AE27" s="80">
        <f t="array" ref="AE27">INDIRECT("'"&amp;$A27&amp;"'!J3")</f>
        <v/>
      </c>
      <c r="AF27" s="53">
        <f t="array" ref="AF27">INDIRECT("'"&amp;$A27&amp;"'!AC1")</f>
        <v/>
      </c>
    </row>
    <row r="28" ht="15.75" customHeight="1" thickBot="1">
      <c r="A28" s="58" t="n">
        <v>9</v>
      </c>
      <c r="B28" s="106" t="n"/>
      <c r="C28" s="77">
        <f t="array" ref="C28">CONCATENATE("分 ",INDIRECT("'"&amp;$A27&amp;"'!D6"))</f>
        <v/>
      </c>
      <c r="D28" s="56" t="inlineStr">
        <is>
          <t>3队</t>
        </is>
      </c>
      <c r="E28" s="81">
        <f t="array" ref="E28">INDIRECT("'"&amp;$A27&amp;"'!I4")</f>
        <v/>
      </c>
      <c r="F28" s="52">
        <f t="array" ref="F28">INDIRECT("'"&amp;$A28&amp;"'!C14")</f>
        <v/>
      </c>
      <c r="G28" s="3">
        <f t="array" ref="G28">INDIRECT("'"&amp;$A28&amp;"'!D14")</f>
        <v/>
      </c>
      <c r="H28" s="3">
        <f t="array" ref="H28">INDIRECT("'"&amp;$A28&amp;"'!E14")</f>
        <v/>
      </c>
      <c r="I28" s="3">
        <f t="array" ref="I28">INDIRECT("'"&amp;$A28&amp;"'!F14")</f>
        <v/>
      </c>
      <c r="J28" s="3">
        <f t="array" ref="J28">INDIRECT("'"&amp;$A28&amp;"'!G14")</f>
        <v/>
      </c>
      <c r="K28" s="3">
        <f t="array" ref="K28">INDIRECT("'"&amp;$A28&amp;"'!H14")</f>
        <v/>
      </c>
      <c r="L28" s="3">
        <f t="array" ref="L28">INDIRECT("'"&amp;$A28&amp;"'!I14")</f>
        <v/>
      </c>
      <c r="M28" s="3">
        <f t="array" ref="M28">INDIRECT("'"&amp;$A28&amp;"'!J14")</f>
        <v/>
      </c>
      <c r="N28" s="3">
        <f t="array" ref="N28">INDIRECT("'"&amp;$A28&amp;"'!K14")</f>
        <v/>
      </c>
      <c r="O28" s="3">
        <f t="array" ref="O28">INDIRECT("'"&amp;$A28&amp;"'!L14")</f>
        <v/>
      </c>
      <c r="P28" s="3">
        <f t="array" ref="P28">INDIRECT("'"&amp;$A28&amp;"'!M14")</f>
        <v/>
      </c>
      <c r="Q28" s="3">
        <f t="array" ref="Q28">INDIRECT("'"&amp;$A28&amp;"'!N14")</f>
        <v/>
      </c>
      <c r="R28" s="3">
        <f t="array" ref="R28">INDIRECT("'"&amp;$A28&amp;"'!O14")</f>
        <v/>
      </c>
      <c r="S28" s="3">
        <f t="array" ref="S28">INDIRECT("'"&amp;$A28&amp;"'!P14")</f>
        <v/>
      </c>
      <c r="T28" s="3">
        <f t="array" ref="T28">INDIRECT("'"&amp;$A28&amp;"'!Q14")</f>
        <v/>
      </c>
      <c r="U28" s="3">
        <f t="array" ref="U28">INDIRECT("'"&amp;$A28&amp;"'!R14")</f>
        <v/>
      </c>
      <c r="V28" s="3">
        <f t="array" ref="V28">INDIRECT("'"&amp;$A28&amp;"'!S14")</f>
        <v/>
      </c>
      <c r="W28" s="3">
        <f t="array" ref="W28">INDIRECT("'"&amp;$A28&amp;"'!T14")</f>
        <v/>
      </c>
      <c r="X28" s="3">
        <f t="array" ref="X28">INDIRECT("'"&amp;$A28&amp;"'!U14")</f>
        <v/>
      </c>
      <c r="Y28" s="3">
        <f t="array" ref="Y28">INDIRECT("'"&amp;$A28&amp;"'!V14")</f>
        <v/>
      </c>
      <c r="Z28" s="3">
        <f t="array" ref="Z28">INDIRECT("'"&amp;$A28&amp;"'!W14")</f>
        <v/>
      </c>
      <c r="AA28" s="3">
        <f t="array" ref="AA28">INDIRECT("'"&amp;$A28&amp;"'!X14")</f>
        <v/>
      </c>
      <c r="AB28" s="3">
        <f t="array" ref="AB28">INDIRECT("'"&amp;$A28&amp;"'!Y14")</f>
        <v/>
      </c>
      <c r="AC28" s="3">
        <f t="array" ref="AC28">INDIRECT("'"&amp;$A28&amp;"'!Z14")</f>
        <v/>
      </c>
      <c r="AD28" s="32">
        <f t="array" ref="AD28">INDIRECT("'"&amp;$A28&amp;"'!AA14")</f>
        <v/>
      </c>
      <c r="AE28" s="81">
        <f t="array" ref="AE28">INDIRECT("'"&amp;$A27&amp;"'!J4")</f>
        <v/>
      </c>
      <c r="AF28" s="53" t="n"/>
    </row>
    <row r="29">
      <c r="A29" s="58" t="n">
        <v>10</v>
      </c>
      <c r="B29" s="103">
        <f>INDEX(data!$I$2:$I$98,MATCH(A29*1,data!$G$2:$G$98,0))</f>
        <v/>
      </c>
      <c r="C29" s="66">
        <f>HYPERLINK("#'" &amp; A29 &amp; "'!A1", "编辑")</f>
        <v/>
      </c>
      <c r="D29" s="54" t="inlineStr">
        <is>
          <t>1队</t>
        </is>
      </c>
      <c r="E29" s="79">
        <f t="array" ref="E29">INDIRECT("'"&amp;$A30&amp;"'!I2")</f>
        <v/>
      </c>
      <c r="F29" s="29">
        <f t="array" ref="F29">INDIRECT("'"&amp;$A29&amp;"'!C8")</f>
        <v/>
      </c>
      <c r="G29" s="30">
        <f t="array" ref="G29">INDIRECT("'"&amp;$A29&amp;"'!D8")</f>
        <v/>
      </c>
      <c r="H29" s="30">
        <f t="array" ref="H29">INDIRECT("'"&amp;$A29&amp;"'!E8")</f>
        <v/>
      </c>
      <c r="I29" s="30">
        <f t="array" ref="I29">INDIRECT("'"&amp;$A29&amp;"'!F8")</f>
        <v/>
      </c>
      <c r="J29" s="30">
        <f t="array" ref="J29">INDIRECT("'"&amp;$A29&amp;"'!G8")</f>
        <v/>
      </c>
      <c r="K29" s="30">
        <f t="array" ref="K29">INDIRECT("'"&amp;$A29&amp;"'!H8")</f>
        <v/>
      </c>
      <c r="L29" s="30">
        <f t="array" ref="L29">INDIRECT("'"&amp;$A29&amp;"'!I8")</f>
        <v/>
      </c>
      <c r="M29" s="30">
        <f t="array" ref="M29">INDIRECT("'"&amp;$A29&amp;"'!J8")</f>
        <v/>
      </c>
      <c r="N29" s="30">
        <f t="array" ref="N29">INDIRECT("'"&amp;$A29&amp;"'!K8")</f>
        <v/>
      </c>
      <c r="O29" s="30">
        <f t="array" ref="O29">INDIRECT("'"&amp;$A29&amp;"'!L8")</f>
        <v/>
      </c>
      <c r="P29" s="30">
        <f t="array" ref="P29">INDIRECT("'"&amp;$A29&amp;"'!M8")</f>
        <v/>
      </c>
      <c r="Q29" s="30">
        <f t="array" ref="Q29">INDIRECT("'"&amp;$A29&amp;"'!N8")</f>
        <v/>
      </c>
      <c r="R29" s="30">
        <f t="array" ref="R29">INDIRECT("'"&amp;$A29&amp;"'!O8")</f>
        <v/>
      </c>
      <c r="S29" s="30">
        <f t="array" ref="S29">INDIRECT("'"&amp;$A29&amp;"'!P8")</f>
        <v/>
      </c>
      <c r="T29" s="30">
        <f t="array" ref="T29">INDIRECT("'"&amp;$A29&amp;"'!Q8")</f>
        <v/>
      </c>
      <c r="U29" s="30">
        <f t="array" ref="U29">INDIRECT("'"&amp;$A29&amp;"'!R8")</f>
        <v/>
      </c>
      <c r="V29" s="30">
        <f t="array" ref="V29">INDIRECT("'"&amp;$A29&amp;"'!S8")</f>
        <v/>
      </c>
      <c r="W29" s="30">
        <f t="array" ref="W29">INDIRECT("'"&amp;$A29&amp;"'!T8")</f>
        <v/>
      </c>
      <c r="X29" s="30">
        <f t="array" ref="X29">INDIRECT("'"&amp;$A29&amp;"'!U8")</f>
        <v/>
      </c>
      <c r="Y29" s="30">
        <f t="array" ref="Y29">INDIRECT("'"&amp;$A29&amp;"'!V8")</f>
        <v/>
      </c>
      <c r="Z29" s="30">
        <f t="array" ref="Z29">INDIRECT("'"&amp;$A29&amp;"'!W8")</f>
        <v/>
      </c>
      <c r="AA29" s="30">
        <f t="array" ref="AA29">INDIRECT("'"&amp;$A29&amp;"'!X8")</f>
        <v/>
      </c>
      <c r="AB29" s="30">
        <f t="array" ref="AB29">INDIRECT("'"&amp;$A29&amp;"'!Y8")</f>
        <v/>
      </c>
      <c r="AC29" s="30">
        <f t="array" ref="AC29">INDIRECT("'"&amp;$A29&amp;"'!Z8")</f>
        <v/>
      </c>
      <c r="AD29" s="31">
        <f t="array" ref="AD29">INDIRECT("'"&amp;$A29&amp;"'!AA8")</f>
        <v/>
      </c>
      <c r="AE29" s="79">
        <f t="array" ref="AE29">INDIRECT("'"&amp;$A30&amp;"'!J2")</f>
        <v/>
      </c>
      <c r="AF29" s="53">
        <f t="array" ref="AF29">INDIRECT("'"&amp;$A30&amp;"'!AD1")</f>
        <v/>
      </c>
    </row>
    <row r="30">
      <c r="A30" s="58" t="n">
        <v>10</v>
      </c>
      <c r="B30" s="105" t="n"/>
      <c r="C30" s="67">
        <f t="array" ref="C30">CONCATENATE("粮 ",INDIRECT("'"&amp;$A30&amp;"'!D4"))</f>
        <v/>
      </c>
      <c r="D30" s="55" t="inlineStr">
        <is>
          <t>2队</t>
        </is>
      </c>
      <c r="E30" s="80">
        <f t="array" ref="E30">INDIRECT("'"&amp;$A30&amp;"'!I3")</f>
        <v/>
      </c>
      <c r="F30" s="52">
        <f t="array" ref="F30">INDIRECT("'"&amp;$A30&amp;"'!C11")</f>
        <v/>
      </c>
      <c r="G30" s="3">
        <f t="array" ref="G30">INDIRECT("'"&amp;$A30&amp;"'!D11")</f>
        <v/>
      </c>
      <c r="H30" s="3">
        <f t="array" ref="H30">INDIRECT("'"&amp;$A30&amp;"'!E11")</f>
        <v/>
      </c>
      <c r="I30" s="3">
        <f t="array" ref="I30">INDIRECT("'"&amp;$A30&amp;"'!F11")</f>
        <v/>
      </c>
      <c r="J30" s="3">
        <f t="array" ref="J30">INDIRECT("'"&amp;$A30&amp;"'!G11")</f>
        <v/>
      </c>
      <c r="K30" s="3">
        <f t="array" ref="K30">INDIRECT("'"&amp;$A30&amp;"'!H11")</f>
        <v/>
      </c>
      <c r="L30" s="3">
        <f t="array" ref="L30">INDIRECT("'"&amp;$A30&amp;"'!I11")</f>
        <v/>
      </c>
      <c r="M30" s="3">
        <f t="array" ref="M30">INDIRECT("'"&amp;$A30&amp;"'!J11")</f>
        <v/>
      </c>
      <c r="N30" s="3">
        <f t="array" ref="N30">INDIRECT("'"&amp;$A30&amp;"'!K11")</f>
        <v/>
      </c>
      <c r="O30" s="3">
        <f t="array" ref="O30">INDIRECT("'"&amp;$A30&amp;"'!L11")</f>
        <v/>
      </c>
      <c r="P30" s="3">
        <f t="array" ref="P30">INDIRECT("'"&amp;$A30&amp;"'!M11")</f>
        <v/>
      </c>
      <c r="Q30" s="3">
        <f t="array" ref="Q30">INDIRECT("'"&amp;$A30&amp;"'!N11")</f>
        <v/>
      </c>
      <c r="R30" s="3">
        <f t="array" ref="R30">INDIRECT("'"&amp;$A30&amp;"'!O11")</f>
        <v/>
      </c>
      <c r="S30" s="3">
        <f t="array" ref="S30">INDIRECT("'"&amp;$A30&amp;"'!P11")</f>
        <v/>
      </c>
      <c r="T30" s="3">
        <f t="array" ref="T30">INDIRECT("'"&amp;$A30&amp;"'!Q11")</f>
        <v/>
      </c>
      <c r="U30" s="3">
        <f t="array" ref="U30">INDIRECT("'"&amp;$A30&amp;"'!R11")</f>
        <v/>
      </c>
      <c r="V30" s="3">
        <f t="array" ref="V30">INDIRECT("'"&amp;$A30&amp;"'!S11")</f>
        <v/>
      </c>
      <c r="W30" s="3">
        <f t="array" ref="W30">INDIRECT("'"&amp;$A30&amp;"'!T11")</f>
        <v/>
      </c>
      <c r="X30" s="3">
        <f t="array" ref="X30">INDIRECT("'"&amp;$A30&amp;"'!U11")</f>
        <v/>
      </c>
      <c r="Y30" s="3">
        <f t="array" ref="Y30">INDIRECT("'"&amp;$A30&amp;"'!V11")</f>
        <v/>
      </c>
      <c r="Z30" s="3">
        <f t="array" ref="Z30">INDIRECT("'"&amp;$A30&amp;"'!W11")</f>
        <v/>
      </c>
      <c r="AA30" s="3">
        <f t="array" ref="AA30">INDIRECT("'"&amp;$A30&amp;"'!X11")</f>
        <v/>
      </c>
      <c r="AB30" s="3">
        <f t="array" ref="AB30">INDIRECT("'"&amp;$A30&amp;"'!Y11")</f>
        <v/>
      </c>
      <c r="AC30" s="3">
        <f t="array" ref="AC30">INDIRECT("'"&amp;$A30&amp;"'!Z11")</f>
        <v/>
      </c>
      <c r="AD30" s="32">
        <f t="array" ref="AD30">INDIRECT("'"&amp;$A30&amp;"'!AA11")</f>
        <v/>
      </c>
      <c r="AE30" s="80">
        <f t="array" ref="AE30">INDIRECT("'"&amp;$A30&amp;"'!J3")</f>
        <v/>
      </c>
      <c r="AF30" s="53">
        <f t="array" ref="AF30">INDIRECT("'"&amp;$A30&amp;"'!AC1")</f>
        <v/>
      </c>
    </row>
    <row r="31" ht="15.75" customHeight="1" thickBot="1">
      <c r="A31" s="58" t="n">
        <v>10</v>
      </c>
      <c r="B31" s="106" t="n"/>
      <c r="C31" s="77">
        <f t="array" ref="C31">CONCATENATE("分 ",INDIRECT("'"&amp;$A30&amp;"'!D6"))</f>
        <v/>
      </c>
      <c r="D31" s="56" t="inlineStr">
        <is>
          <t>3队</t>
        </is>
      </c>
      <c r="E31" s="81">
        <f t="array" ref="E31">INDIRECT("'"&amp;$A30&amp;"'!I4")</f>
        <v/>
      </c>
      <c r="F31" s="52">
        <f t="array" ref="F31">INDIRECT("'"&amp;$A31&amp;"'!C14")</f>
        <v/>
      </c>
      <c r="G31" s="3">
        <f t="array" ref="G31">INDIRECT("'"&amp;$A31&amp;"'!D14")</f>
        <v/>
      </c>
      <c r="H31" s="3">
        <f t="array" ref="H31">INDIRECT("'"&amp;$A31&amp;"'!E14")</f>
        <v/>
      </c>
      <c r="I31" s="3">
        <f t="array" ref="I31">INDIRECT("'"&amp;$A31&amp;"'!F14")</f>
        <v/>
      </c>
      <c r="J31" s="3">
        <f t="array" ref="J31">INDIRECT("'"&amp;$A31&amp;"'!G14")</f>
        <v/>
      </c>
      <c r="K31" s="3">
        <f t="array" ref="K31">INDIRECT("'"&amp;$A31&amp;"'!H14")</f>
        <v/>
      </c>
      <c r="L31" s="3">
        <f t="array" ref="L31">INDIRECT("'"&amp;$A31&amp;"'!I14")</f>
        <v/>
      </c>
      <c r="M31" s="3">
        <f t="array" ref="M31">INDIRECT("'"&amp;$A31&amp;"'!J14")</f>
        <v/>
      </c>
      <c r="N31" s="3">
        <f t="array" ref="N31">INDIRECT("'"&amp;$A31&amp;"'!K14")</f>
        <v/>
      </c>
      <c r="O31" s="3">
        <f t="array" ref="O31">INDIRECT("'"&amp;$A31&amp;"'!L14")</f>
        <v/>
      </c>
      <c r="P31" s="3">
        <f t="array" ref="P31">INDIRECT("'"&amp;$A31&amp;"'!M14")</f>
        <v/>
      </c>
      <c r="Q31" s="3">
        <f t="array" ref="Q31">INDIRECT("'"&amp;$A31&amp;"'!N14")</f>
        <v/>
      </c>
      <c r="R31" s="3">
        <f t="array" ref="R31">INDIRECT("'"&amp;$A31&amp;"'!O14")</f>
        <v/>
      </c>
      <c r="S31" s="3">
        <f t="array" ref="S31">INDIRECT("'"&amp;$A31&amp;"'!P14")</f>
        <v/>
      </c>
      <c r="T31" s="3">
        <f t="array" ref="T31">INDIRECT("'"&amp;$A31&amp;"'!Q14")</f>
        <v/>
      </c>
      <c r="U31" s="3">
        <f t="array" ref="U31">INDIRECT("'"&amp;$A31&amp;"'!R14")</f>
        <v/>
      </c>
      <c r="V31" s="3">
        <f t="array" ref="V31">INDIRECT("'"&amp;$A31&amp;"'!S14")</f>
        <v/>
      </c>
      <c r="W31" s="3">
        <f t="array" ref="W31">INDIRECT("'"&amp;$A31&amp;"'!T14")</f>
        <v/>
      </c>
      <c r="X31" s="3">
        <f t="array" ref="X31">INDIRECT("'"&amp;$A31&amp;"'!U14")</f>
        <v/>
      </c>
      <c r="Y31" s="3">
        <f t="array" ref="Y31">INDIRECT("'"&amp;$A31&amp;"'!V14")</f>
        <v/>
      </c>
      <c r="Z31" s="3">
        <f t="array" ref="Z31">INDIRECT("'"&amp;$A31&amp;"'!W14")</f>
        <v/>
      </c>
      <c r="AA31" s="3">
        <f t="array" ref="AA31">INDIRECT("'"&amp;$A31&amp;"'!X14")</f>
        <v/>
      </c>
      <c r="AB31" s="3">
        <f t="array" ref="AB31">INDIRECT("'"&amp;$A31&amp;"'!Y14")</f>
        <v/>
      </c>
      <c r="AC31" s="3">
        <f t="array" ref="AC31">INDIRECT("'"&amp;$A31&amp;"'!Z14")</f>
        <v/>
      </c>
      <c r="AD31" s="32">
        <f t="array" ref="AD31">INDIRECT("'"&amp;$A31&amp;"'!AA14")</f>
        <v/>
      </c>
      <c r="AE31" s="81">
        <f t="array" ref="AE31">INDIRECT("'"&amp;$A30&amp;"'!J4")</f>
        <v/>
      </c>
      <c r="AF31" s="53" t="n"/>
    </row>
    <row r="32">
      <c r="A32" s="58" t="n">
        <v>11</v>
      </c>
      <c r="B32" s="103">
        <f>INDEX(data!$I$2:$I$98,MATCH(A32*1,data!$G$2:$G$98,0))</f>
        <v/>
      </c>
      <c r="C32" s="66">
        <f>HYPERLINK("#'" &amp; A32 &amp; "'!A1", "编辑")</f>
        <v/>
      </c>
      <c r="D32" s="54" t="inlineStr">
        <is>
          <t>1队</t>
        </is>
      </c>
      <c r="E32" s="79">
        <f t="array" ref="E32">INDIRECT("'"&amp;$A33&amp;"'!I2")</f>
        <v/>
      </c>
      <c r="F32" s="29">
        <f t="array" ref="F32">INDIRECT("'"&amp;$A32&amp;"'!C8")</f>
        <v/>
      </c>
      <c r="G32" s="30">
        <f t="array" ref="G32">INDIRECT("'"&amp;$A32&amp;"'!D8")</f>
        <v/>
      </c>
      <c r="H32" s="30">
        <f t="array" ref="H32">INDIRECT("'"&amp;$A32&amp;"'!E8")</f>
        <v/>
      </c>
      <c r="I32" s="30">
        <f t="array" ref="I32">INDIRECT("'"&amp;$A32&amp;"'!F8")</f>
        <v/>
      </c>
      <c r="J32" s="30">
        <f t="array" ref="J32">INDIRECT("'"&amp;$A32&amp;"'!G8")</f>
        <v/>
      </c>
      <c r="K32" s="30">
        <f t="array" ref="K32">INDIRECT("'"&amp;$A32&amp;"'!H8")</f>
        <v/>
      </c>
      <c r="L32" s="30">
        <f t="array" ref="L32">INDIRECT("'"&amp;$A32&amp;"'!I8")</f>
        <v/>
      </c>
      <c r="M32" s="30">
        <f t="array" ref="M32">INDIRECT("'"&amp;$A32&amp;"'!J8")</f>
        <v/>
      </c>
      <c r="N32" s="30">
        <f t="array" ref="N32">INDIRECT("'"&amp;$A32&amp;"'!K8")</f>
        <v/>
      </c>
      <c r="O32" s="30">
        <f t="array" ref="O32">INDIRECT("'"&amp;$A32&amp;"'!L8")</f>
        <v/>
      </c>
      <c r="P32" s="30">
        <f t="array" ref="P32">INDIRECT("'"&amp;$A32&amp;"'!M8")</f>
        <v/>
      </c>
      <c r="Q32" s="30">
        <f t="array" ref="Q32">INDIRECT("'"&amp;$A32&amp;"'!N8")</f>
        <v/>
      </c>
      <c r="R32" s="30">
        <f t="array" ref="R32">INDIRECT("'"&amp;$A32&amp;"'!O8")</f>
        <v/>
      </c>
      <c r="S32" s="30">
        <f t="array" ref="S32">INDIRECT("'"&amp;$A32&amp;"'!P8")</f>
        <v/>
      </c>
      <c r="T32" s="30">
        <f t="array" ref="T32">INDIRECT("'"&amp;$A32&amp;"'!Q8")</f>
        <v/>
      </c>
      <c r="U32" s="30">
        <f t="array" ref="U32">INDIRECT("'"&amp;$A32&amp;"'!R8")</f>
        <v/>
      </c>
      <c r="V32" s="30">
        <f t="array" ref="V32">INDIRECT("'"&amp;$A32&amp;"'!S8")</f>
        <v/>
      </c>
      <c r="W32" s="30">
        <f t="array" ref="W32">INDIRECT("'"&amp;$A32&amp;"'!T8")</f>
        <v/>
      </c>
      <c r="X32" s="30">
        <f t="array" ref="X32">INDIRECT("'"&amp;$A32&amp;"'!U8")</f>
        <v/>
      </c>
      <c r="Y32" s="30">
        <f t="array" ref="Y32">INDIRECT("'"&amp;$A32&amp;"'!V8")</f>
        <v/>
      </c>
      <c r="Z32" s="30">
        <f t="array" ref="Z32">INDIRECT("'"&amp;$A32&amp;"'!W8")</f>
        <v/>
      </c>
      <c r="AA32" s="30">
        <f t="array" ref="AA32">INDIRECT("'"&amp;$A32&amp;"'!X8")</f>
        <v/>
      </c>
      <c r="AB32" s="30">
        <f t="array" ref="AB32">INDIRECT("'"&amp;$A32&amp;"'!Y8")</f>
        <v/>
      </c>
      <c r="AC32" s="30">
        <f t="array" ref="AC32">INDIRECT("'"&amp;$A32&amp;"'!Z8")</f>
        <v/>
      </c>
      <c r="AD32" s="31">
        <f t="array" ref="AD32">INDIRECT("'"&amp;$A32&amp;"'!AA8")</f>
        <v/>
      </c>
      <c r="AE32" s="79">
        <f t="array" ref="AE32">INDIRECT("'"&amp;$A33&amp;"'!J2")</f>
        <v/>
      </c>
      <c r="AF32" s="53">
        <f t="array" ref="AF32">INDIRECT("'"&amp;$A33&amp;"'!AD1")</f>
        <v/>
      </c>
    </row>
    <row r="33">
      <c r="A33" s="58" t="n">
        <v>11</v>
      </c>
      <c r="B33" s="105" t="n"/>
      <c r="C33" s="67">
        <f t="array" ref="C33">CONCATENATE("粮 ",INDIRECT("'"&amp;$A33&amp;"'!D4"))</f>
        <v/>
      </c>
      <c r="D33" s="55" t="inlineStr">
        <is>
          <t>2队</t>
        </is>
      </c>
      <c r="E33" s="80">
        <f t="array" ref="E33">INDIRECT("'"&amp;$A33&amp;"'!I3")</f>
        <v/>
      </c>
      <c r="F33" s="52">
        <f t="array" ref="F33">INDIRECT("'"&amp;$A33&amp;"'!C11")</f>
        <v/>
      </c>
      <c r="G33" s="3">
        <f t="array" ref="G33">INDIRECT("'"&amp;$A33&amp;"'!D11")</f>
        <v/>
      </c>
      <c r="H33" s="3">
        <f t="array" ref="H33">INDIRECT("'"&amp;$A33&amp;"'!E11")</f>
        <v/>
      </c>
      <c r="I33" s="3">
        <f t="array" ref="I33">INDIRECT("'"&amp;$A33&amp;"'!F11")</f>
        <v/>
      </c>
      <c r="J33" s="3">
        <f t="array" ref="J33">INDIRECT("'"&amp;$A33&amp;"'!G11")</f>
        <v/>
      </c>
      <c r="K33" s="3">
        <f t="array" ref="K33">INDIRECT("'"&amp;$A33&amp;"'!H11")</f>
        <v/>
      </c>
      <c r="L33" s="3">
        <f t="array" ref="L33">INDIRECT("'"&amp;$A33&amp;"'!I11")</f>
        <v/>
      </c>
      <c r="M33" s="3">
        <f t="array" ref="M33">INDIRECT("'"&amp;$A33&amp;"'!J11")</f>
        <v/>
      </c>
      <c r="N33" s="3">
        <f t="array" ref="N33">INDIRECT("'"&amp;$A33&amp;"'!K11")</f>
        <v/>
      </c>
      <c r="O33" s="3">
        <f t="array" ref="O33">INDIRECT("'"&amp;$A33&amp;"'!L11")</f>
        <v/>
      </c>
      <c r="P33" s="3">
        <f t="array" ref="P33">INDIRECT("'"&amp;$A33&amp;"'!M11")</f>
        <v/>
      </c>
      <c r="Q33" s="3">
        <f t="array" ref="Q33">INDIRECT("'"&amp;$A33&amp;"'!N11")</f>
        <v/>
      </c>
      <c r="R33" s="3">
        <f t="array" ref="R33">INDIRECT("'"&amp;$A33&amp;"'!O11")</f>
        <v/>
      </c>
      <c r="S33" s="3">
        <f t="array" ref="S33">INDIRECT("'"&amp;$A33&amp;"'!P11")</f>
        <v/>
      </c>
      <c r="T33" s="3">
        <f t="array" ref="T33">INDIRECT("'"&amp;$A33&amp;"'!Q11")</f>
        <v/>
      </c>
      <c r="U33" s="3">
        <f t="array" ref="U33">INDIRECT("'"&amp;$A33&amp;"'!R11")</f>
        <v/>
      </c>
      <c r="V33" s="3">
        <f t="array" ref="V33">INDIRECT("'"&amp;$A33&amp;"'!S11")</f>
        <v/>
      </c>
      <c r="W33" s="3">
        <f t="array" ref="W33">INDIRECT("'"&amp;$A33&amp;"'!T11")</f>
        <v/>
      </c>
      <c r="X33" s="3">
        <f t="array" ref="X33">INDIRECT("'"&amp;$A33&amp;"'!U11")</f>
        <v/>
      </c>
      <c r="Y33" s="3">
        <f t="array" ref="Y33">INDIRECT("'"&amp;$A33&amp;"'!V11")</f>
        <v/>
      </c>
      <c r="Z33" s="3">
        <f t="array" ref="Z33">INDIRECT("'"&amp;$A33&amp;"'!W11")</f>
        <v/>
      </c>
      <c r="AA33" s="3">
        <f t="array" ref="AA33">INDIRECT("'"&amp;$A33&amp;"'!X11")</f>
        <v/>
      </c>
      <c r="AB33" s="3">
        <f t="array" ref="AB33">INDIRECT("'"&amp;$A33&amp;"'!Y11")</f>
        <v/>
      </c>
      <c r="AC33" s="3">
        <f t="array" ref="AC33">INDIRECT("'"&amp;$A33&amp;"'!Z11")</f>
        <v/>
      </c>
      <c r="AD33" s="32">
        <f t="array" ref="AD33">INDIRECT("'"&amp;$A33&amp;"'!AA11")</f>
        <v/>
      </c>
      <c r="AE33" s="80">
        <f t="array" ref="AE33">INDIRECT("'"&amp;$A33&amp;"'!J3")</f>
        <v/>
      </c>
      <c r="AF33" s="53">
        <f t="array" ref="AF33">INDIRECT("'"&amp;$A33&amp;"'!AC1")</f>
        <v/>
      </c>
    </row>
    <row r="34" ht="15.75" customHeight="1" thickBot="1">
      <c r="A34" s="58" t="n">
        <v>11</v>
      </c>
      <c r="B34" s="106" t="n"/>
      <c r="C34" s="77">
        <f t="array" ref="C34">CONCATENATE("分 ",INDIRECT("'"&amp;$A33&amp;"'!D6"))</f>
        <v/>
      </c>
      <c r="D34" s="56" t="inlineStr">
        <is>
          <t>3队</t>
        </is>
      </c>
      <c r="E34" s="81">
        <f t="array" ref="E34">INDIRECT("'"&amp;$A33&amp;"'!I4")</f>
        <v/>
      </c>
      <c r="F34" s="52">
        <f t="array" ref="F34">INDIRECT("'"&amp;$A34&amp;"'!C14")</f>
        <v/>
      </c>
      <c r="G34" s="3">
        <f t="array" ref="G34">INDIRECT("'"&amp;$A34&amp;"'!D14")</f>
        <v/>
      </c>
      <c r="H34" s="3">
        <f t="array" ref="H34">INDIRECT("'"&amp;$A34&amp;"'!E14")</f>
        <v/>
      </c>
      <c r="I34" s="3">
        <f t="array" ref="I34">INDIRECT("'"&amp;$A34&amp;"'!F14")</f>
        <v/>
      </c>
      <c r="J34" s="3">
        <f t="array" ref="J34">INDIRECT("'"&amp;$A34&amp;"'!G14")</f>
        <v/>
      </c>
      <c r="K34" s="3">
        <f t="array" ref="K34">INDIRECT("'"&amp;$A34&amp;"'!H14")</f>
        <v/>
      </c>
      <c r="L34" s="3">
        <f t="array" ref="L34">INDIRECT("'"&amp;$A34&amp;"'!I14")</f>
        <v/>
      </c>
      <c r="M34" s="3">
        <f t="array" ref="M34">INDIRECT("'"&amp;$A34&amp;"'!J14")</f>
        <v/>
      </c>
      <c r="N34" s="3">
        <f t="array" ref="N34">INDIRECT("'"&amp;$A34&amp;"'!K14")</f>
        <v/>
      </c>
      <c r="O34" s="3">
        <f t="array" ref="O34">INDIRECT("'"&amp;$A34&amp;"'!L14")</f>
        <v/>
      </c>
      <c r="P34" s="3">
        <f t="array" ref="P34">INDIRECT("'"&amp;$A34&amp;"'!M14")</f>
        <v/>
      </c>
      <c r="Q34" s="3">
        <f t="array" ref="Q34">INDIRECT("'"&amp;$A34&amp;"'!N14")</f>
        <v/>
      </c>
      <c r="R34" s="3">
        <f t="array" ref="R34">INDIRECT("'"&amp;$A34&amp;"'!O14")</f>
        <v/>
      </c>
      <c r="S34" s="3">
        <f t="array" ref="S34">INDIRECT("'"&amp;$A34&amp;"'!P14")</f>
        <v/>
      </c>
      <c r="T34" s="3">
        <f t="array" ref="T34">INDIRECT("'"&amp;$A34&amp;"'!Q14")</f>
        <v/>
      </c>
      <c r="U34" s="3">
        <f t="array" ref="U34">INDIRECT("'"&amp;$A34&amp;"'!R14")</f>
        <v/>
      </c>
      <c r="V34" s="3">
        <f t="array" ref="V34">INDIRECT("'"&amp;$A34&amp;"'!S14")</f>
        <v/>
      </c>
      <c r="W34" s="3">
        <f t="array" ref="W34">INDIRECT("'"&amp;$A34&amp;"'!T14")</f>
        <v/>
      </c>
      <c r="X34" s="3">
        <f t="array" ref="X34">INDIRECT("'"&amp;$A34&amp;"'!U14")</f>
        <v/>
      </c>
      <c r="Y34" s="3">
        <f t="array" ref="Y34">INDIRECT("'"&amp;$A34&amp;"'!V14")</f>
        <v/>
      </c>
      <c r="Z34" s="3">
        <f t="array" ref="Z34">INDIRECT("'"&amp;$A34&amp;"'!W14")</f>
        <v/>
      </c>
      <c r="AA34" s="3">
        <f t="array" ref="AA34">INDIRECT("'"&amp;$A34&amp;"'!X14")</f>
        <v/>
      </c>
      <c r="AB34" s="3">
        <f t="array" ref="AB34">INDIRECT("'"&amp;$A34&amp;"'!Y14")</f>
        <v/>
      </c>
      <c r="AC34" s="3">
        <f t="array" ref="AC34">INDIRECT("'"&amp;$A34&amp;"'!Z14")</f>
        <v/>
      </c>
      <c r="AD34" s="32">
        <f t="array" ref="AD34">INDIRECT("'"&amp;$A34&amp;"'!AA14")</f>
        <v/>
      </c>
      <c r="AE34" s="81">
        <f t="array" ref="AE34">INDIRECT("'"&amp;$A33&amp;"'!J4")</f>
        <v/>
      </c>
      <c r="AF34" s="53" t="n"/>
    </row>
    <row r="35">
      <c r="A35" s="58" t="n">
        <v>12</v>
      </c>
      <c r="B35" s="103">
        <f>INDEX(data!$I$2:$I$98,MATCH(A35*1,data!$G$2:$G$98,0))</f>
        <v/>
      </c>
      <c r="C35" s="66">
        <f>HYPERLINK("#'" &amp; A35 &amp; "'!A1", "编辑")</f>
        <v/>
      </c>
      <c r="D35" s="54" t="inlineStr">
        <is>
          <t>1队</t>
        </is>
      </c>
      <c r="E35" s="79">
        <f t="array" ref="E35">INDIRECT("'"&amp;$A36&amp;"'!I2")</f>
        <v/>
      </c>
      <c r="F35" s="29">
        <f t="array" ref="F35">INDIRECT("'"&amp;$A35&amp;"'!C8")</f>
        <v/>
      </c>
      <c r="G35" s="30">
        <f t="array" ref="G35">INDIRECT("'"&amp;$A35&amp;"'!D8")</f>
        <v/>
      </c>
      <c r="H35" s="30">
        <f t="array" ref="H35">INDIRECT("'"&amp;$A35&amp;"'!E8")</f>
        <v/>
      </c>
      <c r="I35" s="30">
        <f t="array" ref="I35">INDIRECT("'"&amp;$A35&amp;"'!F8")</f>
        <v/>
      </c>
      <c r="J35" s="30">
        <f t="array" ref="J35">INDIRECT("'"&amp;$A35&amp;"'!G8")</f>
        <v/>
      </c>
      <c r="K35" s="30">
        <f t="array" ref="K35">INDIRECT("'"&amp;$A35&amp;"'!H8")</f>
        <v/>
      </c>
      <c r="L35" s="30">
        <f t="array" ref="L35">INDIRECT("'"&amp;$A35&amp;"'!I8")</f>
        <v/>
      </c>
      <c r="M35" s="30">
        <f t="array" ref="M35">INDIRECT("'"&amp;$A35&amp;"'!J8")</f>
        <v/>
      </c>
      <c r="N35" s="30">
        <f t="array" ref="N35">INDIRECT("'"&amp;$A35&amp;"'!K8")</f>
        <v/>
      </c>
      <c r="O35" s="30">
        <f t="array" ref="O35">INDIRECT("'"&amp;$A35&amp;"'!L8")</f>
        <v/>
      </c>
      <c r="P35" s="30">
        <f t="array" ref="P35">INDIRECT("'"&amp;$A35&amp;"'!M8")</f>
        <v/>
      </c>
      <c r="Q35" s="30">
        <f t="array" ref="Q35">INDIRECT("'"&amp;$A35&amp;"'!N8")</f>
        <v/>
      </c>
      <c r="R35" s="30">
        <f t="array" ref="R35">INDIRECT("'"&amp;$A35&amp;"'!O8")</f>
        <v/>
      </c>
      <c r="S35" s="30">
        <f t="array" ref="S35">INDIRECT("'"&amp;$A35&amp;"'!P8")</f>
        <v/>
      </c>
      <c r="T35" s="30">
        <f t="array" ref="T35">INDIRECT("'"&amp;$A35&amp;"'!Q8")</f>
        <v/>
      </c>
      <c r="U35" s="30">
        <f t="array" ref="U35">INDIRECT("'"&amp;$A35&amp;"'!R8")</f>
        <v/>
      </c>
      <c r="V35" s="30">
        <f t="array" ref="V35">INDIRECT("'"&amp;$A35&amp;"'!S8")</f>
        <v/>
      </c>
      <c r="W35" s="30">
        <f t="array" ref="W35">INDIRECT("'"&amp;$A35&amp;"'!T8")</f>
        <v/>
      </c>
      <c r="X35" s="30">
        <f t="array" ref="X35">INDIRECT("'"&amp;$A35&amp;"'!U8")</f>
        <v/>
      </c>
      <c r="Y35" s="30">
        <f t="array" ref="Y35">INDIRECT("'"&amp;$A35&amp;"'!V8")</f>
        <v/>
      </c>
      <c r="Z35" s="30">
        <f t="array" ref="Z35">INDIRECT("'"&amp;$A35&amp;"'!W8")</f>
        <v/>
      </c>
      <c r="AA35" s="30">
        <f t="array" ref="AA35">INDIRECT("'"&amp;$A35&amp;"'!X8")</f>
        <v/>
      </c>
      <c r="AB35" s="30">
        <f t="array" ref="AB35">INDIRECT("'"&amp;$A35&amp;"'!Y8")</f>
        <v/>
      </c>
      <c r="AC35" s="30">
        <f t="array" ref="AC35">INDIRECT("'"&amp;$A35&amp;"'!Z8")</f>
        <v/>
      </c>
      <c r="AD35" s="31">
        <f t="array" ref="AD35">INDIRECT("'"&amp;$A35&amp;"'!AA8")</f>
        <v/>
      </c>
      <c r="AE35" s="79">
        <f t="array" ref="AE35">INDIRECT("'"&amp;$A36&amp;"'!J2")</f>
        <v/>
      </c>
      <c r="AF35" s="53">
        <f t="array" ref="AF35">INDIRECT("'"&amp;$A36&amp;"'!AD1")</f>
        <v/>
      </c>
    </row>
    <row r="36">
      <c r="A36" s="58" t="n">
        <v>12</v>
      </c>
      <c r="B36" s="105" t="n"/>
      <c r="C36" s="67">
        <f t="array" ref="C36">CONCATENATE("粮 ",INDIRECT("'"&amp;$A36&amp;"'!D4"))</f>
        <v/>
      </c>
      <c r="D36" s="55" t="inlineStr">
        <is>
          <t>2队</t>
        </is>
      </c>
      <c r="E36" s="80">
        <f t="array" ref="E36">INDIRECT("'"&amp;$A36&amp;"'!I3")</f>
        <v/>
      </c>
      <c r="F36" s="52">
        <f t="array" ref="F36">INDIRECT("'"&amp;$A36&amp;"'!C11")</f>
        <v/>
      </c>
      <c r="G36" s="3">
        <f t="array" ref="G36">INDIRECT("'"&amp;$A36&amp;"'!D11")</f>
        <v/>
      </c>
      <c r="H36" s="3">
        <f t="array" ref="H36">INDIRECT("'"&amp;$A36&amp;"'!E11")</f>
        <v/>
      </c>
      <c r="I36" s="3">
        <f t="array" ref="I36">INDIRECT("'"&amp;$A36&amp;"'!F11")</f>
        <v/>
      </c>
      <c r="J36" s="3">
        <f t="array" ref="J36">INDIRECT("'"&amp;$A36&amp;"'!G11")</f>
        <v/>
      </c>
      <c r="K36" s="3">
        <f t="array" ref="K36">INDIRECT("'"&amp;$A36&amp;"'!H11")</f>
        <v/>
      </c>
      <c r="L36" s="3">
        <f t="array" ref="L36">INDIRECT("'"&amp;$A36&amp;"'!I11")</f>
        <v/>
      </c>
      <c r="M36" s="3">
        <f t="array" ref="M36">INDIRECT("'"&amp;$A36&amp;"'!J11")</f>
        <v/>
      </c>
      <c r="N36" s="3">
        <f t="array" ref="N36">INDIRECT("'"&amp;$A36&amp;"'!K11")</f>
        <v/>
      </c>
      <c r="O36" s="3">
        <f t="array" ref="O36">INDIRECT("'"&amp;$A36&amp;"'!L11")</f>
        <v/>
      </c>
      <c r="P36" s="3">
        <f t="array" ref="P36">INDIRECT("'"&amp;$A36&amp;"'!M11")</f>
        <v/>
      </c>
      <c r="Q36" s="3">
        <f t="array" ref="Q36">INDIRECT("'"&amp;$A36&amp;"'!N11")</f>
        <v/>
      </c>
      <c r="R36" s="3">
        <f t="array" ref="R36">INDIRECT("'"&amp;$A36&amp;"'!O11")</f>
        <v/>
      </c>
      <c r="S36" s="3">
        <f t="array" ref="S36">INDIRECT("'"&amp;$A36&amp;"'!P11")</f>
        <v/>
      </c>
      <c r="T36" s="3">
        <f t="array" ref="T36">INDIRECT("'"&amp;$A36&amp;"'!Q11")</f>
        <v/>
      </c>
      <c r="U36" s="3">
        <f t="array" ref="U36">INDIRECT("'"&amp;$A36&amp;"'!R11")</f>
        <v/>
      </c>
      <c r="V36" s="3">
        <f t="array" ref="V36">INDIRECT("'"&amp;$A36&amp;"'!S11")</f>
        <v/>
      </c>
      <c r="W36" s="3">
        <f t="array" ref="W36">INDIRECT("'"&amp;$A36&amp;"'!T11")</f>
        <v/>
      </c>
      <c r="X36" s="3">
        <f t="array" ref="X36">INDIRECT("'"&amp;$A36&amp;"'!U11")</f>
        <v/>
      </c>
      <c r="Y36" s="3">
        <f t="array" ref="Y36">INDIRECT("'"&amp;$A36&amp;"'!V11")</f>
        <v/>
      </c>
      <c r="Z36" s="3">
        <f t="array" ref="Z36">INDIRECT("'"&amp;$A36&amp;"'!W11")</f>
        <v/>
      </c>
      <c r="AA36" s="3">
        <f t="array" ref="AA36">INDIRECT("'"&amp;$A36&amp;"'!X11")</f>
        <v/>
      </c>
      <c r="AB36" s="3">
        <f t="array" ref="AB36">INDIRECT("'"&amp;$A36&amp;"'!Y11")</f>
        <v/>
      </c>
      <c r="AC36" s="3">
        <f t="array" ref="AC36">INDIRECT("'"&amp;$A36&amp;"'!Z11")</f>
        <v/>
      </c>
      <c r="AD36" s="32">
        <f t="array" ref="AD36">INDIRECT("'"&amp;$A36&amp;"'!AA11")</f>
        <v/>
      </c>
      <c r="AE36" s="80">
        <f t="array" ref="AE36">INDIRECT("'"&amp;$A36&amp;"'!J3")</f>
        <v/>
      </c>
      <c r="AF36" s="53">
        <f t="array" ref="AF36">INDIRECT("'"&amp;$A36&amp;"'!AC1")</f>
        <v/>
      </c>
    </row>
    <row r="37" ht="15.75" customHeight="1" thickBot="1">
      <c r="A37" s="58" t="n">
        <v>12</v>
      </c>
      <c r="B37" s="106" t="n"/>
      <c r="C37" s="77">
        <f t="array" ref="C37">CONCATENATE("分 ",INDIRECT("'"&amp;$A36&amp;"'!D6"))</f>
        <v/>
      </c>
      <c r="D37" s="56" t="inlineStr">
        <is>
          <t>3队</t>
        </is>
      </c>
      <c r="E37" s="81">
        <f t="array" ref="E37">INDIRECT("'"&amp;$A36&amp;"'!I4")</f>
        <v/>
      </c>
      <c r="F37" s="52">
        <f t="array" ref="F37">INDIRECT("'"&amp;$A37&amp;"'!C14")</f>
        <v/>
      </c>
      <c r="G37" s="3">
        <f t="array" ref="G37">INDIRECT("'"&amp;$A37&amp;"'!D14")</f>
        <v/>
      </c>
      <c r="H37" s="3">
        <f t="array" ref="H37">INDIRECT("'"&amp;$A37&amp;"'!E14")</f>
        <v/>
      </c>
      <c r="I37" s="3">
        <f t="array" ref="I37">INDIRECT("'"&amp;$A37&amp;"'!F14")</f>
        <v/>
      </c>
      <c r="J37" s="3">
        <f t="array" ref="J37">INDIRECT("'"&amp;$A37&amp;"'!G14")</f>
        <v/>
      </c>
      <c r="K37" s="3">
        <f t="array" ref="K37">INDIRECT("'"&amp;$A37&amp;"'!H14")</f>
        <v/>
      </c>
      <c r="L37" s="3">
        <f t="array" ref="L37">INDIRECT("'"&amp;$A37&amp;"'!I14")</f>
        <v/>
      </c>
      <c r="M37" s="3">
        <f t="array" ref="M37">INDIRECT("'"&amp;$A37&amp;"'!J14")</f>
        <v/>
      </c>
      <c r="N37" s="3">
        <f t="array" ref="N37">INDIRECT("'"&amp;$A37&amp;"'!K14")</f>
        <v/>
      </c>
      <c r="O37" s="3">
        <f t="array" ref="O37">INDIRECT("'"&amp;$A37&amp;"'!L14")</f>
        <v/>
      </c>
      <c r="P37" s="3">
        <f t="array" ref="P37">INDIRECT("'"&amp;$A37&amp;"'!M14")</f>
        <v/>
      </c>
      <c r="Q37" s="3">
        <f t="array" ref="Q37">INDIRECT("'"&amp;$A37&amp;"'!N14")</f>
        <v/>
      </c>
      <c r="R37" s="3">
        <f t="array" ref="R37">INDIRECT("'"&amp;$A37&amp;"'!O14")</f>
        <v/>
      </c>
      <c r="S37" s="3">
        <f t="array" ref="S37">INDIRECT("'"&amp;$A37&amp;"'!P14")</f>
        <v/>
      </c>
      <c r="T37" s="3">
        <f t="array" ref="T37">INDIRECT("'"&amp;$A37&amp;"'!Q14")</f>
        <v/>
      </c>
      <c r="U37" s="3">
        <f t="array" ref="U37">INDIRECT("'"&amp;$A37&amp;"'!R14")</f>
        <v/>
      </c>
      <c r="V37" s="3">
        <f t="array" ref="V37">INDIRECT("'"&amp;$A37&amp;"'!S14")</f>
        <v/>
      </c>
      <c r="W37" s="3">
        <f t="array" ref="W37">INDIRECT("'"&amp;$A37&amp;"'!T14")</f>
        <v/>
      </c>
      <c r="X37" s="3">
        <f t="array" ref="X37">INDIRECT("'"&amp;$A37&amp;"'!U14")</f>
        <v/>
      </c>
      <c r="Y37" s="3">
        <f t="array" ref="Y37">INDIRECT("'"&amp;$A37&amp;"'!V14")</f>
        <v/>
      </c>
      <c r="Z37" s="3">
        <f t="array" ref="Z37">INDIRECT("'"&amp;$A37&amp;"'!W14")</f>
        <v/>
      </c>
      <c r="AA37" s="3">
        <f t="array" ref="AA37">INDIRECT("'"&amp;$A37&amp;"'!X14")</f>
        <v/>
      </c>
      <c r="AB37" s="3">
        <f t="array" ref="AB37">INDIRECT("'"&amp;$A37&amp;"'!Y14")</f>
        <v/>
      </c>
      <c r="AC37" s="3">
        <f t="array" ref="AC37">INDIRECT("'"&amp;$A37&amp;"'!Z14")</f>
        <v/>
      </c>
      <c r="AD37" s="32">
        <f t="array" ref="AD37">INDIRECT("'"&amp;$A37&amp;"'!AA14")</f>
        <v/>
      </c>
      <c r="AE37" s="81">
        <f t="array" ref="AE37">INDIRECT("'"&amp;$A36&amp;"'!J4")</f>
        <v/>
      </c>
      <c r="AF37" s="53" t="n"/>
    </row>
    <row r="38">
      <c r="A38" s="58" t="n">
        <v>13</v>
      </c>
      <c r="B38" s="103">
        <f>INDEX(data!$I$2:$I$98,MATCH(A38*1,data!$G$2:$G$98,0))</f>
        <v/>
      </c>
      <c r="C38" s="66">
        <f>HYPERLINK("#'" &amp; A38 &amp; "'!A1", "编辑")</f>
        <v/>
      </c>
      <c r="D38" s="54" t="inlineStr">
        <is>
          <t>1队</t>
        </is>
      </c>
      <c r="E38" s="79">
        <f t="array" ref="E38">INDIRECT("'"&amp;$A39&amp;"'!I2")</f>
        <v/>
      </c>
      <c r="F38" s="29">
        <f t="array" ref="F38">INDIRECT("'"&amp;$A38&amp;"'!C8")</f>
        <v/>
      </c>
      <c r="G38" s="30">
        <f t="array" ref="G38">INDIRECT("'"&amp;$A38&amp;"'!D8")</f>
        <v/>
      </c>
      <c r="H38" s="30">
        <f t="array" ref="H38">INDIRECT("'"&amp;$A38&amp;"'!E8")</f>
        <v/>
      </c>
      <c r="I38" s="30">
        <f t="array" ref="I38">INDIRECT("'"&amp;$A38&amp;"'!F8")</f>
        <v/>
      </c>
      <c r="J38" s="30">
        <f t="array" ref="J38">INDIRECT("'"&amp;$A38&amp;"'!G8")</f>
        <v/>
      </c>
      <c r="K38" s="30">
        <f t="array" ref="K38">INDIRECT("'"&amp;$A38&amp;"'!H8")</f>
        <v/>
      </c>
      <c r="L38" s="30">
        <f t="array" ref="L38">INDIRECT("'"&amp;$A38&amp;"'!I8")</f>
        <v/>
      </c>
      <c r="M38" s="30">
        <f t="array" ref="M38">INDIRECT("'"&amp;$A38&amp;"'!J8")</f>
        <v/>
      </c>
      <c r="N38" s="30">
        <f t="array" ref="N38">INDIRECT("'"&amp;$A38&amp;"'!K8")</f>
        <v/>
      </c>
      <c r="O38" s="30">
        <f t="array" ref="O38">INDIRECT("'"&amp;$A38&amp;"'!L8")</f>
        <v/>
      </c>
      <c r="P38" s="30">
        <f t="array" ref="P38">INDIRECT("'"&amp;$A38&amp;"'!M8")</f>
        <v/>
      </c>
      <c r="Q38" s="30">
        <f t="array" ref="Q38">INDIRECT("'"&amp;$A38&amp;"'!N8")</f>
        <v/>
      </c>
      <c r="R38" s="30">
        <f t="array" ref="R38">INDIRECT("'"&amp;$A38&amp;"'!O8")</f>
        <v/>
      </c>
      <c r="S38" s="30">
        <f t="array" ref="S38">INDIRECT("'"&amp;$A38&amp;"'!P8")</f>
        <v/>
      </c>
      <c r="T38" s="30">
        <f t="array" ref="T38">INDIRECT("'"&amp;$A38&amp;"'!Q8")</f>
        <v/>
      </c>
      <c r="U38" s="30">
        <f t="array" ref="U38">INDIRECT("'"&amp;$A38&amp;"'!R8")</f>
        <v/>
      </c>
      <c r="V38" s="30">
        <f t="array" ref="V38">INDIRECT("'"&amp;$A38&amp;"'!S8")</f>
        <v/>
      </c>
      <c r="W38" s="30">
        <f t="array" ref="W38">INDIRECT("'"&amp;$A38&amp;"'!T8")</f>
        <v/>
      </c>
      <c r="X38" s="30">
        <f t="array" ref="X38">INDIRECT("'"&amp;$A38&amp;"'!U8")</f>
        <v/>
      </c>
      <c r="Y38" s="30">
        <f t="array" ref="Y38">INDIRECT("'"&amp;$A38&amp;"'!V8")</f>
        <v/>
      </c>
      <c r="Z38" s="30">
        <f t="array" ref="Z38">INDIRECT("'"&amp;$A38&amp;"'!W8")</f>
        <v/>
      </c>
      <c r="AA38" s="30">
        <f t="array" ref="AA38">INDIRECT("'"&amp;$A38&amp;"'!X8")</f>
        <v/>
      </c>
      <c r="AB38" s="30">
        <f t="array" ref="AB38">INDIRECT("'"&amp;$A38&amp;"'!Y8")</f>
        <v/>
      </c>
      <c r="AC38" s="30">
        <f t="array" ref="AC38">INDIRECT("'"&amp;$A38&amp;"'!Z8")</f>
        <v/>
      </c>
      <c r="AD38" s="31">
        <f t="array" ref="AD38">INDIRECT("'"&amp;$A38&amp;"'!AA8")</f>
        <v/>
      </c>
      <c r="AE38" s="79">
        <f t="array" ref="AE38">INDIRECT("'"&amp;$A39&amp;"'!J2")</f>
        <v/>
      </c>
      <c r="AF38" s="53">
        <f t="array" ref="AF38">INDIRECT("'"&amp;$A39&amp;"'!AD1")</f>
        <v/>
      </c>
    </row>
    <row r="39">
      <c r="A39" s="58" t="n">
        <v>13</v>
      </c>
      <c r="B39" s="105" t="n"/>
      <c r="C39" s="67">
        <f t="array" ref="C39">CONCATENATE("粮 ",INDIRECT("'"&amp;$A39&amp;"'!D4"))</f>
        <v/>
      </c>
      <c r="D39" s="55" t="inlineStr">
        <is>
          <t>2队</t>
        </is>
      </c>
      <c r="E39" s="80">
        <f t="array" ref="E39">INDIRECT("'"&amp;$A39&amp;"'!I3")</f>
        <v/>
      </c>
      <c r="F39" s="52">
        <f t="array" ref="F39">INDIRECT("'"&amp;$A39&amp;"'!C11")</f>
        <v/>
      </c>
      <c r="G39" s="3">
        <f t="array" ref="G39">INDIRECT("'"&amp;$A39&amp;"'!D11")</f>
        <v/>
      </c>
      <c r="H39" s="3">
        <f t="array" ref="H39">INDIRECT("'"&amp;$A39&amp;"'!E11")</f>
        <v/>
      </c>
      <c r="I39" s="3">
        <f t="array" ref="I39">INDIRECT("'"&amp;$A39&amp;"'!F11")</f>
        <v/>
      </c>
      <c r="J39" s="3">
        <f t="array" ref="J39">INDIRECT("'"&amp;$A39&amp;"'!G11")</f>
        <v/>
      </c>
      <c r="K39" s="3">
        <f t="array" ref="K39">INDIRECT("'"&amp;$A39&amp;"'!H11")</f>
        <v/>
      </c>
      <c r="L39" s="3">
        <f t="array" ref="L39">INDIRECT("'"&amp;$A39&amp;"'!I11")</f>
        <v/>
      </c>
      <c r="M39" s="3">
        <f t="array" ref="M39">INDIRECT("'"&amp;$A39&amp;"'!J11")</f>
        <v/>
      </c>
      <c r="N39" s="3">
        <f t="array" ref="N39">INDIRECT("'"&amp;$A39&amp;"'!K11")</f>
        <v/>
      </c>
      <c r="O39" s="3">
        <f t="array" ref="O39">INDIRECT("'"&amp;$A39&amp;"'!L11")</f>
        <v/>
      </c>
      <c r="P39" s="3">
        <f t="array" ref="P39">INDIRECT("'"&amp;$A39&amp;"'!M11")</f>
        <v/>
      </c>
      <c r="Q39" s="3">
        <f t="array" ref="Q39">INDIRECT("'"&amp;$A39&amp;"'!N11")</f>
        <v/>
      </c>
      <c r="R39" s="3">
        <f t="array" ref="R39">INDIRECT("'"&amp;$A39&amp;"'!O11")</f>
        <v/>
      </c>
      <c r="S39" s="3">
        <f t="array" ref="S39">INDIRECT("'"&amp;$A39&amp;"'!P11")</f>
        <v/>
      </c>
      <c r="T39" s="3">
        <f t="array" ref="T39">INDIRECT("'"&amp;$A39&amp;"'!Q11")</f>
        <v/>
      </c>
      <c r="U39" s="3">
        <f t="array" ref="U39">INDIRECT("'"&amp;$A39&amp;"'!R11")</f>
        <v/>
      </c>
      <c r="V39" s="3">
        <f t="array" ref="V39">INDIRECT("'"&amp;$A39&amp;"'!S11")</f>
        <v/>
      </c>
      <c r="W39" s="3">
        <f t="array" ref="W39">INDIRECT("'"&amp;$A39&amp;"'!T11")</f>
        <v/>
      </c>
      <c r="X39" s="3">
        <f t="array" ref="X39">INDIRECT("'"&amp;$A39&amp;"'!U11")</f>
        <v/>
      </c>
      <c r="Y39" s="3">
        <f t="array" ref="Y39">INDIRECT("'"&amp;$A39&amp;"'!V11")</f>
        <v/>
      </c>
      <c r="Z39" s="3">
        <f t="array" ref="Z39">INDIRECT("'"&amp;$A39&amp;"'!W11")</f>
        <v/>
      </c>
      <c r="AA39" s="3">
        <f t="array" ref="AA39">INDIRECT("'"&amp;$A39&amp;"'!X11")</f>
        <v/>
      </c>
      <c r="AB39" s="3">
        <f t="array" ref="AB39">INDIRECT("'"&amp;$A39&amp;"'!Y11")</f>
        <v/>
      </c>
      <c r="AC39" s="3">
        <f t="array" ref="AC39">INDIRECT("'"&amp;$A39&amp;"'!Z11")</f>
        <v/>
      </c>
      <c r="AD39" s="32">
        <f t="array" ref="AD39">INDIRECT("'"&amp;$A39&amp;"'!AA11")</f>
        <v/>
      </c>
      <c r="AE39" s="80">
        <f t="array" ref="AE39">INDIRECT("'"&amp;$A39&amp;"'!J3")</f>
        <v/>
      </c>
      <c r="AF39" s="53">
        <f t="array" ref="AF39">INDIRECT("'"&amp;$A39&amp;"'!AC1")</f>
        <v/>
      </c>
    </row>
    <row r="40" ht="15.75" customHeight="1" thickBot="1">
      <c r="A40" s="58" t="n">
        <v>13</v>
      </c>
      <c r="B40" s="106" t="n"/>
      <c r="C40" s="77">
        <f t="array" ref="C40">CONCATENATE("分 ",INDIRECT("'"&amp;$A39&amp;"'!D6"))</f>
        <v/>
      </c>
      <c r="D40" s="56" t="inlineStr">
        <is>
          <t>3队</t>
        </is>
      </c>
      <c r="E40" s="81">
        <f t="array" ref="E40">INDIRECT("'"&amp;$A39&amp;"'!I4")</f>
        <v/>
      </c>
      <c r="F40" s="52">
        <f t="array" ref="F40">INDIRECT("'"&amp;$A40&amp;"'!C14")</f>
        <v/>
      </c>
      <c r="G40" s="3">
        <f t="array" ref="G40">INDIRECT("'"&amp;$A40&amp;"'!D14")</f>
        <v/>
      </c>
      <c r="H40" s="3">
        <f t="array" ref="H40">INDIRECT("'"&amp;$A40&amp;"'!E14")</f>
        <v/>
      </c>
      <c r="I40" s="3">
        <f t="array" ref="I40">INDIRECT("'"&amp;$A40&amp;"'!F14")</f>
        <v/>
      </c>
      <c r="J40" s="3">
        <f t="array" ref="J40">INDIRECT("'"&amp;$A40&amp;"'!G14")</f>
        <v/>
      </c>
      <c r="K40" s="3">
        <f t="array" ref="K40">INDIRECT("'"&amp;$A40&amp;"'!H14")</f>
        <v/>
      </c>
      <c r="L40" s="3">
        <f t="array" ref="L40">INDIRECT("'"&amp;$A40&amp;"'!I14")</f>
        <v/>
      </c>
      <c r="M40" s="3">
        <f t="array" ref="M40">INDIRECT("'"&amp;$A40&amp;"'!J14")</f>
        <v/>
      </c>
      <c r="N40" s="3">
        <f t="array" ref="N40">INDIRECT("'"&amp;$A40&amp;"'!K14")</f>
        <v/>
      </c>
      <c r="O40" s="3">
        <f t="array" ref="O40">INDIRECT("'"&amp;$A40&amp;"'!L14")</f>
        <v/>
      </c>
      <c r="P40" s="3">
        <f t="array" ref="P40">INDIRECT("'"&amp;$A40&amp;"'!M14")</f>
        <v/>
      </c>
      <c r="Q40" s="3">
        <f t="array" ref="Q40">INDIRECT("'"&amp;$A40&amp;"'!N14")</f>
        <v/>
      </c>
      <c r="R40" s="3">
        <f t="array" ref="R40">INDIRECT("'"&amp;$A40&amp;"'!O14")</f>
        <v/>
      </c>
      <c r="S40" s="3">
        <f t="array" ref="S40">INDIRECT("'"&amp;$A40&amp;"'!P14")</f>
        <v/>
      </c>
      <c r="T40" s="3">
        <f t="array" ref="T40">INDIRECT("'"&amp;$A40&amp;"'!Q14")</f>
        <v/>
      </c>
      <c r="U40" s="3">
        <f t="array" ref="U40">INDIRECT("'"&amp;$A40&amp;"'!R14")</f>
        <v/>
      </c>
      <c r="V40" s="3">
        <f t="array" ref="V40">INDIRECT("'"&amp;$A40&amp;"'!S14")</f>
        <v/>
      </c>
      <c r="W40" s="3">
        <f t="array" ref="W40">INDIRECT("'"&amp;$A40&amp;"'!T14")</f>
        <v/>
      </c>
      <c r="X40" s="3">
        <f t="array" ref="X40">INDIRECT("'"&amp;$A40&amp;"'!U14")</f>
        <v/>
      </c>
      <c r="Y40" s="3">
        <f t="array" ref="Y40">INDIRECT("'"&amp;$A40&amp;"'!V14")</f>
        <v/>
      </c>
      <c r="Z40" s="3">
        <f t="array" ref="Z40">INDIRECT("'"&amp;$A40&amp;"'!W14")</f>
        <v/>
      </c>
      <c r="AA40" s="3">
        <f t="array" ref="AA40">INDIRECT("'"&amp;$A40&amp;"'!X14")</f>
        <v/>
      </c>
      <c r="AB40" s="3">
        <f t="array" ref="AB40">INDIRECT("'"&amp;$A40&amp;"'!Y14")</f>
        <v/>
      </c>
      <c r="AC40" s="3">
        <f t="array" ref="AC40">INDIRECT("'"&amp;$A40&amp;"'!Z14")</f>
        <v/>
      </c>
      <c r="AD40" s="32">
        <f t="array" ref="AD40">INDIRECT("'"&amp;$A40&amp;"'!AA14")</f>
        <v/>
      </c>
      <c r="AE40" s="81">
        <f t="array" ref="AE40">INDIRECT("'"&amp;$A39&amp;"'!J4")</f>
        <v/>
      </c>
      <c r="AF40" s="53" t="n"/>
    </row>
    <row r="41">
      <c r="A41" s="58" t="n">
        <v>14</v>
      </c>
      <c r="B41" s="103">
        <f>INDEX(data!$I$2:$I$98,MATCH(A41*1,data!$G$2:$G$98,0))</f>
        <v/>
      </c>
      <c r="C41" s="66">
        <f>HYPERLINK("#'" &amp; A41 &amp; "'!A1", "编辑")</f>
        <v/>
      </c>
      <c r="D41" s="54" t="inlineStr">
        <is>
          <t>1队</t>
        </is>
      </c>
      <c r="E41" s="79">
        <f t="array" ref="E41">INDIRECT("'"&amp;$A42&amp;"'!I2")</f>
        <v/>
      </c>
      <c r="F41" s="29">
        <f t="array" ref="F41">INDIRECT("'"&amp;$A41&amp;"'!C8")</f>
        <v/>
      </c>
      <c r="G41" s="30">
        <f t="array" ref="G41">INDIRECT("'"&amp;$A41&amp;"'!D8")</f>
        <v/>
      </c>
      <c r="H41" s="30">
        <f t="array" ref="H41">INDIRECT("'"&amp;$A41&amp;"'!E8")</f>
        <v/>
      </c>
      <c r="I41" s="30">
        <f t="array" ref="I41">INDIRECT("'"&amp;$A41&amp;"'!F8")</f>
        <v/>
      </c>
      <c r="J41" s="30">
        <f t="array" ref="J41">INDIRECT("'"&amp;$A41&amp;"'!G8")</f>
        <v/>
      </c>
      <c r="K41" s="30">
        <f t="array" ref="K41">INDIRECT("'"&amp;$A41&amp;"'!H8")</f>
        <v/>
      </c>
      <c r="L41" s="30">
        <f t="array" ref="L41">INDIRECT("'"&amp;$A41&amp;"'!I8")</f>
        <v/>
      </c>
      <c r="M41" s="30">
        <f t="array" ref="M41">INDIRECT("'"&amp;$A41&amp;"'!J8")</f>
        <v/>
      </c>
      <c r="N41" s="30">
        <f t="array" ref="N41">INDIRECT("'"&amp;$A41&amp;"'!K8")</f>
        <v/>
      </c>
      <c r="O41" s="30">
        <f t="array" ref="O41">INDIRECT("'"&amp;$A41&amp;"'!L8")</f>
        <v/>
      </c>
      <c r="P41" s="30">
        <f t="array" ref="P41">INDIRECT("'"&amp;$A41&amp;"'!M8")</f>
        <v/>
      </c>
      <c r="Q41" s="30">
        <f t="array" ref="Q41">INDIRECT("'"&amp;$A41&amp;"'!N8")</f>
        <v/>
      </c>
      <c r="R41" s="30">
        <f t="array" ref="R41">INDIRECT("'"&amp;$A41&amp;"'!O8")</f>
        <v/>
      </c>
      <c r="S41" s="30">
        <f t="array" ref="S41">INDIRECT("'"&amp;$A41&amp;"'!P8")</f>
        <v/>
      </c>
      <c r="T41" s="30">
        <f t="array" ref="T41">INDIRECT("'"&amp;$A41&amp;"'!Q8")</f>
        <v/>
      </c>
      <c r="U41" s="30">
        <f t="array" ref="U41">INDIRECT("'"&amp;$A41&amp;"'!R8")</f>
        <v/>
      </c>
      <c r="V41" s="30">
        <f t="array" ref="V41">INDIRECT("'"&amp;$A41&amp;"'!S8")</f>
        <v/>
      </c>
      <c r="W41" s="30">
        <f t="array" ref="W41">INDIRECT("'"&amp;$A41&amp;"'!T8")</f>
        <v/>
      </c>
      <c r="X41" s="30">
        <f t="array" ref="X41">INDIRECT("'"&amp;$A41&amp;"'!U8")</f>
        <v/>
      </c>
      <c r="Y41" s="30">
        <f t="array" ref="Y41">INDIRECT("'"&amp;$A41&amp;"'!V8")</f>
        <v/>
      </c>
      <c r="Z41" s="30">
        <f t="array" ref="Z41">INDIRECT("'"&amp;$A41&amp;"'!W8")</f>
        <v/>
      </c>
      <c r="AA41" s="30">
        <f t="array" ref="AA41">INDIRECT("'"&amp;$A41&amp;"'!X8")</f>
        <v/>
      </c>
      <c r="AB41" s="30">
        <f t="array" ref="AB41">INDIRECT("'"&amp;$A41&amp;"'!Y8")</f>
        <v/>
      </c>
      <c r="AC41" s="30">
        <f t="array" ref="AC41">INDIRECT("'"&amp;$A41&amp;"'!Z8")</f>
        <v/>
      </c>
      <c r="AD41" s="31">
        <f t="array" ref="AD41">INDIRECT("'"&amp;$A41&amp;"'!AA8")</f>
        <v/>
      </c>
      <c r="AE41" s="79">
        <f t="array" ref="AE41">INDIRECT("'"&amp;$A42&amp;"'!J2")</f>
        <v/>
      </c>
      <c r="AF41" s="53">
        <f t="array" ref="AF41">INDIRECT("'"&amp;$A42&amp;"'!AD1")</f>
        <v/>
      </c>
    </row>
    <row r="42">
      <c r="A42" s="58" t="n">
        <v>14</v>
      </c>
      <c r="B42" s="105" t="n"/>
      <c r="C42" s="67">
        <f t="array" ref="C42">CONCATENATE("粮 ",INDIRECT("'"&amp;$A42&amp;"'!D4"))</f>
        <v/>
      </c>
      <c r="D42" s="55" t="inlineStr">
        <is>
          <t>2队</t>
        </is>
      </c>
      <c r="E42" s="80">
        <f t="array" ref="E42">INDIRECT("'"&amp;$A42&amp;"'!I3")</f>
        <v/>
      </c>
      <c r="F42" s="52">
        <f t="array" ref="F42">INDIRECT("'"&amp;$A42&amp;"'!C11")</f>
        <v/>
      </c>
      <c r="G42" s="3">
        <f t="array" ref="G42">INDIRECT("'"&amp;$A42&amp;"'!D11")</f>
        <v/>
      </c>
      <c r="H42" s="3">
        <f t="array" ref="H42">INDIRECT("'"&amp;$A42&amp;"'!E11")</f>
        <v/>
      </c>
      <c r="I42" s="3">
        <f t="array" ref="I42">INDIRECT("'"&amp;$A42&amp;"'!F11")</f>
        <v/>
      </c>
      <c r="J42" s="3">
        <f t="array" ref="J42">INDIRECT("'"&amp;$A42&amp;"'!G11")</f>
        <v/>
      </c>
      <c r="K42" s="3">
        <f t="array" ref="K42">INDIRECT("'"&amp;$A42&amp;"'!H11")</f>
        <v/>
      </c>
      <c r="L42" s="3">
        <f t="array" ref="L42">INDIRECT("'"&amp;$A42&amp;"'!I11")</f>
        <v/>
      </c>
      <c r="M42" s="3">
        <f t="array" ref="M42">INDIRECT("'"&amp;$A42&amp;"'!J11")</f>
        <v/>
      </c>
      <c r="N42" s="3">
        <f t="array" ref="N42">INDIRECT("'"&amp;$A42&amp;"'!K11")</f>
        <v/>
      </c>
      <c r="O42" s="3">
        <f t="array" ref="O42">INDIRECT("'"&amp;$A42&amp;"'!L11")</f>
        <v/>
      </c>
      <c r="P42" s="3">
        <f t="array" ref="P42">INDIRECT("'"&amp;$A42&amp;"'!M11")</f>
        <v/>
      </c>
      <c r="Q42" s="3">
        <f t="array" ref="Q42">INDIRECT("'"&amp;$A42&amp;"'!N11")</f>
        <v/>
      </c>
      <c r="R42" s="3">
        <f t="array" ref="R42">INDIRECT("'"&amp;$A42&amp;"'!O11")</f>
        <v/>
      </c>
      <c r="S42" s="3">
        <f t="array" ref="S42">INDIRECT("'"&amp;$A42&amp;"'!P11")</f>
        <v/>
      </c>
      <c r="T42" s="3">
        <f t="array" ref="T42">INDIRECT("'"&amp;$A42&amp;"'!Q11")</f>
        <v/>
      </c>
      <c r="U42" s="3">
        <f t="array" ref="U42">INDIRECT("'"&amp;$A42&amp;"'!R11")</f>
        <v/>
      </c>
      <c r="V42" s="3">
        <f t="array" ref="V42">INDIRECT("'"&amp;$A42&amp;"'!S11")</f>
        <v/>
      </c>
      <c r="W42" s="3">
        <f t="array" ref="W42">INDIRECT("'"&amp;$A42&amp;"'!T11")</f>
        <v/>
      </c>
      <c r="X42" s="3">
        <f t="array" ref="X42">INDIRECT("'"&amp;$A42&amp;"'!U11")</f>
        <v/>
      </c>
      <c r="Y42" s="3">
        <f t="array" ref="Y42">INDIRECT("'"&amp;$A42&amp;"'!V11")</f>
        <v/>
      </c>
      <c r="Z42" s="3">
        <f t="array" ref="Z42">INDIRECT("'"&amp;$A42&amp;"'!W11")</f>
        <v/>
      </c>
      <c r="AA42" s="3">
        <f t="array" ref="AA42">INDIRECT("'"&amp;$A42&amp;"'!X11")</f>
        <v/>
      </c>
      <c r="AB42" s="3">
        <f t="array" ref="AB42">INDIRECT("'"&amp;$A42&amp;"'!Y11")</f>
        <v/>
      </c>
      <c r="AC42" s="3">
        <f t="array" ref="AC42">INDIRECT("'"&amp;$A42&amp;"'!Z11")</f>
        <v/>
      </c>
      <c r="AD42" s="32">
        <f t="array" ref="AD42">INDIRECT("'"&amp;$A42&amp;"'!AA11")</f>
        <v/>
      </c>
      <c r="AE42" s="80">
        <f t="array" ref="AE42">INDIRECT("'"&amp;$A42&amp;"'!J3")</f>
        <v/>
      </c>
      <c r="AF42" s="53">
        <f t="array" ref="AF42">INDIRECT("'"&amp;$A42&amp;"'!AC1")</f>
        <v/>
      </c>
    </row>
    <row r="43" ht="15.75" customHeight="1" thickBot="1">
      <c r="A43" s="58" t="n">
        <v>14</v>
      </c>
      <c r="B43" s="106" t="n"/>
      <c r="C43" s="77">
        <f t="array" ref="C43">CONCATENATE("分 ",INDIRECT("'"&amp;$A42&amp;"'!D6"))</f>
        <v/>
      </c>
      <c r="D43" s="56" t="inlineStr">
        <is>
          <t>3队</t>
        </is>
      </c>
      <c r="E43" s="81">
        <f t="array" ref="E43">INDIRECT("'"&amp;$A42&amp;"'!I4")</f>
        <v/>
      </c>
      <c r="F43" s="52">
        <f t="array" ref="F43">INDIRECT("'"&amp;$A43&amp;"'!C14")</f>
        <v/>
      </c>
      <c r="G43" s="3">
        <f t="array" ref="G43">INDIRECT("'"&amp;$A43&amp;"'!D14")</f>
        <v/>
      </c>
      <c r="H43" s="3">
        <f t="array" ref="H43">INDIRECT("'"&amp;$A43&amp;"'!E14")</f>
        <v/>
      </c>
      <c r="I43" s="3">
        <f t="array" ref="I43">INDIRECT("'"&amp;$A43&amp;"'!F14")</f>
        <v/>
      </c>
      <c r="J43" s="3">
        <f t="array" ref="J43">INDIRECT("'"&amp;$A43&amp;"'!G14")</f>
        <v/>
      </c>
      <c r="K43" s="3">
        <f t="array" ref="K43">INDIRECT("'"&amp;$A43&amp;"'!H14")</f>
        <v/>
      </c>
      <c r="L43" s="3">
        <f t="array" ref="L43">INDIRECT("'"&amp;$A43&amp;"'!I14")</f>
        <v/>
      </c>
      <c r="M43" s="3">
        <f t="array" ref="M43">INDIRECT("'"&amp;$A43&amp;"'!J14")</f>
        <v/>
      </c>
      <c r="N43" s="3">
        <f t="array" ref="N43">INDIRECT("'"&amp;$A43&amp;"'!K14")</f>
        <v/>
      </c>
      <c r="O43" s="3">
        <f t="array" ref="O43">INDIRECT("'"&amp;$A43&amp;"'!L14")</f>
        <v/>
      </c>
      <c r="P43" s="3">
        <f t="array" ref="P43">INDIRECT("'"&amp;$A43&amp;"'!M14")</f>
        <v/>
      </c>
      <c r="Q43" s="3">
        <f t="array" ref="Q43">INDIRECT("'"&amp;$A43&amp;"'!N14")</f>
        <v/>
      </c>
      <c r="R43" s="3">
        <f t="array" ref="R43">INDIRECT("'"&amp;$A43&amp;"'!O14")</f>
        <v/>
      </c>
      <c r="S43" s="3">
        <f t="array" ref="S43">INDIRECT("'"&amp;$A43&amp;"'!P14")</f>
        <v/>
      </c>
      <c r="T43" s="3">
        <f t="array" ref="T43">INDIRECT("'"&amp;$A43&amp;"'!Q14")</f>
        <v/>
      </c>
      <c r="U43" s="3">
        <f t="array" ref="U43">INDIRECT("'"&amp;$A43&amp;"'!R14")</f>
        <v/>
      </c>
      <c r="V43" s="3">
        <f t="array" ref="V43">INDIRECT("'"&amp;$A43&amp;"'!S14")</f>
        <v/>
      </c>
      <c r="W43" s="3">
        <f t="array" ref="W43">INDIRECT("'"&amp;$A43&amp;"'!T14")</f>
        <v/>
      </c>
      <c r="X43" s="3">
        <f t="array" ref="X43">INDIRECT("'"&amp;$A43&amp;"'!U14")</f>
        <v/>
      </c>
      <c r="Y43" s="3">
        <f t="array" ref="Y43">INDIRECT("'"&amp;$A43&amp;"'!V14")</f>
        <v/>
      </c>
      <c r="Z43" s="3">
        <f t="array" ref="Z43">INDIRECT("'"&amp;$A43&amp;"'!W14")</f>
        <v/>
      </c>
      <c r="AA43" s="3">
        <f t="array" ref="AA43">INDIRECT("'"&amp;$A43&amp;"'!X14")</f>
        <v/>
      </c>
      <c r="AB43" s="3">
        <f t="array" ref="AB43">INDIRECT("'"&amp;$A43&amp;"'!Y14")</f>
        <v/>
      </c>
      <c r="AC43" s="3">
        <f t="array" ref="AC43">INDIRECT("'"&amp;$A43&amp;"'!Z14")</f>
        <v/>
      </c>
      <c r="AD43" s="32">
        <f t="array" ref="AD43">INDIRECT("'"&amp;$A43&amp;"'!AA14")</f>
        <v/>
      </c>
      <c r="AE43" s="81">
        <f t="array" ref="AE43">INDIRECT("'"&amp;$A42&amp;"'!J4")</f>
        <v/>
      </c>
      <c r="AF43" s="53" t="n"/>
    </row>
    <row r="44">
      <c r="A44" s="58" t="n">
        <v>15</v>
      </c>
      <c r="B44" s="103">
        <f>INDEX(data!$I$2:$I$98,MATCH(A44*1,data!$G$2:$G$98,0))</f>
        <v/>
      </c>
      <c r="C44" s="66">
        <f>HYPERLINK("#'" &amp; A44 &amp; "'!A1", "编辑")</f>
        <v/>
      </c>
      <c r="D44" s="54" t="inlineStr">
        <is>
          <t>1队</t>
        </is>
      </c>
      <c r="E44" s="79">
        <f t="array" ref="E44">INDIRECT("'"&amp;$A45&amp;"'!I2")</f>
        <v/>
      </c>
      <c r="F44" s="29">
        <f t="array" ref="F44">INDIRECT("'"&amp;$A44&amp;"'!C8")</f>
        <v/>
      </c>
      <c r="G44" s="30">
        <f t="array" ref="G44">INDIRECT("'"&amp;$A44&amp;"'!D8")</f>
        <v/>
      </c>
      <c r="H44" s="30">
        <f t="array" ref="H44">INDIRECT("'"&amp;$A44&amp;"'!E8")</f>
        <v/>
      </c>
      <c r="I44" s="30">
        <f t="array" ref="I44">INDIRECT("'"&amp;$A44&amp;"'!F8")</f>
        <v/>
      </c>
      <c r="J44" s="30">
        <f t="array" ref="J44">INDIRECT("'"&amp;$A44&amp;"'!G8")</f>
        <v/>
      </c>
      <c r="K44" s="30">
        <f t="array" ref="K44">INDIRECT("'"&amp;$A44&amp;"'!H8")</f>
        <v/>
      </c>
      <c r="L44" s="30">
        <f t="array" ref="L44">INDIRECT("'"&amp;$A44&amp;"'!I8")</f>
        <v/>
      </c>
      <c r="M44" s="30">
        <f t="array" ref="M44">INDIRECT("'"&amp;$A44&amp;"'!J8")</f>
        <v/>
      </c>
      <c r="N44" s="30">
        <f t="array" ref="N44">INDIRECT("'"&amp;$A44&amp;"'!K8")</f>
        <v/>
      </c>
      <c r="O44" s="30">
        <f t="array" ref="O44">INDIRECT("'"&amp;$A44&amp;"'!L8")</f>
        <v/>
      </c>
      <c r="P44" s="30">
        <f t="array" ref="P44">INDIRECT("'"&amp;$A44&amp;"'!M8")</f>
        <v/>
      </c>
      <c r="Q44" s="30">
        <f t="array" ref="Q44">INDIRECT("'"&amp;$A44&amp;"'!N8")</f>
        <v/>
      </c>
      <c r="R44" s="30">
        <f t="array" ref="R44">INDIRECT("'"&amp;$A44&amp;"'!O8")</f>
        <v/>
      </c>
      <c r="S44" s="30">
        <f t="array" ref="S44">INDIRECT("'"&amp;$A44&amp;"'!P8")</f>
        <v/>
      </c>
      <c r="T44" s="30">
        <f t="array" ref="T44">INDIRECT("'"&amp;$A44&amp;"'!Q8")</f>
        <v/>
      </c>
      <c r="U44" s="30">
        <f t="array" ref="U44">INDIRECT("'"&amp;$A44&amp;"'!R8")</f>
        <v/>
      </c>
      <c r="V44" s="30">
        <f t="array" ref="V44">INDIRECT("'"&amp;$A44&amp;"'!S8")</f>
        <v/>
      </c>
      <c r="W44" s="30">
        <f t="array" ref="W44">INDIRECT("'"&amp;$A44&amp;"'!T8")</f>
        <v/>
      </c>
      <c r="X44" s="30">
        <f t="array" ref="X44">INDIRECT("'"&amp;$A44&amp;"'!U8")</f>
        <v/>
      </c>
      <c r="Y44" s="30">
        <f t="array" ref="Y44">INDIRECT("'"&amp;$A44&amp;"'!V8")</f>
        <v/>
      </c>
      <c r="Z44" s="30">
        <f t="array" ref="Z44">INDIRECT("'"&amp;$A44&amp;"'!W8")</f>
        <v/>
      </c>
      <c r="AA44" s="30">
        <f t="array" ref="AA44">INDIRECT("'"&amp;$A44&amp;"'!X8")</f>
        <v/>
      </c>
      <c r="AB44" s="30">
        <f t="array" ref="AB44">INDIRECT("'"&amp;$A44&amp;"'!Y8")</f>
        <v/>
      </c>
      <c r="AC44" s="30">
        <f t="array" ref="AC44">INDIRECT("'"&amp;$A44&amp;"'!Z8")</f>
        <v/>
      </c>
      <c r="AD44" s="31">
        <f t="array" ref="AD44">INDIRECT("'"&amp;$A44&amp;"'!AA8")</f>
        <v/>
      </c>
      <c r="AE44" s="79">
        <f t="array" ref="AE44">INDIRECT("'"&amp;$A45&amp;"'!J2")</f>
        <v/>
      </c>
      <c r="AF44" s="53">
        <f t="array" ref="AF44">INDIRECT("'"&amp;$A45&amp;"'!AD1")</f>
        <v/>
      </c>
    </row>
    <row r="45">
      <c r="A45" s="58" t="n">
        <v>15</v>
      </c>
      <c r="B45" s="105" t="n"/>
      <c r="C45" s="67">
        <f t="array" ref="C45">CONCATENATE("粮 ",INDIRECT("'"&amp;$A45&amp;"'!D4"))</f>
        <v/>
      </c>
      <c r="D45" s="55" t="inlineStr">
        <is>
          <t>2队</t>
        </is>
      </c>
      <c r="E45" s="80">
        <f t="array" ref="E45">INDIRECT("'"&amp;$A45&amp;"'!I3")</f>
        <v/>
      </c>
      <c r="F45" s="52">
        <f t="array" ref="F45">INDIRECT("'"&amp;$A45&amp;"'!C11")</f>
        <v/>
      </c>
      <c r="G45" s="3">
        <f t="array" ref="G45">INDIRECT("'"&amp;$A45&amp;"'!D11")</f>
        <v/>
      </c>
      <c r="H45" s="3">
        <f t="array" ref="H45">INDIRECT("'"&amp;$A45&amp;"'!E11")</f>
        <v/>
      </c>
      <c r="I45" s="3">
        <f t="array" ref="I45">INDIRECT("'"&amp;$A45&amp;"'!F11")</f>
        <v/>
      </c>
      <c r="J45" s="3">
        <f t="array" ref="J45">INDIRECT("'"&amp;$A45&amp;"'!G11")</f>
        <v/>
      </c>
      <c r="K45" s="3">
        <f t="array" ref="K45">INDIRECT("'"&amp;$A45&amp;"'!H11")</f>
        <v/>
      </c>
      <c r="L45" s="3">
        <f t="array" ref="L45">INDIRECT("'"&amp;$A45&amp;"'!I11")</f>
        <v/>
      </c>
      <c r="M45" s="3">
        <f t="array" ref="M45">INDIRECT("'"&amp;$A45&amp;"'!J11")</f>
        <v/>
      </c>
      <c r="N45" s="3">
        <f t="array" ref="N45">INDIRECT("'"&amp;$A45&amp;"'!K11")</f>
        <v/>
      </c>
      <c r="O45" s="3">
        <f t="array" ref="O45">INDIRECT("'"&amp;$A45&amp;"'!L11")</f>
        <v/>
      </c>
      <c r="P45" s="3">
        <f t="array" ref="P45">INDIRECT("'"&amp;$A45&amp;"'!M11")</f>
        <v/>
      </c>
      <c r="Q45" s="3">
        <f t="array" ref="Q45">INDIRECT("'"&amp;$A45&amp;"'!N11")</f>
        <v/>
      </c>
      <c r="R45" s="3">
        <f t="array" ref="R45">INDIRECT("'"&amp;$A45&amp;"'!O11")</f>
        <v/>
      </c>
      <c r="S45" s="3">
        <f t="array" ref="S45">INDIRECT("'"&amp;$A45&amp;"'!P11")</f>
        <v/>
      </c>
      <c r="T45" s="3">
        <f t="array" ref="T45">INDIRECT("'"&amp;$A45&amp;"'!Q11")</f>
        <v/>
      </c>
      <c r="U45" s="3">
        <f t="array" ref="U45">INDIRECT("'"&amp;$A45&amp;"'!R11")</f>
        <v/>
      </c>
      <c r="V45" s="3">
        <f t="array" ref="V45">INDIRECT("'"&amp;$A45&amp;"'!S11")</f>
        <v/>
      </c>
      <c r="W45" s="3">
        <f t="array" ref="W45">INDIRECT("'"&amp;$A45&amp;"'!T11")</f>
        <v/>
      </c>
      <c r="X45" s="3">
        <f t="array" ref="X45">INDIRECT("'"&amp;$A45&amp;"'!U11")</f>
        <v/>
      </c>
      <c r="Y45" s="3">
        <f t="array" ref="Y45">INDIRECT("'"&amp;$A45&amp;"'!V11")</f>
        <v/>
      </c>
      <c r="Z45" s="3">
        <f t="array" ref="Z45">INDIRECT("'"&amp;$A45&amp;"'!W11")</f>
        <v/>
      </c>
      <c r="AA45" s="3">
        <f t="array" ref="AA45">INDIRECT("'"&amp;$A45&amp;"'!X11")</f>
        <v/>
      </c>
      <c r="AB45" s="3">
        <f t="array" ref="AB45">INDIRECT("'"&amp;$A45&amp;"'!Y11")</f>
        <v/>
      </c>
      <c r="AC45" s="3">
        <f t="array" ref="AC45">INDIRECT("'"&amp;$A45&amp;"'!Z11")</f>
        <v/>
      </c>
      <c r="AD45" s="32">
        <f t="array" ref="AD45">INDIRECT("'"&amp;$A45&amp;"'!AA11")</f>
        <v/>
      </c>
      <c r="AE45" s="80">
        <f t="array" ref="AE45">INDIRECT("'"&amp;$A45&amp;"'!J3")</f>
        <v/>
      </c>
      <c r="AF45" s="53">
        <f t="array" ref="AF45">INDIRECT("'"&amp;$A45&amp;"'!AC1")</f>
        <v/>
      </c>
    </row>
    <row r="46" ht="15.75" customHeight="1" thickBot="1">
      <c r="A46" s="58" t="n">
        <v>15</v>
      </c>
      <c r="B46" s="106" t="n"/>
      <c r="C46" s="77">
        <f t="array" ref="C46">CONCATENATE("分 ",INDIRECT("'"&amp;$A45&amp;"'!D6"))</f>
        <v/>
      </c>
      <c r="D46" s="56" t="inlineStr">
        <is>
          <t>3队</t>
        </is>
      </c>
      <c r="E46" s="81">
        <f t="array" ref="E46">INDIRECT("'"&amp;$A45&amp;"'!I4")</f>
        <v/>
      </c>
      <c r="F46" s="52">
        <f t="array" ref="F46">INDIRECT("'"&amp;$A46&amp;"'!C14")</f>
        <v/>
      </c>
      <c r="G46" s="3">
        <f t="array" ref="G46">INDIRECT("'"&amp;$A46&amp;"'!D14")</f>
        <v/>
      </c>
      <c r="H46" s="3">
        <f t="array" ref="H46">INDIRECT("'"&amp;$A46&amp;"'!E14")</f>
        <v/>
      </c>
      <c r="I46" s="3">
        <f t="array" ref="I46">INDIRECT("'"&amp;$A46&amp;"'!F14")</f>
        <v/>
      </c>
      <c r="J46" s="3">
        <f t="array" ref="J46">INDIRECT("'"&amp;$A46&amp;"'!G14")</f>
        <v/>
      </c>
      <c r="K46" s="3">
        <f t="array" ref="K46">INDIRECT("'"&amp;$A46&amp;"'!H14")</f>
        <v/>
      </c>
      <c r="L46" s="3">
        <f t="array" ref="L46">INDIRECT("'"&amp;$A46&amp;"'!I14")</f>
        <v/>
      </c>
      <c r="M46" s="3">
        <f t="array" ref="M46">INDIRECT("'"&amp;$A46&amp;"'!J14")</f>
        <v/>
      </c>
      <c r="N46" s="3">
        <f t="array" ref="N46">INDIRECT("'"&amp;$A46&amp;"'!K14")</f>
        <v/>
      </c>
      <c r="O46" s="3">
        <f t="array" ref="O46">INDIRECT("'"&amp;$A46&amp;"'!L14")</f>
        <v/>
      </c>
      <c r="P46" s="3">
        <f t="array" ref="P46">INDIRECT("'"&amp;$A46&amp;"'!M14")</f>
        <v/>
      </c>
      <c r="Q46" s="3">
        <f t="array" ref="Q46">INDIRECT("'"&amp;$A46&amp;"'!N14")</f>
        <v/>
      </c>
      <c r="R46" s="3">
        <f t="array" ref="R46">INDIRECT("'"&amp;$A46&amp;"'!O14")</f>
        <v/>
      </c>
      <c r="S46" s="3">
        <f t="array" ref="S46">INDIRECT("'"&amp;$A46&amp;"'!P14")</f>
        <v/>
      </c>
      <c r="T46" s="3">
        <f t="array" ref="T46">INDIRECT("'"&amp;$A46&amp;"'!Q14")</f>
        <v/>
      </c>
      <c r="U46" s="3">
        <f t="array" ref="U46">INDIRECT("'"&amp;$A46&amp;"'!R14")</f>
        <v/>
      </c>
      <c r="V46" s="3">
        <f t="array" ref="V46">INDIRECT("'"&amp;$A46&amp;"'!S14")</f>
        <v/>
      </c>
      <c r="W46" s="3">
        <f t="array" ref="W46">INDIRECT("'"&amp;$A46&amp;"'!T14")</f>
        <v/>
      </c>
      <c r="X46" s="3">
        <f t="array" ref="X46">INDIRECT("'"&amp;$A46&amp;"'!U14")</f>
        <v/>
      </c>
      <c r="Y46" s="3">
        <f t="array" ref="Y46">INDIRECT("'"&amp;$A46&amp;"'!V14")</f>
        <v/>
      </c>
      <c r="Z46" s="3">
        <f t="array" ref="Z46">INDIRECT("'"&amp;$A46&amp;"'!W14")</f>
        <v/>
      </c>
      <c r="AA46" s="3">
        <f t="array" ref="AA46">INDIRECT("'"&amp;$A46&amp;"'!X14")</f>
        <v/>
      </c>
      <c r="AB46" s="3">
        <f t="array" ref="AB46">INDIRECT("'"&amp;$A46&amp;"'!Y14")</f>
        <v/>
      </c>
      <c r="AC46" s="3">
        <f t="array" ref="AC46">INDIRECT("'"&amp;$A46&amp;"'!Z14")</f>
        <v/>
      </c>
      <c r="AD46" s="32">
        <f t="array" ref="AD46">INDIRECT("'"&amp;$A46&amp;"'!AA14")</f>
        <v/>
      </c>
      <c r="AE46" s="81">
        <f t="array" ref="AE46">INDIRECT("'"&amp;$A45&amp;"'!J4")</f>
        <v/>
      </c>
      <c r="AF46" s="53" t="n"/>
    </row>
    <row r="47">
      <c r="A47" s="58" t="n">
        <v>16</v>
      </c>
      <c r="B47" s="103">
        <f>INDEX(data!$I$2:$I$98,MATCH(A47*1,data!$G$2:$G$98,0))</f>
        <v/>
      </c>
      <c r="C47" s="66">
        <f>HYPERLINK("#'" &amp; A47 &amp; "'!A1", "编辑")</f>
        <v/>
      </c>
      <c r="D47" s="54" t="inlineStr">
        <is>
          <t>1队</t>
        </is>
      </c>
      <c r="E47" s="79">
        <f t="array" ref="E47">INDIRECT("'"&amp;$A48&amp;"'!I2")</f>
        <v/>
      </c>
      <c r="F47" s="29">
        <f t="array" ref="F47">INDIRECT("'"&amp;$A47&amp;"'!C8")</f>
        <v/>
      </c>
      <c r="G47" s="30">
        <f t="array" ref="G47">INDIRECT("'"&amp;$A47&amp;"'!D8")</f>
        <v/>
      </c>
      <c r="H47" s="30">
        <f t="array" ref="H47">INDIRECT("'"&amp;$A47&amp;"'!E8")</f>
        <v/>
      </c>
      <c r="I47" s="30">
        <f t="array" ref="I47">INDIRECT("'"&amp;$A47&amp;"'!F8")</f>
        <v/>
      </c>
      <c r="J47" s="30">
        <f t="array" ref="J47">INDIRECT("'"&amp;$A47&amp;"'!G8")</f>
        <v/>
      </c>
      <c r="K47" s="30">
        <f t="array" ref="K47">INDIRECT("'"&amp;$A47&amp;"'!H8")</f>
        <v/>
      </c>
      <c r="L47" s="30">
        <f t="array" ref="L47">INDIRECT("'"&amp;$A47&amp;"'!I8")</f>
        <v/>
      </c>
      <c r="M47" s="30">
        <f t="array" ref="M47">INDIRECT("'"&amp;$A47&amp;"'!J8")</f>
        <v/>
      </c>
      <c r="N47" s="30">
        <f t="array" ref="N47">INDIRECT("'"&amp;$A47&amp;"'!K8")</f>
        <v/>
      </c>
      <c r="O47" s="30">
        <f t="array" ref="O47">INDIRECT("'"&amp;$A47&amp;"'!L8")</f>
        <v/>
      </c>
      <c r="P47" s="30">
        <f t="array" ref="P47">INDIRECT("'"&amp;$A47&amp;"'!M8")</f>
        <v/>
      </c>
      <c r="Q47" s="30">
        <f t="array" ref="Q47">INDIRECT("'"&amp;$A47&amp;"'!N8")</f>
        <v/>
      </c>
      <c r="R47" s="30">
        <f t="array" ref="R47">INDIRECT("'"&amp;$A47&amp;"'!O8")</f>
        <v/>
      </c>
      <c r="S47" s="30">
        <f t="array" ref="S47">INDIRECT("'"&amp;$A47&amp;"'!P8")</f>
        <v/>
      </c>
      <c r="T47" s="30">
        <f t="array" ref="T47">INDIRECT("'"&amp;$A47&amp;"'!Q8")</f>
        <v/>
      </c>
      <c r="U47" s="30">
        <f t="array" ref="U47">INDIRECT("'"&amp;$A47&amp;"'!R8")</f>
        <v/>
      </c>
      <c r="V47" s="30">
        <f t="array" ref="V47">INDIRECT("'"&amp;$A47&amp;"'!S8")</f>
        <v/>
      </c>
      <c r="W47" s="30">
        <f t="array" ref="W47">INDIRECT("'"&amp;$A47&amp;"'!T8")</f>
        <v/>
      </c>
      <c r="X47" s="30">
        <f t="array" ref="X47">INDIRECT("'"&amp;$A47&amp;"'!U8")</f>
        <v/>
      </c>
      <c r="Y47" s="30">
        <f t="array" ref="Y47">INDIRECT("'"&amp;$A47&amp;"'!V8")</f>
        <v/>
      </c>
      <c r="Z47" s="30">
        <f t="array" ref="Z47">INDIRECT("'"&amp;$A47&amp;"'!W8")</f>
        <v/>
      </c>
      <c r="AA47" s="30">
        <f t="array" ref="AA47">INDIRECT("'"&amp;$A47&amp;"'!X8")</f>
        <v/>
      </c>
      <c r="AB47" s="30">
        <f t="array" ref="AB47">INDIRECT("'"&amp;$A47&amp;"'!Y8")</f>
        <v/>
      </c>
      <c r="AC47" s="30">
        <f t="array" ref="AC47">INDIRECT("'"&amp;$A47&amp;"'!Z8")</f>
        <v/>
      </c>
      <c r="AD47" s="31">
        <f t="array" ref="AD47">INDIRECT("'"&amp;$A47&amp;"'!AA8")</f>
        <v/>
      </c>
      <c r="AE47" s="79">
        <f t="array" ref="AE47">INDIRECT("'"&amp;$A48&amp;"'!J2")</f>
        <v/>
      </c>
      <c r="AF47" s="53">
        <f t="array" ref="AF47">INDIRECT("'"&amp;$A48&amp;"'!AD1")</f>
        <v/>
      </c>
    </row>
    <row r="48">
      <c r="A48" s="58" t="n">
        <v>16</v>
      </c>
      <c r="B48" s="105" t="n"/>
      <c r="C48" s="67">
        <f t="array" ref="C48">CONCATENATE("粮 ",INDIRECT("'"&amp;$A48&amp;"'!D4"))</f>
        <v/>
      </c>
      <c r="D48" s="55" t="inlineStr">
        <is>
          <t>2队</t>
        </is>
      </c>
      <c r="E48" s="80">
        <f t="array" ref="E48">INDIRECT("'"&amp;$A48&amp;"'!I3")</f>
        <v/>
      </c>
      <c r="F48" s="52">
        <f t="array" ref="F48">INDIRECT("'"&amp;$A48&amp;"'!C11")</f>
        <v/>
      </c>
      <c r="G48" s="3">
        <f t="array" ref="G48">INDIRECT("'"&amp;$A48&amp;"'!D11")</f>
        <v/>
      </c>
      <c r="H48" s="3">
        <f t="array" ref="H48">INDIRECT("'"&amp;$A48&amp;"'!E11")</f>
        <v/>
      </c>
      <c r="I48" s="3">
        <f t="array" ref="I48">INDIRECT("'"&amp;$A48&amp;"'!F11")</f>
        <v/>
      </c>
      <c r="J48" s="3">
        <f t="array" ref="J48">INDIRECT("'"&amp;$A48&amp;"'!G11")</f>
        <v/>
      </c>
      <c r="K48" s="3">
        <f t="array" ref="K48">INDIRECT("'"&amp;$A48&amp;"'!H11")</f>
        <v/>
      </c>
      <c r="L48" s="3">
        <f t="array" ref="L48">INDIRECT("'"&amp;$A48&amp;"'!I11")</f>
        <v/>
      </c>
      <c r="M48" s="3">
        <f t="array" ref="M48">INDIRECT("'"&amp;$A48&amp;"'!J11")</f>
        <v/>
      </c>
      <c r="N48" s="3">
        <f t="array" ref="N48">INDIRECT("'"&amp;$A48&amp;"'!K11")</f>
        <v/>
      </c>
      <c r="O48" s="3">
        <f t="array" ref="O48">INDIRECT("'"&amp;$A48&amp;"'!L11")</f>
        <v/>
      </c>
      <c r="P48" s="3">
        <f t="array" ref="P48">INDIRECT("'"&amp;$A48&amp;"'!M11")</f>
        <v/>
      </c>
      <c r="Q48" s="3">
        <f t="array" ref="Q48">INDIRECT("'"&amp;$A48&amp;"'!N11")</f>
        <v/>
      </c>
      <c r="R48" s="3">
        <f t="array" ref="R48">INDIRECT("'"&amp;$A48&amp;"'!O11")</f>
        <v/>
      </c>
      <c r="S48" s="3">
        <f t="array" ref="S48">INDIRECT("'"&amp;$A48&amp;"'!P11")</f>
        <v/>
      </c>
      <c r="T48" s="3">
        <f t="array" ref="T48">INDIRECT("'"&amp;$A48&amp;"'!Q11")</f>
        <v/>
      </c>
      <c r="U48" s="3">
        <f t="array" ref="U48">INDIRECT("'"&amp;$A48&amp;"'!R11")</f>
        <v/>
      </c>
      <c r="V48" s="3">
        <f t="array" ref="V48">INDIRECT("'"&amp;$A48&amp;"'!S11")</f>
        <v/>
      </c>
      <c r="W48" s="3">
        <f t="array" ref="W48">INDIRECT("'"&amp;$A48&amp;"'!T11")</f>
        <v/>
      </c>
      <c r="X48" s="3">
        <f t="array" ref="X48">INDIRECT("'"&amp;$A48&amp;"'!U11")</f>
        <v/>
      </c>
      <c r="Y48" s="3">
        <f t="array" ref="Y48">INDIRECT("'"&amp;$A48&amp;"'!V11")</f>
        <v/>
      </c>
      <c r="Z48" s="3">
        <f t="array" ref="Z48">INDIRECT("'"&amp;$A48&amp;"'!W11")</f>
        <v/>
      </c>
      <c r="AA48" s="3">
        <f t="array" ref="AA48">INDIRECT("'"&amp;$A48&amp;"'!X11")</f>
        <v/>
      </c>
      <c r="AB48" s="3">
        <f t="array" ref="AB48">INDIRECT("'"&amp;$A48&amp;"'!Y11")</f>
        <v/>
      </c>
      <c r="AC48" s="3">
        <f t="array" ref="AC48">INDIRECT("'"&amp;$A48&amp;"'!Z11")</f>
        <v/>
      </c>
      <c r="AD48" s="32">
        <f t="array" ref="AD48">INDIRECT("'"&amp;$A48&amp;"'!AA11")</f>
        <v/>
      </c>
      <c r="AE48" s="80">
        <f t="array" ref="AE48">INDIRECT("'"&amp;$A48&amp;"'!J3")</f>
        <v/>
      </c>
      <c r="AF48" s="53">
        <f t="array" ref="AF48">INDIRECT("'"&amp;$A48&amp;"'!AC1")</f>
        <v/>
      </c>
    </row>
    <row r="49" ht="15.75" customHeight="1" thickBot="1">
      <c r="A49" s="58" t="n">
        <v>16</v>
      </c>
      <c r="B49" s="106" t="n"/>
      <c r="C49" s="77">
        <f t="array" ref="C49">CONCATENATE("分 ",INDIRECT("'"&amp;$A48&amp;"'!D6"))</f>
        <v/>
      </c>
      <c r="D49" s="56" t="inlineStr">
        <is>
          <t>3队</t>
        </is>
      </c>
      <c r="E49" s="81">
        <f t="array" ref="E49">INDIRECT("'"&amp;$A48&amp;"'!I4")</f>
        <v/>
      </c>
      <c r="F49" s="52">
        <f t="array" ref="F49">INDIRECT("'"&amp;$A49&amp;"'!C14")</f>
        <v/>
      </c>
      <c r="G49" s="3">
        <f t="array" ref="G49">INDIRECT("'"&amp;$A49&amp;"'!D14")</f>
        <v/>
      </c>
      <c r="H49" s="3">
        <f t="array" ref="H49">INDIRECT("'"&amp;$A49&amp;"'!E14")</f>
        <v/>
      </c>
      <c r="I49" s="3">
        <f t="array" ref="I49">INDIRECT("'"&amp;$A49&amp;"'!F14")</f>
        <v/>
      </c>
      <c r="J49" s="3">
        <f t="array" ref="J49">INDIRECT("'"&amp;$A49&amp;"'!G14")</f>
        <v/>
      </c>
      <c r="K49" s="3">
        <f t="array" ref="K49">INDIRECT("'"&amp;$A49&amp;"'!H14")</f>
        <v/>
      </c>
      <c r="L49" s="3">
        <f t="array" ref="L49">INDIRECT("'"&amp;$A49&amp;"'!I14")</f>
        <v/>
      </c>
      <c r="M49" s="3">
        <f t="array" ref="M49">INDIRECT("'"&amp;$A49&amp;"'!J14")</f>
        <v/>
      </c>
      <c r="N49" s="3">
        <f t="array" ref="N49">INDIRECT("'"&amp;$A49&amp;"'!K14")</f>
        <v/>
      </c>
      <c r="O49" s="3">
        <f t="array" ref="O49">INDIRECT("'"&amp;$A49&amp;"'!L14")</f>
        <v/>
      </c>
      <c r="P49" s="3">
        <f t="array" ref="P49">INDIRECT("'"&amp;$A49&amp;"'!M14")</f>
        <v/>
      </c>
      <c r="Q49" s="3">
        <f t="array" ref="Q49">INDIRECT("'"&amp;$A49&amp;"'!N14")</f>
        <v/>
      </c>
      <c r="R49" s="3">
        <f t="array" ref="R49">INDIRECT("'"&amp;$A49&amp;"'!O14")</f>
        <v/>
      </c>
      <c r="S49" s="3">
        <f t="array" ref="S49">INDIRECT("'"&amp;$A49&amp;"'!P14")</f>
        <v/>
      </c>
      <c r="T49" s="3">
        <f t="array" ref="T49">INDIRECT("'"&amp;$A49&amp;"'!Q14")</f>
        <v/>
      </c>
      <c r="U49" s="3">
        <f t="array" ref="U49">INDIRECT("'"&amp;$A49&amp;"'!R14")</f>
        <v/>
      </c>
      <c r="V49" s="3">
        <f t="array" ref="V49">INDIRECT("'"&amp;$A49&amp;"'!S14")</f>
        <v/>
      </c>
      <c r="W49" s="3">
        <f t="array" ref="W49">INDIRECT("'"&amp;$A49&amp;"'!T14")</f>
        <v/>
      </c>
      <c r="X49" s="3">
        <f t="array" ref="X49">INDIRECT("'"&amp;$A49&amp;"'!U14")</f>
        <v/>
      </c>
      <c r="Y49" s="3">
        <f t="array" ref="Y49">INDIRECT("'"&amp;$A49&amp;"'!V14")</f>
        <v/>
      </c>
      <c r="Z49" s="3">
        <f t="array" ref="Z49">INDIRECT("'"&amp;$A49&amp;"'!W14")</f>
        <v/>
      </c>
      <c r="AA49" s="3">
        <f t="array" ref="AA49">INDIRECT("'"&amp;$A49&amp;"'!X14")</f>
        <v/>
      </c>
      <c r="AB49" s="3">
        <f t="array" ref="AB49">INDIRECT("'"&amp;$A49&amp;"'!Y14")</f>
        <v/>
      </c>
      <c r="AC49" s="3">
        <f t="array" ref="AC49">INDIRECT("'"&amp;$A49&amp;"'!Z14")</f>
        <v/>
      </c>
      <c r="AD49" s="32">
        <f t="array" ref="AD49">INDIRECT("'"&amp;$A49&amp;"'!AA14")</f>
        <v/>
      </c>
      <c r="AE49" s="81">
        <f t="array" ref="AE49">INDIRECT("'"&amp;$A48&amp;"'!J4")</f>
        <v/>
      </c>
      <c r="AF49" s="53" t="n"/>
    </row>
    <row r="50">
      <c r="A50" s="58" t="n">
        <v>17</v>
      </c>
      <c r="B50" s="103">
        <f>INDEX(data!$I$2:$I$98,MATCH(A50*1,data!$G$2:$G$98,0))</f>
        <v/>
      </c>
      <c r="C50" s="66">
        <f>HYPERLINK("#'" &amp; A50 &amp; "'!A1", "编辑")</f>
        <v/>
      </c>
      <c r="D50" s="54" t="inlineStr">
        <is>
          <t>1队</t>
        </is>
      </c>
      <c r="E50" s="79">
        <f t="array" ref="E50">INDIRECT("'"&amp;$A51&amp;"'!I2")</f>
        <v/>
      </c>
      <c r="F50" s="29">
        <f t="array" ref="F50">INDIRECT("'"&amp;$A50&amp;"'!C8")</f>
        <v/>
      </c>
      <c r="G50" s="30">
        <f t="array" ref="G50">INDIRECT("'"&amp;$A50&amp;"'!D8")</f>
        <v/>
      </c>
      <c r="H50" s="30">
        <f t="array" ref="H50">INDIRECT("'"&amp;$A50&amp;"'!E8")</f>
        <v/>
      </c>
      <c r="I50" s="30">
        <f t="array" ref="I50">INDIRECT("'"&amp;$A50&amp;"'!F8")</f>
        <v/>
      </c>
      <c r="J50" s="30">
        <f t="array" ref="J50">INDIRECT("'"&amp;$A50&amp;"'!G8")</f>
        <v/>
      </c>
      <c r="K50" s="30">
        <f t="array" ref="K50">INDIRECT("'"&amp;$A50&amp;"'!H8")</f>
        <v/>
      </c>
      <c r="L50" s="30">
        <f t="array" ref="L50">INDIRECT("'"&amp;$A50&amp;"'!I8")</f>
        <v/>
      </c>
      <c r="M50" s="30">
        <f t="array" ref="M50">INDIRECT("'"&amp;$A50&amp;"'!J8")</f>
        <v/>
      </c>
      <c r="N50" s="30">
        <f t="array" ref="N50">INDIRECT("'"&amp;$A50&amp;"'!K8")</f>
        <v/>
      </c>
      <c r="O50" s="30">
        <f t="array" ref="O50">INDIRECT("'"&amp;$A50&amp;"'!L8")</f>
        <v/>
      </c>
      <c r="P50" s="30">
        <f t="array" ref="P50">INDIRECT("'"&amp;$A50&amp;"'!M8")</f>
        <v/>
      </c>
      <c r="Q50" s="30">
        <f t="array" ref="Q50">INDIRECT("'"&amp;$A50&amp;"'!N8")</f>
        <v/>
      </c>
      <c r="R50" s="30">
        <f t="array" ref="R50">INDIRECT("'"&amp;$A50&amp;"'!O8")</f>
        <v/>
      </c>
      <c r="S50" s="30">
        <f t="array" ref="S50">INDIRECT("'"&amp;$A50&amp;"'!P8")</f>
        <v/>
      </c>
      <c r="T50" s="30">
        <f t="array" ref="T50">INDIRECT("'"&amp;$A50&amp;"'!Q8")</f>
        <v/>
      </c>
      <c r="U50" s="30">
        <f t="array" ref="U50">INDIRECT("'"&amp;$A50&amp;"'!R8")</f>
        <v/>
      </c>
      <c r="V50" s="30">
        <f t="array" ref="V50">INDIRECT("'"&amp;$A50&amp;"'!S8")</f>
        <v/>
      </c>
      <c r="W50" s="30">
        <f t="array" ref="W50">INDIRECT("'"&amp;$A50&amp;"'!T8")</f>
        <v/>
      </c>
      <c r="X50" s="30">
        <f t="array" ref="X50">INDIRECT("'"&amp;$A50&amp;"'!U8")</f>
        <v/>
      </c>
      <c r="Y50" s="30">
        <f t="array" ref="Y50">INDIRECT("'"&amp;$A50&amp;"'!V8")</f>
        <v/>
      </c>
      <c r="Z50" s="30">
        <f t="array" ref="Z50">INDIRECT("'"&amp;$A50&amp;"'!W8")</f>
        <v/>
      </c>
      <c r="AA50" s="30">
        <f t="array" ref="AA50">INDIRECT("'"&amp;$A50&amp;"'!X8")</f>
        <v/>
      </c>
      <c r="AB50" s="30">
        <f t="array" ref="AB50">INDIRECT("'"&amp;$A50&amp;"'!Y8")</f>
        <v/>
      </c>
      <c r="AC50" s="30">
        <f t="array" ref="AC50">INDIRECT("'"&amp;$A50&amp;"'!Z8")</f>
        <v/>
      </c>
      <c r="AD50" s="31">
        <f t="array" ref="AD50">INDIRECT("'"&amp;$A50&amp;"'!AA8")</f>
        <v/>
      </c>
      <c r="AE50" s="79">
        <f t="array" ref="AE50">INDIRECT("'"&amp;$A51&amp;"'!J2")</f>
        <v/>
      </c>
      <c r="AF50" s="53">
        <f t="array" ref="AF50">INDIRECT("'"&amp;$A51&amp;"'!AD1")</f>
        <v/>
      </c>
    </row>
    <row r="51">
      <c r="A51" s="58" t="n">
        <v>17</v>
      </c>
      <c r="B51" s="105" t="n"/>
      <c r="C51" s="67">
        <f t="array" ref="C51">CONCATENATE("粮 ",INDIRECT("'"&amp;$A51&amp;"'!D4"))</f>
        <v/>
      </c>
      <c r="D51" s="55" t="inlineStr">
        <is>
          <t>2队</t>
        </is>
      </c>
      <c r="E51" s="80">
        <f t="array" ref="E51">INDIRECT("'"&amp;$A51&amp;"'!I3")</f>
        <v/>
      </c>
      <c r="F51" s="52">
        <f t="array" ref="F51">INDIRECT("'"&amp;$A51&amp;"'!C11")</f>
        <v/>
      </c>
      <c r="G51" s="3">
        <f t="array" ref="G51">INDIRECT("'"&amp;$A51&amp;"'!D11")</f>
        <v/>
      </c>
      <c r="H51" s="3">
        <f t="array" ref="H51">INDIRECT("'"&amp;$A51&amp;"'!E11")</f>
        <v/>
      </c>
      <c r="I51" s="3">
        <f t="array" ref="I51">INDIRECT("'"&amp;$A51&amp;"'!F11")</f>
        <v/>
      </c>
      <c r="J51" s="3">
        <f t="array" ref="J51">INDIRECT("'"&amp;$A51&amp;"'!G11")</f>
        <v/>
      </c>
      <c r="K51" s="3">
        <f t="array" ref="K51">INDIRECT("'"&amp;$A51&amp;"'!H11")</f>
        <v/>
      </c>
      <c r="L51" s="3">
        <f t="array" ref="L51">INDIRECT("'"&amp;$A51&amp;"'!I11")</f>
        <v/>
      </c>
      <c r="M51" s="3">
        <f t="array" ref="M51">INDIRECT("'"&amp;$A51&amp;"'!J11")</f>
        <v/>
      </c>
      <c r="N51" s="3">
        <f t="array" ref="N51">INDIRECT("'"&amp;$A51&amp;"'!K11")</f>
        <v/>
      </c>
      <c r="O51" s="3">
        <f t="array" ref="O51">INDIRECT("'"&amp;$A51&amp;"'!L11")</f>
        <v/>
      </c>
      <c r="P51" s="3">
        <f t="array" ref="P51">INDIRECT("'"&amp;$A51&amp;"'!M11")</f>
        <v/>
      </c>
      <c r="Q51" s="3">
        <f t="array" ref="Q51">INDIRECT("'"&amp;$A51&amp;"'!N11")</f>
        <v/>
      </c>
      <c r="R51" s="3">
        <f t="array" ref="R51">INDIRECT("'"&amp;$A51&amp;"'!O11")</f>
        <v/>
      </c>
      <c r="S51" s="3">
        <f t="array" ref="S51">INDIRECT("'"&amp;$A51&amp;"'!P11")</f>
        <v/>
      </c>
      <c r="T51" s="3">
        <f t="array" ref="T51">INDIRECT("'"&amp;$A51&amp;"'!Q11")</f>
        <v/>
      </c>
      <c r="U51" s="3">
        <f t="array" ref="U51">INDIRECT("'"&amp;$A51&amp;"'!R11")</f>
        <v/>
      </c>
      <c r="V51" s="3">
        <f t="array" ref="V51">INDIRECT("'"&amp;$A51&amp;"'!S11")</f>
        <v/>
      </c>
      <c r="W51" s="3">
        <f t="array" ref="W51">INDIRECT("'"&amp;$A51&amp;"'!T11")</f>
        <v/>
      </c>
      <c r="X51" s="3">
        <f t="array" ref="X51">INDIRECT("'"&amp;$A51&amp;"'!U11")</f>
        <v/>
      </c>
      <c r="Y51" s="3">
        <f t="array" ref="Y51">INDIRECT("'"&amp;$A51&amp;"'!V11")</f>
        <v/>
      </c>
      <c r="Z51" s="3">
        <f t="array" ref="Z51">INDIRECT("'"&amp;$A51&amp;"'!W11")</f>
        <v/>
      </c>
      <c r="AA51" s="3">
        <f t="array" ref="AA51">INDIRECT("'"&amp;$A51&amp;"'!X11")</f>
        <v/>
      </c>
      <c r="AB51" s="3">
        <f t="array" ref="AB51">INDIRECT("'"&amp;$A51&amp;"'!Y11")</f>
        <v/>
      </c>
      <c r="AC51" s="3">
        <f t="array" ref="AC51">INDIRECT("'"&amp;$A51&amp;"'!Z11")</f>
        <v/>
      </c>
      <c r="AD51" s="32">
        <f t="array" ref="AD51">INDIRECT("'"&amp;$A51&amp;"'!AA11")</f>
        <v/>
      </c>
      <c r="AE51" s="80">
        <f t="array" ref="AE51">INDIRECT("'"&amp;$A51&amp;"'!J3")</f>
        <v/>
      </c>
      <c r="AF51" s="53">
        <f t="array" ref="AF51">INDIRECT("'"&amp;$A51&amp;"'!AC1")</f>
        <v/>
      </c>
    </row>
    <row r="52" ht="15.75" customHeight="1" thickBot="1">
      <c r="A52" s="58" t="n">
        <v>17</v>
      </c>
      <c r="B52" s="106" t="n"/>
      <c r="C52" s="77">
        <f t="array" ref="C52">CONCATENATE("分 ",INDIRECT("'"&amp;$A51&amp;"'!D6"))</f>
        <v/>
      </c>
      <c r="D52" s="56" t="inlineStr">
        <is>
          <t>3队</t>
        </is>
      </c>
      <c r="E52" s="81">
        <f t="array" ref="E52">INDIRECT("'"&amp;$A51&amp;"'!I4")</f>
        <v/>
      </c>
      <c r="F52" s="52">
        <f t="array" ref="F52">INDIRECT("'"&amp;$A52&amp;"'!C14")</f>
        <v/>
      </c>
      <c r="G52" s="3">
        <f t="array" ref="G52">INDIRECT("'"&amp;$A52&amp;"'!D14")</f>
        <v/>
      </c>
      <c r="H52" s="3">
        <f t="array" ref="H52">INDIRECT("'"&amp;$A52&amp;"'!E14")</f>
        <v/>
      </c>
      <c r="I52" s="3">
        <f t="array" ref="I52">INDIRECT("'"&amp;$A52&amp;"'!F14")</f>
        <v/>
      </c>
      <c r="J52" s="3">
        <f t="array" ref="J52">INDIRECT("'"&amp;$A52&amp;"'!G14")</f>
        <v/>
      </c>
      <c r="K52" s="3">
        <f t="array" ref="K52">INDIRECT("'"&amp;$A52&amp;"'!H14")</f>
        <v/>
      </c>
      <c r="L52" s="3">
        <f t="array" ref="L52">INDIRECT("'"&amp;$A52&amp;"'!I14")</f>
        <v/>
      </c>
      <c r="M52" s="3">
        <f t="array" ref="M52">INDIRECT("'"&amp;$A52&amp;"'!J14")</f>
        <v/>
      </c>
      <c r="N52" s="3">
        <f t="array" ref="N52">INDIRECT("'"&amp;$A52&amp;"'!K14")</f>
        <v/>
      </c>
      <c r="O52" s="3">
        <f t="array" ref="O52">INDIRECT("'"&amp;$A52&amp;"'!L14")</f>
        <v/>
      </c>
      <c r="P52" s="3">
        <f t="array" ref="P52">INDIRECT("'"&amp;$A52&amp;"'!M14")</f>
        <v/>
      </c>
      <c r="Q52" s="3">
        <f t="array" ref="Q52">INDIRECT("'"&amp;$A52&amp;"'!N14")</f>
        <v/>
      </c>
      <c r="R52" s="3">
        <f t="array" ref="R52">INDIRECT("'"&amp;$A52&amp;"'!O14")</f>
        <v/>
      </c>
      <c r="S52" s="3">
        <f t="array" ref="S52">INDIRECT("'"&amp;$A52&amp;"'!P14")</f>
        <v/>
      </c>
      <c r="T52" s="3">
        <f t="array" ref="T52">INDIRECT("'"&amp;$A52&amp;"'!Q14")</f>
        <v/>
      </c>
      <c r="U52" s="3">
        <f t="array" ref="U52">INDIRECT("'"&amp;$A52&amp;"'!R14")</f>
        <v/>
      </c>
      <c r="V52" s="3">
        <f t="array" ref="V52">INDIRECT("'"&amp;$A52&amp;"'!S14")</f>
        <v/>
      </c>
      <c r="W52" s="3">
        <f t="array" ref="W52">INDIRECT("'"&amp;$A52&amp;"'!T14")</f>
        <v/>
      </c>
      <c r="X52" s="3">
        <f t="array" ref="X52">INDIRECT("'"&amp;$A52&amp;"'!U14")</f>
        <v/>
      </c>
      <c r="Y52" s="3">
        <f t="array" ref="Y52">INDIRECT("'"&amp;$A52&amp;"'!V14")</f>
        <v/>
      </c>
      <c r="Z52" s="3">
        <f t="array" ref="Z52">INDIRECT("'"&amp;$A52&amp;"'!W14")</f>
        <v/>
      </c>
      <c r="AA52" s="3">
        <f t="array" ref="AA52">INDIRECT("'"&amp;$A52&amp;"'!X14")</f>
        <v/>
      </c>
      <c r="AB52" s="3">
        <f t="array" ref="AB52">INDIRECT("'"&amp;$A52&amp;"'!Y14")</f>
        <v/>
      </c>
      <c r="AC52" s="3">
        <f t="array" ref="AC52">INDIRECT("'"&amp;$A52&amp;"'!Z14")</f>
        <v/>
      </c>
      <c r="AD52" s="32">
        <f t="array" ref="AD52">INDIRECT("'"&amp;$A52&amp;"'!AA14")</f>
        <v/>
      </c>
      <c r="AE52" s="81">
        <f t="array" ref="AE52">INDIRECT("'"&amp;$A51&amp;"'!J4")</f>
        <v/>
      </c>
      <c r="AF52" s="53" t="n"/>
    </row>
    <row r="53">
      <c r="A53" s="58" t="n">
        <v>18</v>
      </c>
      <c r="B53" s="103">
        <f>INDEX(data!$I$2:$I$98,MATCH(A53*1,data!$G$2:$G$98,0))</f>
        <v/>
      </c>
      <c r="C53" s="66">
        <f>HYPERLINK("#'" &amp; A53 &amp; "'!A1", "编辑")</f>
        <v/>
      </c>
      <c r="D53" s="54" t="inlineStr">
        <is>
          <t>1队</t>
        </is>
      </c>
      <c r="E53" s="79">
        <f t="array" ref="E53">INDIRECT("'"&amp;$A54&amp;"'!I2")</f>
        <v/>
      </c>
      <c r="F53" s="29">
        <f t="array" ref="F53">INDIRECT("'"&amp;$A53&amp;"'!C8")</f>
        <v/>
      </c>
      <c r="G53" s="30">
        <f t="array" ref="G53">INDIRECT("'"&amp;$A53&amp;"'!D8")</f>
        <v/>
      </c>
      <c r="H53" s="30">
        <f t="array" ref="H53">INDIRECT("'"&amp;$A53&amp;"'!E8")</f>
        <v/>
      </c>
      <c r="I53" s="30">
        <f t="array" ref="I53">INDIRECT("'"&amp;$A53&amp;"'!F8")</f>
        <v/>
      </c>
      <c r="J53" s="30">
        <f t="array" ref="J53">INDIRECT("'"&amp;$A53&amp;"'!G8")</f>
        <v/>
      </c>
      <c r="K53" s="30">
        <f t="array" ref="K53">INDIRECT("'"&amp;$A53&amp;"'!H8")</f>
        <v/>
      </c>
      <c r="L53" s="30">
        <f t="array" ref="L53">INDIRECT("'"&amp;$A53&amp;"'!I8")</f>
        <v/>
      </c>
      <c r="M53" s="30">
        <f t="array" ref="M53">INDIRECT("'"&amp;$A53&amp;"'!J8")</f>
        <v/>
      </c>
      <c r="N53" s="30">
        <f t="array" ref="N53">INDIRECT("'"&amp;$A53&amp;"'!K8")</f>
        <v/>
      </c>
      <c r="O53" s="30">
        <f t="array" ref="O53">INDIRECT("'"&amp;$A53&amp;"'!L8")</f>
        <v/>
      </c>
      <c r="P53" s="30">
        <f t="array" ref="P53">INDIRECT("'"&amp;$A53&amp;"'!M8")</f>
        <v/>
      </c>
      <c r="Q53" s="30">
        <f t="array" ref="Q53">INDIRECT("'"&amp;$A53&amp;"'!N8")</f>
        <v/>
      </c>
      <c r="R53" s="30">
        <f t="array" ref="R53">INDIRECT("'"&amp;$A53&amp;"'!O8")</f>
        <v/>
      </c>
      <c r="S53" s="30">
        <f t="array" ref="S53">INDIRECT("'"&amp;$A53&amp;"'!P8")</f>
        <v/>
      </c>
      <c r="T53" s="30">
        <f t="array" ref="T53">INDIRECT("'"&amp;$A53&amp;"'!Q8")</f>
        <v/>
      </c>
      <c r="U53" s="30">
        <f t="array" ref="U53">INDIRECT("'"&amp;$A53&amp;"'!R8")</f>
        <v/>
      </c>
      <c r="V53" s="30">
        <f t="array" ref="V53">INDIRECT("'"&amp;$A53&amp;"'!S8")</f>
        <v/>
      </c>
      <c r="W53" s="30">
        <f t="array" ref="W53">INDIRECT("'"&amp;$A53&amp;"'!T8")</f>
        <v/>
      </c>
      <c r="X53" s="30">
        <f t="array" ref="X53">INDIRECT("'"&amp;$A53&amp;"'!U8")</f>
        <v/>
      </c>
      <c r="Y53" s="30">
        <f t="array" ref="Y53">INDIRECT("'"&amp;$A53&amp;"'!V8")</f>
        <v/>
      </c>
      <c r="Z53" s="30">
        <f t="array" ref="Z53">INDIRECT("'"&amp;$A53&amp;"'!W8")</f>
        <v/>
      </c>
      <c r="AA53" s="30">
        <f t="array" ref="AA53">INDIRECT("'"&amp;$A53&amp;"'!X8")</f>
        <v/>
      </c>
      <c r="AB53" s="30">
        <f t="array" ref="AB53">INDIRECT("'"&amp;$A53&amp;"'!Y8")</f>
        <v/>
      </c>
      <c r="AC53" s="30">
        <f t="array" ref="AC53">INDIRECT("'"&amp;$A53&amp;"'!Z8")</f>
        <v/>
      </c>
      <c r="AD53" s="31">
        <f t="array" ref="AD53">INDIRECT("'"&amp;$A53&amp;"'!AA8")</f>
        <v/>
      </c>
      <c r="AE53" s="79">
        <f t="array" ref="AE53">INDIRECT("'"&amp;$A54&amp;"'!J2")</f>
        <v/>
      </c>
      <c r="AF53" s="53">
        <f t="array" ref="AF53">INDIRECT("'"&amp;$A54&amp;"'!AD1")</f>
        <v/>
      </c>
    </row>
    <row r="54">
      <c r="A54" s="58" t="n">
        <v>18</v>
      </c>
      <c r="B54" s="105" t="n"/>
      <c r="C54" s="67">
        <f t="array" ref="C54">CONCATENATE("粮 ",INDIRECT("'"&amp;$A54&amp;"'!D4"))</f>
        <v/>
      </c>
      <c r="D54" s="55" t="inlineStr">
        <is>
          <t>2队</t>
        </is>
      </c>
      <c r="E54" s="80">
        <f t="array" ref="E54">INDIRECT("'"&amp;$A54&amp;"'!I3")</f>
        <v/>
      </c>
      <c r="F54" s="52">
        <f t="array" ref="F54">INDIRECT("'"&amp;$A54&amp;"'!C11")</f>
        <v/>
      </c>
      <c r="G54" s="3">
        <f t="array" ref="G54">INDIRECT("'"&amp;$A54&amp;"'!D11")</f>
        <v/>
      </c>
      <c r="H54" s="3">
        <f t="array" ref="H54">INDIRECT("'"&amp;$A54&amp;"'!E11")</f>
        <v/>
      </c>
      <c r="I54" s="3">
        <f t="array" ref="I54">INDIRECT("'"&amp;$A54&amp;"'!F11")</f>
        <v/>
      </c>
      <c r="J54" s="3">
        <f t="array" ref="J54">INDIRECT("'"&amp;$A54&amp;"'!G11")</f>
        <v/>
      </c>
      <c r="K54" s="3">
        <f t="array" ref="K54">INDIRECT("'"&amp;$A54&amp;"'!H11")</f>
        <v/>
      </c>
      <c r="L54" s="3">
        <f t="array" ref="L54">INDIRECT("'"&amp;$A54&amp;"'!I11")</f>
        <v/>
      </c>
      <c r="M54" s="3">
        <f t="array" ref="M54">INDIRECT("'"&amp;$A54&amp;"'!J11")</f>
        <v/>
      </c>
      <c r="N54" s="3">
        <f t="array" ref="N54">INDIRECT("'"&amp;$A54&amp;"'!K11")</f>
        <v/>
      </c>
      <c r="O54" s="3">
        <f t="array" ref="O54">INDIRECT("'"&amp;$A54&amp;"'!L11")</f>
        <v/>
      </c>
      <c r="P54" s="3">
        <f t="array" ref="P54">INDIRECT("'"&amp;$A54&amp;"'!M11")</f>
        <v/>
      </c>
      <c r="Q54" s="3">
        <f t="array" ref="Q54">INDIRECT("'"&amp;$A54&amp;"'!N11")</f>
        <v/>
      </c>
      <c r="R54" s="3">
        <f t="array" ref="R54">INDIRECT("'"&amp;$A54&amp;"'!O11")</f>
        <v/>
      </c>
      <c r="S54" s="3">
        <f t="array" ref="S54">INDIRECT("'"&amp;$A54&amp;"'!P11")</f>
        <v/>
      </c>
      <c r="T54" s="3">
        <f t="array" ref="T54">INDIRECT("'"&amp;$A54&amp;"'!Q11")</f>
        <v/>
      </c>
      <c r="U54" s="3">
        <f t="array" ref="U54">INDIRECT("'"&amp;$A54&amp;"'!R11")</f>
        <v/>
      </c>
      <c r="V54" s="3">
        <f t="array" ref="V54">INDIRECT("'"&amp;$A54&amp;"'!S11")</f>
        <v/>
      </c>
      <c r="W54" s="3">
        <f t="array" ref="W54">INDIRECT("'"&amp;$A54&amp;"'!T11")</f>
        <v/>
      </c>
      <c r="X54" s="3">
        <f t="array" ref="X54">INDIRECT("'"&amp;$A54&amp;"'!U11")</f>
        <v/>
      </c>
      <c r="Y54" s="3">
        <f t="array" ref="Y54">INDIRECT("'"&amp;$A54&amp;"'!V11")</f>
        <v/>
      </c>
      <c r="Z54" s="3">
        <f t="array" ref="Z54">INDIRECT("'"&amp;$A54&amp;"'!W11")</f>
        <v/>
      </c>
      <c r="AA54" s="3">
        <f t="array" ref="AA54">INDIRECT("'"&amp;$A54&amp;"'!X11")</f>
        <v/>
      </c>
      <c r="AB54" s="3">
        <f t="array" ref="AB54">INDIRECT("'"&amp;$A54&amp;"'!Y11")</f>
        <v/>
      </c>
      <c r="AC54" s="3">
        <f t="array" ref="AC54">INDIRECT("'"&amp;$A54&amp;"'!Z11")</f>
        <v/>
      </c>
      <c r="AD54" s="32">
        <f t="array" ref="AD54">INDIRECT("'"&amp;$A54&amp;"'!AA11")</f>
        <v/>
      </c>
      <c r="AE54" s="80">
        <f t="array" ref="AE54">INDIRECT("'"&amp;$A54&amp;"'!J3")</f>
        <v/>
      </c>
      <c r="AF54" s="53">
        <f t="array" ref="AF54">INDIRECT("'"&amp;$A54&amp;"'!AC1")</f>
        <v/>
      </c>
    </row>
    <row r="55" ht="15.75" customHeight="1" thickBot="1">
      <c r="A55" s="58" t="n">
        <v>18</v>
      </c>
      <c r="B55" s="106" t="n"/>
      <c r="C55" s="77">
        <f t="array" ref="C55">CONCATENATE("分 ",INDIRECT("'"&amp;$A54&amp;"'!D6"))</f>
        <v/>
      </c>
      <c r="D55" s="56" t="inlineStr">
        <is>
          <t>3队</t>
        </is>
      </c>
      <c r="E55" s="81">
        <f t="array" ref="E55">INDIRECT("'"&amp;$A54&amp;"'!I4")</f>
        <v/>
      </c>
      <c r="F55" s="52">
        <f t="array" ref="F55">INDIRECT("'"&amp;$A55&amp;"'!C14")</f>
        <v/>
      </c>
      <c r="G55" s="3">
        <f t="array" ref="G55">INDIRECT("'"&amp;$A55&amp;"'!D14")</f>
        <v/>
      </c>
      <c r="H55" s="3">
        <f t="array" ref="H55">INDIRECT("'"&amp;$A55&amp;"'!E14")</f>
        <v/>
      </c>
      <c r="I55" s="3">
        <f t="array" ref="I55">INDIRECT("'"&amp;$A55&amp;"'!F14")</f>
        <v/>
      </c>
      <c r="J55" s="3">
        <f t="array" ref="J55">INDIRECT("'"&amp;$A55&amp;"'!G14")</f>
        <v/>
      </c>
      <c r="K55" s="3">
        <f t="array" ref="K55">INDIRECT("'"&amp;$A55&amp;"'!H14")</f>
        <v/>
      </c>
      <c r="L55" s="3">
        <f t="array" ref="L55">INDIRECT("'"&amp;$A55&amp;"'!I14")</f>
        <v/>
      </c>
      <c r="M55" s="3">
        <f t="array" ref="M55">INDIRECT("'"&amp;$A55&amp;"'!J14")</f>
        <v/>
      </c>
      <c r="N55" s="3">
        <f t="array" ref="N55">INDIRECT("'"&amp;$A55&amp;"'!K14")</f>
        <v/>
      </c>
      <c r="O55" s="3">
        <f t="array" ref="O55">INDIRECT("'"&amp;$A55&amp;"'!L14")</f>
        <v/>
      </c>
      <c r="P55" s="3">
        <f t="array" ref="P55">INDIRECT("'"&amp;$A55&amp;"'!M14")</f>
        <v/>
      </c>
      <c r="Q55" s="3">
        <f t="array" ref="Q55">INDIRECT("'"&amp;$A55&amp;"'!N14")</f>
        <v/>
      </c>
      <c r="R55" s="3">
        <f t="array" ref="R55">INDIRECT("'"&amp;$A55&amp;"'!O14")</f>
        <v/>
      </c>
      <c r="S55" s="3">
        <f t="array" ref="S55">INDIRECT("'"&amp;$A55&amp;"'!P14")</f>
        <v/>
      </c>
      <c r="T55" s="3">
        <f t="array" ref="T55">INDIRECT("'"&amp;$A55&amp;"'!Q14")</f>
        <v/>
      </c>
      <c r="U55" s="3">
        <f t="array" ref="U55">INDIRECT("'"&amp;$A55&amp;"'!R14")</f>
        <v/>
      </c>
      <c r="V55" s="3">
        <f t="array" ref="V55">INDIRECT("'"&amp;$A55&amp;"'!S14")</f>
        <v/>
      </c>
      <c r="W55" s="3">
        <f t="array" ref="W55">INDIRECT("'"&amp;$A55&amp;"'!T14")</f>
        <v/>
      </c>
      <c r="X55" s="3">
        <f t="array" ref="X55">INDIRECT("'"&amp;$A55&amp;"'!U14")</f>
        <v/>
      </c>
      <c r="Y55" s="3">
        <f t="array" ref="Y55">INDIRECT("'"&amp;$A55&amp;"'!V14")</f>
        <v/>
      </c>
      <c r="Z55" s="3">
        <f t="array" ref="Z55">INDIRECT("'"&amp;$A55&amp;"'!W14")</f>
        <v/>
      </c>
      <c r="AA55" s="3">
        <f t="array" ref="AA55">INDIRECT("'"&amp;$A55&amp;"'!X14")</f>
        <v/>
      </c>
      <c r="AB55" s="3">
        <f t="array" ref="AB55">INDIRECT("'"&amp;$A55&amp;"'!Y14")</f>
        <v/>
      </c>
      <c r="AC55" s="3">
        <f t="array" ref="AC55">INDIRECT("'"&amp;$A55&amp;"'!Z14")</f>
        <v/>
      </c>
      <c r="AD55" s="32">
        <f t="array" ref="AD55">INDIRECT("'"&amp;$A55&amp;"'!AA14")</f>
        <v/>
      </c>
      <c r="AE55" s="81">
        <f t="array" ref="AE55">INDIRECT("'"&amp;$A54&amp;"'!J4")</f>
        <v/>
      </c>
      <c r="AF55" s="53" t="n"/>
    </row>
    <row r="56">
      <c r="A56" s="58" t="n">
        <v>19</v>
      </c>
      <c r="B56" s="103">
        <f>INDEX(data!$I$2:$I$98,MATCH(A56*1,data!$G$2:$G$98,0))</f>
        <v/>
      </c>
      <c r="C56" s="66">
        <f>HYPERLINK("#'" &amp; A56 &amp; "'!A1", "编辑")</f>
        <v/>
      </c>
      <c r="D56" s="54" t="inlineStr">
        <is>
          <t>1队</t>
        </is>
      </c>
      <c r="E56" s="79">
        <f t="array" ref="E56">INDIRECT("'"&amp;$A57&amp;"'!I2")</f>
        <v/>
      </c>
      <c r="F56" s="29">
        <f t="array" ref="F56">INDIRECT("'"&amp;$A56&amp;"'!C8")</f>
        <v/>
      </c>
      <c r="G56" s="30">
        <f t="array" ref="G56">INDIRECT("'"&amp;$A56&amp;"'!D8")</f>
        <v/>
      </c>
      <c r="H56" s="30">
        <f t="array" ref="H56">INDIRECT("'"&amp;$A56&amp;"'!E8")</f>
        <v/>
      </c>
      <c r="I56" s="30">
        <f t="array" ref="I56">INDIRECT("'"&amp;$A56&amp;"'!F8")</f>
        <v/>
      </c>
      <c r="J56" s="30">
        <f t="array" ref="J56">INDIRECT("'"&amp;$A56&amp;"'!G8")</f>
        <v/>
      </c>
      <c r="K56" s="30">
        <f t="array" ref="K56">INDIRECT("'"&amp;$A56&amp;"'!H8")</f>
        <v/>
      </c>
      <c r="L56" s="30">
        <f t="array" ref="L56">INDIRECT("'"&amp;$A56&amp;"'!I8")</f>
        <v/>
      </c>
      <c r="M56" s="30">
        <f t="array" ref="M56">INDIRECT("'"&amp;$A56&amp;"'!J8")</f>
        <v/>
      </c>
      <c r="N56" s="30">
        <f t="array" ref="N56">INDIRECT("'"&amp;$A56&amp;"'!K8")</f>
        <v/>
      </c>
      <c r="O56" s="30">
        <f t="array" ref="O56">INDIRECT("'"&amp;$A56&amp;"'!L8")</f>
        <v/>
      </c>
      <c r="P56" s="30">
        <f t="array" ref="P56">INDIRECT("'"&amp;$A56&amp;"'!M8")</f>
        <v/>
      </c>
      <c r="Q56" s="30">
        <f t="array" ref="Q56">INDIRECT("'"&amp;$A56&amp;"'!N8")</f>
        <v/>
      </c>
      <c r="R56" s="30">
        <f t="array" ref="R56">INDIRECT("'"&amp;$A56&amp;"'!O8")</f>
        <v/>
      </c>
      <c r="S56" s="30">
        <f t="array" ref="S56">INDIRECT("'"&amp;$A56&amp;"'!P8")</f>
        <v/>
      </c>
      <c r="T56" s="30">
        <f t="array" ref="T56">INDIRECT("'"&amp;$A56&amp;"'!Q8")</f>
        <v/>
      </c>
      <c r="U56" s="30">
        <f t="array" ref="U56">INDIRECT("'"&amp;$A56&amp;"'!R8")</f>
        <v/>
      </c>
      <c r="V56" s="30">
        <f t="array" ref="V56">INDIRECT("'"&amp;$A56&amp;"'!S8")</f>
        <v/>
      </c>
      <c r="W56" s="30">
        <f t="array" ref="W56">INDIRECT("'"&amp;$A56&amp;"'!T8")</f>
        <v/>
      </c>
      <c r="X56" s="30">
        <f t="array" ref="X56">INDIRECT("'"&amp;$A56&amp;"'!U8")</f>
        <v/>
      </c>
      <c r="Y56" s="30">
        <f t="array" ref="Y56">INDIRECT("'"&amp;$A56&amp;"'!V8")</f>
        <v/>
      </c>
      <c r="Z56" s="30">
        <f t="array" ref="Z56">INDIRECT("'"&amp;$A56&amp;"'!W8")</f>
        <v/>
      </c>
      <c r="AA56" s="30">
        <f t="array" ref="AA56">INDIRECT("'"&amp;$A56&amp;"'!X8")</f>
        <v/>
      </c>
      <c r="AB56" s="30">
        <f t="array" ref="AB56">INDIRECT("'"&amp;$A56&amp;"'!Y8")</f>
        <v/>
      </c>
      <c r="AC56" s="30">
        <f t="array" ref="AC56">INDIRECT("'"&amp;$A56&amp;"'!Z8")</f>
        <v/>
      </c>
      <c r="AD56" s="31">
        <f t="array" ref="AD56">INDIRECT("'"&amp;$A56&amp;"'!AA8")</f>
        <v/>
      </c>
      <c r="AE56" s="79">
        <f t="array" ref="AE56">INDIRECT("'"&amp;$A57&amp;"'!J2")</f>
        <v/>
      </c>
      <c r="AF56" s="53">
        <f t="array" ref="AF56">INDIRECT("'"&amp;$A57&amp;"'!AD1")</f>
        <v/>
      </c>
    </row>
    <row r="57">
      <c r="A57" s="58" t="n">
        <v>19</v>
      </c>
      <c r="B57" s="105" t="n"/>
      <c r="C57" s="67">
        <f t="array" ref="C57">CONCATENATE("粮 ",INDIRECT("'"&amp;$A57&amp;"'!D4"))</f>
        <v/>
      </c>
      <c r="D57" s="55" t="inlineStr">
        <is>
          <t>2队</t>
        </is>
      </c>
      <c r="E57" s="80">
        <f t="array" ref="E57">INDIRECT("'"&amp;$A57&amp;"'!I3")</f>
        <v/>
      </c>
      <c r="F57" s="52">
        <f t="array" ref="F57">INDIRECT("'"&amp;$A57&amp;"'!C11")</f>
        <v/>
      </c>
      <c r="G57" s="3">
        <f t="array" ref="G57">INDIRECT("'"&amp;$A57&amp;"'!D11")</f>
        <v/>
      </c>
      <c r="H57" s="3">
        <f t="array" ref="H57">INDIRECT("'"&amp;$A57&amp;"'!E11")</f>
        <v/>
      </c>
      <c r="I57" s="3">
        <f t="array" ref="I57">INDIRECT("'"&amp;$A57&amp;"'!F11")</f>
        <v/>
      </c>
      <c r="J57" s="3">
        <f t="array" ref="J57">INDIRECT("'"&amp;$A57&amp;"'!G11")</f>
        <v/>
      </c>
      <c r="K57" s="3">
        <f t="array" ref="K57">INDIRECT("'"&amp;$A57&amp;"'!H11")</f>
        <v/>
      </c>
      <c r="L57" s="3">
        <f t="array" ref="L57">INDIRECT("'"&amp;$A57&amp;"'!I11")</f>
        <v/>
      </c>
      <c r="M57" s="3">
        <f t="array" ref="M57">INDIRECT("'"&amp;$A57&amp;"'!J11")</f>
        <v/>
      </c>
      <c r="N57" s="3">
        <f t="array" ref="N57">INDIRECT("'"&amp;$A57&amp;"'!K11")</f>
        <v/>
      </c>
      <c r="O57" s="3">
        <f t="array" ref="O57">INDIRECT("'"&amp;$A57&amp;"'!L11")</f>
        <v/>
      </c>
      <c r="P57" s="3">
        <f t="array" ref="P57">INDIRECT("'"&amp;$A57&amp;"'!M11")</f>
        <v/>
      </c>
      <c r="Q57" s="3">
        <f t="array" ref="Q57">INDIRECT("'"&amp;$A57&amp;"'!N11")</f>
        <v/>
      </c>
      <c r="R57" s="3">
        <f t="array" ref="R57">INDIRECT("'"&amp;$A57&amp;"'!O11")</f>
        <v/>
      </c>
      <c r="S57" s="3">
        <f t="array" ref="S57">INDIRECT("'"&amp;$A57&amp;"'!P11")</f>
        <v/>
      </c>
      <c r="T57" s="3">
        <f t="array" ref="T57">INDIRECT("'"&amp;$A57&amp;"'!Q11")</f>
        <v/>
      </c>
      <c r="U57" s="3">
        <f t="array" ref="U57">INDIRECT("'"&amp;$A57&amp;"'!R11")</f>
        <v/>
      </c>
      <c r="V57" s="3">
        <f t="array" ref="V57">INDIRECT("'"&amp;$A57&amp;"'!S11")</f>
        <v/>
      </c>
      <c r="W57" s="3">
        <f t="array" ref="W57">INDIRECT("'"&amp;$A57&amp;"'!T11")</f>
        <v/>
      </c>
      <c r="X57" s="3">
        <f t="array" ref="X57">INDIRECT("'"&amp;$A57&amp;"'!U11")</f>
        <v/>
      </c>
      <c r="Y57" s="3">
        <f t="array" ref="Y57">INDIRECT("'"&amp;$A57&amp;"'!V11")</f>
        <v/>
      </c>
      <c r="Z57" s="3">
        <f t="array" ref="Z57">INDIRECT("'"&amp;$A57&amp;"'!W11")</f>
        <v/>
      </c>
      <c r="AA57" s="3">
        <f t="array" ref="AA57">INDIRECT("'"&amp;$A57&amp;"'!X11")</f>
        <v/>
      </c>
      <c r="AB57" s="3">
        <f t="array" ref="AB57">INDIRECT("'"&amp;$A57&amp;"'!Y11")</f>
        <v/>
      </c>
      <c r="AC57" s="3">
        <f t="array" ref="AC57">INDIRECT("'"&amp;$A57&amp;"'!Z11")</f>
        <v/>
      </c>
      <c r="AD57" s="32">
        <f t="array" ref="AD57">INDIRECT("'"&amp;$A57&amp;"'!AA11")</f>
        <v/>
      </c>
      <c r="AE57" s="80">
        <f t="array" ref="AE57">INDIRECT("'"&amp;$A57&amp;"'!J3")</f>
        <v/>
      </c>
      <c r="AF57" s="53">
        <f t="array" ref="AF57">INDIRECT("'"&amp;$A57&amp;"'!AC1")</f>
        <v/>
      </c>
    </row>
    <row r="58" ht="15.75" customHeight="1" thickBot="1">
      <c r="A58" s="58" t="n">
        <v>19</v>
      </c>
      <c r="B58" s="106" t="n"/>
      <c r="C58" s="77">
        <f t="array" ref="C58">CONCATENATE("分 ",INDIRECT("'"&amp;$A57&amp;"'!D6"))</f>
        <v/>
      </c>
      <c r="D58" s="56" t="inlineStr">
        <is>
          <t>3队</t>
        </is>
      </c>
      <c r="E58" s="81">
        <f t="array" ref="E58">INDIRECT("'"&amp;$A57&amp;"'!I4")</f>
        <v/>
      </c>
      <c r="F58" s="52">
        <f t="array" ref="F58">INDIRECT("'"&amp;$A58&amp;"'!C14")</f>
        <v/>
      </c>
      <c r="G58" s="3">
        <f t="array" ref="G58">INDIRECT("'"&amp;$A58&amp;"'!D14")</f>
        <v/>
      </c>
      <c r="H58" s="3">
        <f t="array" ref="H58">INDIRECT("'"&amp;$A58&amp;"'!E14")</f>
        <v/>
      </c>
      <c r="I58" s="3">
        <f t="array" ref="I58">INDIRECT("'"&amp;$A58&amp;"'!F14")</f>
        <v/>
      </c>
      <c r="J58" s="3">
        <f t="array" ref="J58">INDIRECT("'"&amp;$A58&amp;"'!G14")</f>
        <v/>
      </c>
      <c r="K58" s="3">
        <f t="array" ref="K58">INDIRECT("'"&amp;$A58&amp;"'!H14")</f>
        <v/>
      </c>
      <c r="L58" s="3">
        <f t="array" ref="L58">INDIRECT("'"&amp;$A58&amp;"'!I14")</f>
        <v/>
      </c>
      <c r="M58" s="3">
        <f t="array" ref="M58">INDIRECT("'"&amp;$A58&amp;"'!J14")</f>
        <v/>
      </c>
      <c r="N58" s="3">
        <f t="array" ref="N58">INDIRECT("'"&amp;$A58&amp;"'!K14")</f>
        <v/>
      </c>
      <c r="O58" s="3">
        <f t="array" ref="O58">INDIRECT("'"&amp;$A58&amp;"'!L14")</f>
        <v/>
      </c>
      <c r="P58" s="3">
        <f t="array" ref="P58">INDIRECT("'"&amp;$A58&amp;"'!M14")</f>
        <v/>
      </c>
      <c r="Q58" s="3">
        <f t="array" ref="Q58">INDIRECT("'"&amp;$A58&amp;"'!N14")</f>
        <v/>
      </c>
      <c r="R58" s="3">
        <f t="array" ref="R58">INDIRECT("'"&amp;$A58&amp;"'!O14")</f>
        <v/>
      </c>
      <c r="S58" s="3">
        <f t="array" ref="S58">INDIRECT("'"&amp;$A58&amp;"'!P14")</f>
        <v/>
      </c>
      <c r="T58" s="3">
        <f t="array" ref="T58">INDIRECT("'"&amp;$A58&amp;"'!Q14")</f>
        <v/>
      </c>
      <c r="U58" s="3">
        <f t="array" ref="U58">INDIRECT("'"&amp;$A58&amp;"'!R14")</f>
        <v/>
      </c>
      <c r="V58" s="3">
        <f t="array" ref="V58">INDIRECT("'"&amp;$A58&amp;"'!S14")</f>
        <v/>
      </c>
      <c r="W58" s="3">
        <f t="array" ref="W58">INDIRECT("'"&amp;$A58&amp;"'!T14")</f>
        <v/>
      </c>
      <c r="X58" s="3">
        <f t="array" ref="X58">INDIRECT("'"&amp;$A58&amp;"'!U14")</f>
        <v/>
      </c>
      <c r="Y58" s="3">
        <f t="array" ref="Y58">INDIRECT("'"&amp;$A58&amp;"'!V14")</f>
        <v/>
      </c>
      <c r="Z58" s="3">
        <f t="array" ref="Z58">INDIRECT("'"&amp;$A58&amp;"'!W14")</f>
        <v/>
      </c>
      <c r="AA58" s="3">
        <f t="array" ref="AA58">INDIRECT("'"&amp;$A58&amp;"'!X14")</f>
        <v/>
      </c>
      <c r="AB58" s="3">
        <f t="array" ref="AB58">INDIRECT("'"&amp;$A58&amp;"'!Y14")</f>
        <v/>
      </c>
      <c r="AC58" s="3">
        <f t="array" ref="AC58">INDIRECT("'"&amp;$A58&amp;"'!Z14")</f>
        <v/>
      </c>
      <c r="AD58" s="32">
        <f t="array" ref="AD58">INDIRECT("'"&amp;$A58&amp;"'!AA14")</f>
        <v/>
      </c>
      <c r="AE58" s="81">
        <f t="array" ref="AE58">INDIRECT("'"&amp;$A57&amp;"'!J4")</f>
        <v/>
      </c>
      <c r="AF58" s="53" t="n"/>
    </row>
    <row r="59">
      <c r="A59" s="58" t="n">
        <v>20</v>
      </c>
      <c r="B59" s="103">
        <f>INDEX(data!$I$2:$I$98,MATCH(A59*1,data!$G$2:$G$98,0))</f>
        <v/>
      </c>
      <c r="C59" s="66">
        <f>HYPERLINK("#'" &amp; A59 &amp; "'!A1", "编辑")</f>
        <v/>
      </c>
      <c r="D59" s="54" t="inlineStr">
        <is>
          <t>1队</t>
        </is>
      </c>
      <c r="E59" s="79">
        <f t="array" ref="E59">INDIRECT("'"&amp;$A60&amp;"'!I2")</f>
        <v/>
      </c>
      <c r="F59" s="29">
        <f t="array" ref="F59">INDIRECT("'"&amp;$A59&amp;"'!C8")</f>
        <v/>
      </c>
      <c r="G59" s="30">
        <f t="array" ref="G59">INDIRECT("'"&amp;$A59&amp;"'!D8")</f>
        <v/>
      </c>
      <c r="H59" s="30">
        <f t="array" ref="H59">INDIRECT("'"&amp;$A59&amp;"'!E8")</f>
        <v/>
      </c>
      <c r="I59" s="30">
        <f t="array" ref="I59">INDIRECT("'"&amp;$A59&amp;"'!F8")</f>
        <v/>
      </c>
      <c r="J59" s="30">
        <f t="array" ref="J59">INDIRECT("'"&amp;$A59&amp;"'!G8")</f>
        <v/>
      </c>
      <c r="K59" s="30">
        <f t="array" ref="K59">INDIRECT("'"&amp;$A59&amp;"'!H8")</f>
        <v/>
      </c>
      <c r="L59" s="30">
        <f t="array" ref="L59">INDIRECT("'"&amp;$A59&amp;"'!I8")</f>
        <v/>
      </c>
      <c r="M59" s="30">
        <f t="array" ref="M59">INDIRECT("'"&amp;$A59&amp;"'!J8")</f>
        <v/>
      </c>
      <c r="N59" s="30">
        <f t="array" ref="N59">INDIRECT("'"&amp;$A59&amp;"'!K8")</f>
        <v/>
      </c>
      <c r="O59" s="30">
        <f t="array" ref="O59">INDIRECT("'"&amp;$A59&amp;"'!L8")</f>
        <v/>
      </c>
      <c r="P59" s="30">
        <f t="array" ref="P59">INDIRECT("'"&amp;$A59&amp;"'!M8")</f>
        <v/>
      </c>
      <c r="Q59" s="30">
        <f t="array" ref="Q59">INDIRECT("'"&amp;$A59&amp;"'!N8")</f>
        <v/>
      </c>
      <c r="R59" s="30">
        <f t="array" ref="R59">INDIRECT("'"&amp;$A59&amp;"'!O8")</f>
        <v/>
      </c>
      <c r="S59" s="30">
        <f t="array" ref="S59">INDIRECT("'"&amp;$A59&amp;"'!P8")</f>
        <v/>
      </c>
      <c r="T59" s="30">
        <f t="array" ref="T59">INDIRECT("'"&amp;$A59&amp;"'!Q8")</f>
        <v/>
      </c>
      <c r="U59" s="30">
        <f t="array" ref="U59">INDIRECT("'"&amp;$A59&amp;"'!R8")</f>
        <v/>
      </c>
      <c r="V59" s="30">
        <f t="array" ref="V59">INDIRECT("'"&amp;$A59&amp;"'!S8")</f>
        <v/>
      </c>
      <c r="W59" s="30">
        <f t="array" ref="W59">INDIRECT("'"&amp;$A59&amp;"'!T8")</f>
        <v/>
      </c>
      <c r="X59" s="30">
        <f t="array" ref="X59">INDIRECT("'"&amp;$A59&amp;"'!U8")</f>
        <v/>
      </c>
      <c r="Y59" s="30">
        <f t="array" ref="Y59">INDIRECT("'"&amp;$A59&amp;"'!V8")</f>
        <v/>
      </c>
      <c r="Z59" s="30">
        <f t="array" ref="Z59">INDIRECT("'"&amp;$A59&amp;"'!W8")</f>
        <v/>
      </c>
      <c r="AA59" s="30">
        <f t="array" ref="AA59">INDIRECT("'"&amp;$A59&amp;"'!X8")</f>
        <v/>
      </c>
      <c r="AB59" s="30">
        <f t="array" ref="AB59">INDIRECT("'"&amp;$A59&amp;"'!Y8")</f>
        <v/>
      </c>
      <c r="AC59" s="30">
        <f t="array" ref="AC59">INDIRECT("'"&amp;$A59&amp;"'!Z8")</f>
        <v/>
      </c>
      <c r="AD59" s="31">
        <f t="array" ref="AD59">INDIRECT("'"&amp;$A59&amp;"'!AA8")</f>
        <v/>
      </c>
      <c r="AE59" s="79">
        <f t="array" ref="AE59">INDIRECT("'"&amp;$A60&amp;"'!J2")</f>
        <v/>
      </c>
      <c r="AF59" s="53">
        <f t="array" ref="AF59">INDIRECT("'"&amp;$A60&amp;"'!AD1")</f>
        <v/>
      </c>
    </row>
    <row r="60">
      <c r="A60" s="58" t="n">
        <v>20</v>
      </c>
      <c r="B60" s="105" t="n"/>
      <c r="C60" s="67">
        <f t="array" ref="C60">CONCATENATE("粮 ",INDIRECT("'"&amp;$A60&amp;"'!D4"))</f>
        <v/>
      </c>
      <c r="D60" s="55" t="inlineStr">
        <is>
          <t>2队</t>
        </is>
      </c>
      <c r="E60" s="80">
        <f t="array" ref="E60">INDIRECT("'"&amp;$A60&amp;"'!I3")</f>
        <v/>
      </c>
      <c r="F60" s="52">
        <f t="array" ref="F60">INDIRECT("'"&amp;$A60&amp;"'!C11")</f>
        <v/>
      </c>
      <c r="G60" s="3">
        <f t="array" ref="G60">INDIRECT("'"&amp;$A60&amp;"'!D11")</f>
        <v/>
      </c>
      <c r="H60" s="3">
        <f t="array" ref="H60">INDIRECT("'"&amp;$A60&amp;"'!E11")</f>
        <v/>
      </c>
      <c r="I60" s="3">
        <f t="array" ref="I60">INDIRECT("'"&amp;$A60&amp;"'!F11")</f>
        <v/>
      </c>
      <c r="J60" s="3">
        <f t="array" ref="J60">INDIRECT("'"&amp;$A60&amp;"'!G11")</f>
        <v/>
      </c>
      <c r="K60" s="3">
        <f t="array" ref="K60">INDIRECT("'"&amp;$A60&amp;"'!H11")</f>
        <v/>
      </c>
      <c r="L60" s="3">
        <f t="array" ref="L60">INDIRECT("'"&amp;$A60&amp;"'!I11")</f>
        <v/>
      </c>
      <c r="M60" s="3">
        <f t="array" ref="M60">INDIRECT("'"&amp;$A60&amp;"'!J11")</f>
        <v/>
      </c>
      <c r="N60" s="3">
        <f t="array" ref="N60">INDIRECT("'"&amp;$A60&amp;"'!K11")</f>
        <v/>
      </c>
      <c r="O60" s="3">
        <f t="array" ref="O60">INDIRECT("'"&amp;$A60&amp;"'!L11")</f>
        <v/>
      </c>
      <c r="P60" s="3">
        <f t="array" ref="P60">INDIRECT("'"&amp;$A60&amp;"'!M11")</f>
        <v/>
      </c>
      <c r="Q60" s="3">
        <f t="array" ref="Q60">INDIRECT("'"&amp;$A60&amp;"'!N11")</f>
        <v/>
      </c>
      <c r="R60" s="3">
        <f t="array" ref="R60">INDIRECT("'"&amp;$A60&amp;"'!O11")</f>
        <v/>
      </c>
      <c r="S60" s="3">
        <f t="array" ref="S60">INDIRECT("'"&amp;$A60&amp;"'!P11")</f>
        <v/>
      </c>
      <c r="T60" s="3">
        <f t="array" ref="T60">INDIRECT("'"&amp;$A60&amp;"'!Q11")</f>
        <v/>
      </c>
      <c r="U60" s="3">
        <f t="array" ref="U60">INDIRECT("'"&amp;$A60&amp;"'!R11")</f>
        <v/>
      </c>
      <c r="V60" s="3">
        <f t="array" ref="V60">INDIRECT("'"&amp;$A60&amp;"'!S11")</f>
        <v/>
      </c>
      <c r="W60" s="3">
        <f t="array" ref="W60">INDIRECT("'"&amp;$A60&amp;"'!T11")</f>
        <v/>
      </c>
      <c r="X60" s="3">
        <f t="array" ref="X60">INDIRECT("'"&amp;$A60&amp;"'!U11")</f>
        <v/>
      </c>
      <c r="Y60" s="3">
        <f t="array" ref="Y60">INDIRECT("'"&amp;$A60&amp;"'!V11")</f>
        <v/>
      </c>
      <c r="Z60" s="3">
        <f t="array" ref="Z60">INDIRECT("'"&amp;$A60&amp;"'!W11")</f>
        <v/>
      </c>
      <c r="AA60" s="3">
        <f t="array" ref="AA60">INDIRECT("'"&amp;$A60&amp;"'!X11")</f>
        <v/>
      </c>
      <c r="AB60" s="3">
        <f t="array" ref="AB60">INDIRECT("'"&amp;$A60&amp;"'!Y11")</f>
        <v/>
      </c>
      <c r="AC60" s="3">
        <f t="array" ref="AC60">INDIRECT("'"&amp;$A60&amp;"'!Z11")</f>
        <v/>
      </c>
      <c r="AD60" s="32">
        <f t="array" ref="AD60">INDIRECT("'"&amp;$A60&amp;"'!AA11")</f>
        <v/>
      </c>
      <c r="AE60" s="80">
        <f t="array" ref="AE60">INDIRECT("'"&amp;$A60&amp;"'!J3")</f>
        <v/>
      </c>
      <c r="AF60" s="53">
        <f t="array" ref="AF60">INDIRECT("'"&amp;$A60&amp;"'!AC1")</f>
        <v/>
      </c>
    </row>
    <row r="61" ht="15.75" customHeight="1" thickBot="1">
      <c r="A61" s="58" t="n">
        <v>20</v>
      </c>
      <c r="B61" s="106" t="n"/>
      <c r="C61" s="77">
        <f t="array" ref="C61">CONCATENATE("分 ",INDIRECT("'"&amp;$A60&amp;"'!D6"))</f>
        <v/>
      </c>
      <c r="D61" s="56" t="inlineStr">
        <is>
          <t>3队</t>
        </is>
      </c>
      <c r="E61" s="81">
        <f t="array" ref="E61">INDIRECT("'"&amp;$A60&amp;"'!I4")</f>
        <v/>
      </c>
      <c r="F61" s="52">
        <f t="array" ref="F61">INDIRECT("'"&amp;$A61&amp;"'!C14")</f>
        <v/>
      </c>
      <c r="G61" s="3">
        <f t="array" ref="G61">INDIRECT("'"&amp;$A61&amp;"'!D14")</f>
        <v/>
      </c>
      <c r="H61" s="3">
        <f t="array" ref="H61">INDIRECT("'"&amp;$A61&amp;"'!E14")</f>
        <v/>
      </c>
      <c r="I61" s="3">
        <f t="array" ref="I61">INDIRECT("'"&amp;$A61&amp;"'!F14")</f>
        <v/>
      </c>
      <c r="J61" s="3">
        <f t="array" ref="J61">INDIRECT("'"&amp;$A61&amp;"'!G14")</f>
        <v/>
      </c>
      <c r="K61" s="3">
        <f t="array" ref="K61">INDIRECT("'"&amp;$A61&amp;"'!H14")</f>
        <v/>
      </c>
      <c r="L61" s="3">
        <f t="array" ref="L61">INDIRECT("'"&amp;$A61&amp;"'!I14")</f>
        <v/>
      </c>
      <c r="M61" s="3">
        <f t="array" ref="M61">INDIRECT("'"&amp;$A61&amp;"'!J14")</f>
        <v/>
      </c>
      <c r="N61" s="3">
        <f t="array" ref="N61">INDIRECT("'"&amp;$A61&amp;"'!K14")</f>
        <v/>
      </c>
      <c r="O61" s="3">
        <f t="array" ref="O61">INDIRECT("'"&amp;$A61&amp;"'!L14")</f>
        <v/>
      </c>
      <c r="P61" s="3">
        <f t="array" ref="P61">INDIRECT("'"&amp;$A61&amp;"'!M14")</f>
        <v/>
      </c>
      <c r="Q61" s="3">
        <f t="array" ref="Q61">INDIRECT("'"&amp;$A61&amp;"'!N14")</f>
        <v/>
      </c>
      <c r="R61" s="3">
        <f t="array" ref="R61">INDIRECT("'"&amp;$A61&amp;"'!O14")</f>
        <v/>
      </c>
      <c r="S61" s="3">
        <f t="array" ref="S61">INDIRECT("'"&amp;$A61&amp;"'!P14")</f>
        <v/>
      </c>
      <c r="T61" s="3">
        <f t="array" ref="T61">INDIRECT("'"&amp;$A61&amp;"'!Q14")</f>
        <v/>
      </c>
      <c r="U61" s="3">
        <f t="array" ref="U61">INDIRECT("'"&amp;$A61&amp;"'!R14")</f>
        <v/>
      </c>
      <c r="V61" s="3">
        <f t="array" ref="V61">INDIRECT("'"&amp;$A61&amp;"'!S14")</f>
        <v/>
      </c>
      <c r="W61" s="3">
        <f t="array" ref="W61">INDIRECT("'"&amp;$A61&amp;"'!T14")</f>
        <v/>
      </c>
      <c r="X61" s="3">
        <f t="array" ref="X61">INDIRECT("'"&amp;$A61&amp;"'!U14")</f>
        <v/>
      </c>
      <c r="Y61" s="3">
        <f t="array" ref="Y61">INDIRECT("'"&amp;$A61&amp;"'!V14")</f>
        <v/>
      </c>
      <c r="Z61" s="3">
        <f t="array" ref="Z61">INDIRECT("'"&amp;$A61&amp;"'!W14")</f>
        <v/>
      </c>
      <c r="AA61" s="3">
        <f t="array" ref="AA61">INDIRECT("'"&amp;$A61&amp;"'!X14")</f>
        <v/>
      </c>
      <c r="AB61" s="3">
        <f t="array" ref="AB61">INDIRECT("'"&amp;$A61&amp;"'!Y14")</f>
        <v/>
      </c>
      <c r="AC61" s="3">
        <f t="array" ref="AC61">INDIRECT("'"&amp;$A61&amp;"'!Z14")</f>
        <v/>
      </c>
      <c r="AD61" s="32">
        <f t="array" ref="AD61">INDIRECT("'"&amp;$A61&amp;"'!AA14")</f>
        <v/>
      </c>
      <c r="AE61" s="81">
        <f t="array" ref="AE61">INDIRECT("'"&amp;$A60&amp;"'!J4")</f>
        <v/>
      </c>
      <c r="AF61" s="53" t="n"/>
    </row>
    <row r="62">
      <c r="A62" s="58" t="n">
        <v>21</v>
      </c>
      <c r="B62" s="103">
        <f>INDEX(data!$I$2:$I$98,MATCH(A62*1,data!$G$2:$G$98,0))</f>
        <v/>
      </c>
      <c r="C62" s="66">
        <f>HYPERLINK("#'" &amp; A62 &amp; "'!A1", "编辑")</f>
        <v/>
      </c>
      <c r="D62" s="54" t="inlineStr">
        <is>
          <t>1队</t>
        </is>
      </c>
      <c r="E62" s="79">
        <f t="array" ref="E62">INDIRECT("'"&amp;$A63&amp;"'!I2")</f>
        <v/>
      </c>
      <c r="F62" s="29">
        <f t="array" ref="F62">INDIRECT("'"&amp;$A62&amp;"'!C8")</f>
        <v/>
      </c>
      <c r="G62" s="30">
        <f t="array" ref="G62">INDIRECT("'"&amp;$A62&amp;"'!D8")</f>
        <v/>
      </c>
      <c r="H62" s="30">
        <f t="array" ref="H62">INDIRECT("'"&amp;$A62&amp;"'!E8")</f>
        <v/>
      </c>
      <c r="I62" s="30">
        <f t="array" ref="I62">INDIRECT("'"&amp;$A62&amp;"'!F8")</f>
        <v/>
      </c>
      <c r="J62" s="30">
        <f t="array" ref="J62">INDIRECT("'"&amp;$A62&amp;"'!G8")</f>
        <v/>
      </c>
      <c r="K62" s="30">
        <f t="array" ref="K62">INDIRECT("'"&amp;$A62&amp;"'!H8")</f>
        <v/>
      </c>
      <c r="L62" s="30">
        <f t="array" ref="L62">INDIRECT("'"&amp;$A62&amp;"'!I8")</f>
        <v/>
      </c>
      <c r="M62" s="30">
        <f t="array" ref="M62">INDIRECT("'"&amp;$A62&amp;"'!J8")</f>
        <v/>
      </c>
      <c r="N62" s="30">
        <f t="array" ref="N62">INDIRECT("'"&amp;$A62&amp;"'!K8")</f>
        <v/>
      </c>
      <c r="O62" s="30">
        <f t="array" ref="O62">INDIRECT("'"&amp;$A62&amp;"'!L8")</f>
        <v/>
      </c>
      <c r="P62" s="30">
        <f t="array" ref="P62">INDIRECT("'"&amp;$A62&amp;"'!M8")</f>
        <v/>
      </c>
      <c r="Q62" s="30">
        <f t="array" ref="Q62">INDIRECT("'"&amp;$A62&amp;"'!N8")</f>
        <v/>
      </c>
      <c r="R62" s="30">
        <f t="array" ref="R62">INDIRECT("'"&amp;$A62&amp;"'!O8")</f>
        <v/>
      </c>
      <c r="S62" s="30">
        <f t="array" ref="S62">INDIRECT("'"&amp;$A62&amp;"'!P8")</f>
        <v/>
      </c>
      <c r="T62" s="30">
        <f t="array" ref="T62">INDIRECT("'"&amp;$A62&amp;"'!Q8")</f>
        <v/>
      </c>
      <c r="U62" s="30">
        <f t="array" ref="U62">INDIRECT("'"&amp;$A62&amp;"'!R8")</f>
        <v/>
      </c>
      <c r="V62" s="30">
        <f t="array" ref="V62">INDIRECT("'"&amp;$A62&amp;"'!S8")</f>
        <v/>
      </c>
      <c r="W62" s="30">
        <f t="array" ref="W62">INDIRECT("'"&amp;$A62&amp;"'!T8")</f>
        <v/>
      </c>
      <c r="X62" s="30">
        <f t="array" ref="X62">INDIRECT("'"&amp;$A62&amp;"'!U8")</f>
        <v/>
      </c>
      <c r="Y62" s="30">
        <f t="array" ref="Y62">INDIRECT("'"&amp;$A62&amp;"'!V8")</f>
        <v/>
      </c>
      <c r="Z62" s="30">
        <f t="array" ref="Z62">INDIRECT("'"&amp;$A62&amp;"'!W8")</f>
        <v/>
      </c>
      <c r="AA62" s="30">
        <f t="array" ref="AA62">INDIRECT("'"&amp;$A62&amp;"'!X8")</f>
        <v/>
      </c>
      <c r="AB62" s="30">
        <f t="array" ref="AB62">INDIRECT("'"&amp;$A62&amp;"'!Y8")</f>
        <v/>
      </c>
      <c r="AC62" s="30">
        <f t="array" ref="AC62">INDIRECT("'"&amp;$A62&amp;"'!Z8")</f>
        <v/>
      </c>
      <c r="AD62" s="31">
        <f t="array" ref="AD62">INDIRECT("'"&amp;$A62&amp;"'!AA8")</f>
        <v/>
      </c>
      <c r="AE62" s="79">
        <f t="array" ref="AE62">INDIRECT("'"&amp;$A63&amp;"'!J2")</f>
        <v/>
      </c>
      <c r="AF62" s="53">
        <f t="array" ref="AF62">INDIRECT("'"&amp;$A63&amp;"'!AD1")</f>
        <v/>
      </c>
    </row>
    <row r="63">
      <c r="A63" s="58" t="n">
        <v>21</v>
      </c>
      <c r="B63" s="105" t="n"/>
      <c r="C63" s="67">
        <f t="array" ref="C63">CONCATENATE("粮 ",INDIRECT("'"&amp;$A63&amp;"'!D4"))</f>
        <v/>
      </c>
      <c r="D63" s="55" t="inlineStr">
        <is>
          <t>2队</t>
        </is>
      </c>
      <c r="E63" s="80">
        <f t="array" ref="E63">INDIRECT("'"&amp;$A63&amp;"'!I3")</f>
        <v/>
      </c>
      <c r="F63" s="52">
        <f t="array" ref="F63">INDIRECT("'"&amp;$A63&amp;"'!C11")</f>
        <v/>
      </c>
      <c r="G63" s="3">
        <f t="array" ref="G63">INDIRECT("'"&amp;$A63&amp;"'!D11")</f>
        <v/>
      </c>
      <c r="H63" s="3">
        <f t="array" ref="H63">INDIRECT("'"&amp;$A63&amp;"'!E11")</f>
        <v/>
      </c>
      <c r="I63" s="3">
        <f t="array" ref="I63">INDIRECT("'"&amp;$A63&amp;"'!F11")</f>
        <v/>
      </c>
      <c r="J63" s="3">
        <f t="array" ref="J63">INDIRECT("'"&amp;$A63&amp;"'!G11")</f>
        <v/>
      </c>
      <c r="K63" s="3">
        <f t="array" ref="K63">INDIRECT("'"&amp;$A63&amp;"'!H11")</f>
        <v/>
      </c>
      <c r="L63" s="3">
        <f t="array" ref="L63">INDIRECT("'"&amp;$A63&amp;"'!I11")</f>
        <v/>
      </c>
      <c r="M63" s="3">
        <f t="array" ref="M63">INDIRECT("'"&amp;$A63&amp;"'!J11")</f>
        <v/>
      </c>
      <c r="N63" s="3">
        <f t="array" ref="N63">INDIRECT("'"&amp;$A63&amp;"'!K11")</f>
        <v/>
      </c>
      <c r="O63" s="3">
        <f t="array" ref="O63">INDIRECT("'"&amp;$A63&amp;"'!L11")</f>
        <v/>
      </c>
      <c r="P63" s="3">
        <f t="array" ref="P63">INDIRECT("'"&amp;$A63&amp;"'!M11")</f>
        <v/>
      </c>
      <c r="Q63" s="3">
        <f t="array" ref="Q63">INDIRECT("'"&amp;$A63&amp;"'!N11")</f>
        <v/>
      </c>
      <c r="R63" s="3">
        <f t="array" ref="R63">INDIRECT("'"&amp;$A63&amp;"'!O11")</f>
        <v/>
      </c>
      <c r="S63" s="3">
        <f t="array" ref="S63">INDIRECT("'"&amp;$A63&amp;"'!P11")</f>
        <v/>
      </c>
      <c r="T63" s="3">
        <f t="array" ref="T63">INDIRECT("'"&amp;$A63&amp;"'!Q11")</f>
        <v/>
      </c>
      <c r="U63" s="3">
        <f t="array" ref="U63">INDIRECT("'"&amp;$A63&amp;"'!R11")</f>
        <v/>
      </c>
      <c r="V63" s="3">
        <f t="array" ref="V63">INDIRECT("'"&amp;$A63&amp;"'!S11")</f>
        <v/>
      </c>
      <c r="W63" s="3">
        <f t="array" ref="W63">INDIRECT("'"&amp;$A63&amp;"'!T11")</f>
        <v/>
      </c>
      <c r="X63" s="3">
        <f t="array" ref="X63">INDIRECT("'"&amp;$A63&amp;"'!U11")</f>
        <v/>
      </c>
      <c r="Y63" s="3">
        <f t="array" ref="Y63">INDIRECT("'"&amp;$A63&amp;"'!V11")</f>
        <v/>
      </c>
      <c r="Z63" s="3">
        <f t="array" ref="Z63">INDIRECT("'"&amp;$A63&amp;"'!W11")</f>
        <v/>
      </c>
      <c r="AA63" s="3">
        <f t="array" ref="AA63">INDIRECT("'"&amp;$A63&amp;"'!X11")</f>
        <v/>
      </c>
      <c r="AB63" s="3">
        <f t="array" ref="AB63">INDIRECT("'"&amp;$A63&amp;"'!Y11")</f>
        <v/>
      </c>
      <c r="AC63" s="3">
        <f t="array" ref="AC63">INDIRECT("'"&amp;$A63&amp;"'!Z11")</f>
        <v/>
      </c>
      <c r="AD63" s="32">
        <f t="array" ref="AD63">INDIRECT("'"&amp;$A63&amp;"'!AA11")</f>
        <v/>
      </c>
      <c r="AE63" s="80">
        <f t="array" ref="AE63">INDIRECT("'"&amp;$A63&amp;"'!J3")</f>
        <v/>
      </c>
      <c r="AF63" s="53">
        <f t="array" ref="AF63">INDIRECT("'"&amp;$A63&amp;"'!AC1")</f>
        <v/>
      </c>
    </row>
    <row r="64" ht="15.75" customHeight="1" thickBot="1">
      <c r="A64" s="58" t="n">
        <v>21</v>
      </c>
      <c r="B64" s="106" t="n"/>
      <c r="C64" s="77">
        <f t="array" ref="C64">CONCATENATE("分 ",INDIRECT("'"&amp;$A63&amp;"'!D6"))</f>
        <v/>
      </c>
      <c r="D64" s="56" t="inlineStr">
        <is>
          <t>3队</t>
        </is>
      </c>
      <c r="E64" s="81">
        <f t="array" ref="E64">INDIRECT("'"&amp;$A63&amp;"'!I4")</f>
        <v/>
      </c>
      <c r="F64" s="52">
        <f t="array" ref="F64">INDIRECT("'"&amp;$A64&amp;"'!C14")</f>
        <v/>
      </c>
      <c r="G64" s="3">
        <f t="array" ref="G64">INDIRECT("'"&amp;$A64&amp;"'!D14")</f>
        <v/>
      </c>
      <c r="H64" s="3">
        <f t="array" ref="H64">INDIRECT("'"&amp;$A64&amp;"'!E14")</f>
        <v/>
      </c>
      <c r="I64" s="3">
        <f t="array" ref="I64">INDIRECT("'"&amp;$A64&amp;"'!F14")</f>
        <v/>
      </c>
      <c r="J64" s="3">
        <f t="array" ref="J64">INDIRECT("'"&amp;$A64&amp;"'!G14")</f>
        <v/>
      </c>
      <c r="K64" s="3">
        <f t="array" ref="K64">INDIRECT("'"&amp;$A64&amp;"'!H14")</f>
        <v/>
      </c>
      <c r="L64" s="3">
        <f t="array" ref="L64">INDIRECT("'"&amp;$A64&amp;"'!I14")</f>
        <v/>
      </c>
      <c r="M64" s="3">
        <f t="array" ref="M64">INDIRECT("'"&amp;$A64&amp;"'!J14")</f>
        <v/>
      </c>
      <c r="N64" s="3">
        <f t="array" ref="N64">INDIRECT("'"&amp;$A64&amp;"'!K14")</f>
        <v/>
      </c>
      <c r="O64" s="3">
        <f t="array" ref="O64">INDIRECT("'"&amp;$A64&amp;"'!L14")</f>
        <v/>
      </c>
      <c r="P64" s="3">
        <f t="array" ref="P64">INDIRECT("'"&amp;$A64&amp;"'!M14")</f>
        <v/>
      </c>
      <c r="Q64" s="3">
        <f t="array" ref="Q64">INDIRECT("'"&amp;$A64&amp;"'!N14")</f>
        <v/>
      </c>
      <c r="R64" s="3">
        <f t="array" ref="R64">INDIRECT("'"&amp;$A64&amp;"'!O14")</f>
        <v/>
      </c>
      <c r="S64" s="3">
        <f t="array" ref="S64">INDIRECT("'"&amp;$A64&amp;"'!P14")</f>
        <v/>
      </c>
      <c r="T64" s="3">
        <f t="array" ref="T64">INDIRECT("'"&amp;$A64&amp;"'!Q14")</f>
        <v/>
      </c>
      <c r="U64" s="3">
        <f t="array" ref="U64">INDIRECT("'"&amp;$A64&amp;"'!R14")</f>
        <v/>
      </c>
      <c r="V64" s="3">
        <f t="array" ref="V64">INDIRECT("'"&amp;$A64&amp;"'!S14")</f>
        <v/>
      </c>
      <c r="W64" s="3">
        <f t="array" ref="W64">INDIRECT("'"&amp;$A64&amp;"'!T14")</f>
        <v/>
      </c>
      <c r="X64" s="3">
        <f t="array" ref="X64">INDIRECT("'"&amp;$A64&amp;"'!U14")</f>
        <v/>
      </c>
      <c r="Y64" s="3">
        <f t="array" ref="Y64">INDIRECT("'"&amp;$A64&amp;"'!V14")</f>
        <v/>
      </c>
      <c r="Z64" s="3">
        <f t="array" ref="Z64">INDIRECT("'"&amp;$A64&amp;"'!W14")</f>
        <v/>
      </c>
      <c r="AA64" s="3">
        <f t="array" ref="AA64">INDIRECT("'"&amp;$A64&amp;"'!X14")</f>
        <v/>
      </c>
      <c r="AB64" s="3">
        <f t="array" ref="AB64">INDIRECT("'"&amp;$A64&amp;"'!Y14")</f>
        <v/>
      </c>
      <c r="AC64" s="3">
        <f t="array" ref="AC64">INDIRECT("'"&amp;$A64&amp;"'!Z14")</f>
        <v/>
      </c>
      <c r="AD64" s="32">
        <f t="array" ref="AD64">INDIRECT("'"&amp;$A64&amp;"'!AA14")</f>
        <v/>
      </c>
      <c r="AE64" s="81">
        <f t="array" ref="AE64">INDIRECT("'"&amp;$A63&amp;"'!J4")</f>
        <v/>
      </c>
      <c r="AF64" s="53" t="n"/>
    </row>
    <row r="65">
      <c r="A65" s="58" t="n">
        <v>22</v>
      </c>
      <c r="B65" s="103">
        <f>INDEX(data!$I$2:$I$98,MATCH(A65*1,data!$G$2:$G$98,0))</f>
        <v/>
      </c>
      <c r="C65" s="66">
        <f>HYPERLINK("#'" &amp; A65 &amp; "'!A1", "编辑")</f>
        <v/>
      </c>
      <c r="D65" s="54" t="inlineStr">
        <is>
          <t>1队</t>
        </is>
      </c>
      <c r="E65" s="79">
        <f t="array" ref="E65">INDIRECT("'"&amp;$A66&amp;"'!I2")</f>
        <v/>
      </c>
      <c r="F65" s="29">
        <f t="array" ref="F65">INDIRECT("'"&amp;$A65&amp;"'!C8")</f>
        <v/>
      </c>
      <c r="G65" s="30">
        <f t="array" ref="G65">INDIRECT("'"&amp;$A65&amp;"'!D8")</f>
        <v/>
      </c>
      <c r="H65" s="30">
        <f t="array" ref="H65">INDIRECT("'"&amp;$A65&amp;"'!E8")</f>
        <v/>
      </c>
      <c r="I65" s="30">
        <f t="array" ref="I65">INDIRECT("'"&amp;$A65&amp;"'!F8")</f>
        <v/>
      </c>
      <c r="J65" s="30">
        <f t="array" ref="J65">INDIRECT("'"&amp;$A65&amp;"'!G8")</f>
        <v/>
      </c>
      <c r="K65" s="30">
        <f t="array" ref="K65">INDIRECT("'"&amp;$A65&amp;"'!H8")</f>
        <v/>
      </c>
      <c r="L65" s="30">
        <f t="array" ref="L65">INDIRECT("'"&amp;$A65&amp;"'!I8")</f>
        <v/>
      </c>
      <c r="M65" s="30">
        <f t="array" ref="M65">INDIRECT("'"&amp;$A65&amp;"'!J8")</f>
        <v/>
      </c>
      <c r="N65" s="30">
        <f t="array" ref="N65">INDIRECT("'"&amp;$A65&amp;"'!K8")</f>
        <v/>
      </c>
      <c r="O65" s="30">
        <f t="array" ref="O65">INDIRECT("'"&amp;$A65&amp;"'!L8")</f>
        <v/>
      </c>
      <c r="P65" s="30">
        <f t="array" ref="P65">INDIRECT("'"&amp;$A65&amp;"'!M8")</f>
        <v/>
      </c>
      <c r="Q65" s="30">
        <f t="array" ref="Q65">INDIRECT("'"&amp;$A65&amp;"'!N8")</f>
        <v/>
      </c>
      <c r="R65" s="30">
        <f t="array" ref="R65">INDIRECT("'"&amp;$A65&amp;"'!O8")</f>
        <v/>
      </c>
      <c r="S65" s="30">
        <f t="array" ref="S65">INDIRECT("'"&amp;$A65&amp;"'!P8")</f>
        <v/>
      </c>
      <c r="T65" s="30">
        <f t="array" ref="T65">INDIRECT("'"&amp;$A65&amp;"'!Q8")</f>
        <v/>
      </c>
      <c r="U65" s="30">
        <f t="array" ref="U65">INDIRECT("'"&amp;$A65&amp;"'!R8")</f>
        <v/>
      </c>
      <c r="V65" s="30">
        <f t="array" ref="V65">INDIRECT("'"&amp;$A65&amp;"'!S8")</f>
        <v/>
      </c>
      <c r="W65" s="30">
        <f t="array" ref="W65">INDIRECT("'"&amp;$A65&amp;"'!T8")</f>
        <v/>
      </c>
      <c r="X65" s="30">
        <f t="array" ref="X65">INDIRECT("'"&amp;$A65&amp;"'!U8")</f>
        <v/>
      </c>
      <c r="Y65" s="30">
        <f t="array" ref="Y65">INDIRECT("'"&amp;$A65&amp;"'!V8")</f>
        <v/>
      </c>
      <c r="Z65" s="30">
        <f t="array" ref="Z65">INDIRECT("'"&amp;$A65&amp;"'!W8")</f>
        <v/>
      </c>
      <c r="AA65" s="30">
        <f t="array" ref="AA65">INDIRECT("'"&amp;$A65&amp;"'!X8")</f>
        <v/>
      </c>
      <c r="AB65" s="30">
        <f t="array" ref="AB65">INDIRECT("'"&amp;$A65&amp;"'!Y8")</f>
        <v/>
      </c>
      <c r="AC65" s="30">
        <f t="array" ref="AC65">INDIRECT("'"&amp;$A65&amp;"'!Z8")</f>
        <v/>
      </c>
      <c r="AD65" s="31">
        <f t="array" ref="AD65">INDIRECT("'"&amp;$A65&amp;"'!AA8")</f>
        <v/>
      </c>
      <c r="AE65" s="79">
        <f t="array" ref="AE65">INDIRECT("'"&amp;$A66&amp;"'!J2")</f>
        <v/>
      </c>
      <c r="AF65" s="53">
        <f t="array" ref="AF65">INDIRECT("'"&amp;$A66&amp;"'!AD1")</f>
        <v/>
      </c>
    </row>
    <row r="66">
      <c r="A66" s="58" t="n">
        <v>22</v>
      </c>
      <c r="B66" s="105" t="n"/>
      <c r="C66" s="67">
        <f t="array" ref="C66">CONCATENATE("粮 ",INDIRECT("'"&amp;$A66&amp;"'!D4"))</f>
        <v/>
      </c>
      <c r="D66" s="55" t="inlineStr">
        <is>
          <t>2队</t>
        </is>
      </c>
      <c r="E66" s="80">
        <f t="array" ref="E66">INDIRECT("'"&amp;$A66&amp;"'!I3")</f>
        <v/>
      </c>
      <c r="F66" s="52">
        <f t="array" ref="F66">INDIRECT("'"&amp;$A66&amp;"'!C11")</f>
        <v/>
      </c>
      <c r="G66" s="3">
        <f t="array" ref="G66">INDIRECT("'"&amp;$A66&amp;"'!D11")</f>
        <v/>
      </c>
      <c r="H66" s="3">
        <f t="array" ref="H66">INDIRECT("'"&amp;$A66&amp;"'!E11")</f>
        <v/>
      </c>
      <c r="I66" s="3">
        <f t="array" ref="I66">INDIRECT("'"&amp;$A66&amp;"'!F11")</f>
        <v/>
      </c>
      <c r="J66" s="3">
        <f t="array" ref="J66">INDIRECT("'"&amp;$A66&amp;"'!G11")</f>
        <v/>
      </c>
      <c r="K66" s="3">
        <f t="array" ref="K66">INDIRECT("'"&amp;$A66&amp;"'!H11")</f>
        <v/>
      </c>
      <c r="L66" s="3">
        <f t="array" ref="L66">INDIRECT("'"&amp;$A66&amp;"'!I11")</f>
        <v/>
      </c>
      <c r="M66" s="3">
        <f t="array" ref="M66">INDIRECT("'"&amp;$A66&amp;"'!J11")</f>
        <v/>
      </c>
      <c r="N66" s="3">
        <f t="array" ref="N66">INDIRECT("'"&amp;$A66&amp;"'!K11")</f>
        <v/>
      </c>
      <c r="O66" s="3">
        <f t="array" ref="O66">INDIRECT("'"&amp;$A66&amp;"'!L11")</f>
        <v/>
      </c>
      <c r="P66" s="3">
        <f t="array" ref="P66">INDIRECT("'"&amp;$A66&amp;"'!M11")</f>
        <v/>
      </c>
      <c r="Q66" s="3">
        <f t="array" ref="Q66">INDIRECT("'"&amp;$A66&amp;"'!N11")</f>
        <v/>
      </c>
      <c r="R66" s="3">
        <f t="array" ref="R66">INDIRECT("'"&amp;$A66&amp;"'!O11")</f>
        <v/>
      </c>
      <c r="S66" s="3">
        <f t="array" ref="S66">INDIRECT("'"&amp;$A66&amp;"'!P11")</f>
        <v/>
      </c>
      <c r="T66" s="3">
        <f t="array" ref="T66">INDIRECT("'"&amp;$A66&amp;"'!Q11")</f>
        <v/>
      </c>
      <c r="U66" s="3">
        <f t="array" ref="U66">INDIRECT("'"&amp;$A66&amp;"'!R11")</f>
        <v/>
      </c>
      <c r="V66" s="3">
        <f t="array" ref="V66">INDIRECT("'"&amp;$A66&amp;"'!S11")</f>
        <v/>
      </c>
      <c r="W66" s="3">
        <f t="array" ref="W66">INDIRECT("'"&amp;$A66&amp;"'!T11")</f>
        <v/>
      </c>
      <c r="X66" s="3">
        <f t="array" ref="X66">INDIRECT("'"&amp;$A66&amp;"'!U11")</f>
        <v/>
      </c>
      <c r="Y66" s="3">
        <f t="array" ref="Y66">INDIRECT("'"&amp;$A66&amp;"'!V11")</f>
        <v/>
      </c>
      <c r="Z66" s="3">
        <f t="array" ref="Z66">INDIRECT("'"&amp;$A66&amp;"'!W11")</f>
        <v/>
      </c>
      <c r="AA66" s="3">
        <f t="array" ref="AA66">INDIRECT("'"&amp;$A66&amp;"'!X11")</f>
        <v/>
      </c>
      <c r="AB66" s="3">
        <f t="array" ref="AB66">INDIRECT("'"&amp;$A66&amp;"'!Y11")</f>
        <v/>
      </c>
      <c r="AC66" s="3">
        <f t="array" ref="AC66">INDIRECT("'"&amp;$A66&amp;"'!Z11")</f>
        <v/>
      </c>
      <c r="AD66" s="32">
        <f t="array" ref="AD66">INDIRECT("'"&amp;$A66&amp;"'!AA11")</f>
        <v/>
      </c>
      <c r="AE66" s="80">
        <f t="array" ref="AE66">INDIRECT("'"&amp;$A66&amp;"'!J3")</f>
        <v/>
      </c>
      <c r="AF66" s="53">
        <f t="array" ref="AF66">INDIRECT("'"&amp;$A66&amp;"'!AC1")</f>
        <v/>
      </c>
    </row>
    <row r="67" ht="15.75" customHeight="1" thickBot="1">
      <c r="A67" s="58" t="n">
        <v>22</v>
      </c>
      <c r="B67" s="106" t="n"/>
      <c r="C67" s="77">
        <f t="array" ref="C67">CONCATENATE("分 ",INDIRECT("'"&amp;$A66&amp;"'!D6"))</f>
        <v/>
      </c>
      <c r="D67" s="56" t="inlineStr">
        <is>
          <t>3队</t>
        </is>
      </c>
      <c r="E67" s="81">
        <f t="array" ref="E67">INDIRECT("'"&amp;$A66&amp;"'!I4")</f>
        <v/>
      </c>
      <c r="F67" s="52">
        <f t="array" ref="F67">INDIRECT("'"&amp;$A67&amp;"'!C14")</f>
        <v/>
      </c>
      <c r="G67" s="3">
        <f t="array" ref="G67">INDIRECT("'"&amp;$A67&amp;"'!D14")</f>
        <v/>
      </c>
      <c r="H67" s="3">
        <f t="array" ref="H67">INDIRECT("'"&amp;$A67&amp;"'!E14")</f>
        <v/>
      </c>
      <c r="I67" s="3">
        <f t="array" ref="I67">INDIRECT("'"&amp;$A67&amp;"'!F14")</f>
        <v/>
      </c>
      <c r="J67" s="3">
        <f t="array" ref="J67">INDIRECT("'"&amp;$A67&amp;"'!G14")</f>
        <v/>
      </c>
      <c r="K67" s="3">
        <f t="array" ref="K67">INDIRECT("'"&amp;$A67&amp;"'!H14")</f>
        <v/>
      </c>
      <c r="L67" s="3">
        <f t="array" ref="L67">INDIRECT("'"&amp;$A67&amp;"'!I14")</f>
        <v/>
      </c>
      <c r="M67" s="3">
        <f t="array" ref="M67">INDIRECT("'"&amp;$A67&amp;"'!J14")</f>
        <v/>
      </c>
      <c r="N67" s="3">
        <f t="array" ref="N67">INDIRECT("'"&amp;$A67&amp;"'!K14")</f>
        <v/>
      </c>
      <c r="O67" s="3">
        <f t="array" ref="O67">INDIRECT("'"&amp;$A67&amp;"'!L14")</f>
        <v/>
      </c>
      <c r="P67" s="3">
        <f t="array" ref="P67">INDIRECT("'"&amp;$A67&amp;"'!M14")</f>
        <v/>
      </c>
      <c r="Q67" s="3">
        <f t="array" ref="Q67">INDIRECT("'"&amp;$A67&amp;"'!N14")</f>
        <v/>
      </c>
      <c r="R67" s="3">
        <f t="array" ref="R67">INDIRECT("'"&amp;$A67&amp;"'!O14")</f>
        <v/>
      </c>
      <c r="S67" s="3">
        <f t="array" ref="S67">INDIRECT("'"&amp;$A67&amp;"'!P14")</f>
        <v/>
      </c>
      <c r="T67" s="3">
        <f t="array" ref="T67">INDIRECT("'"&amp;$A67&amp;"'!Q14")</f>
        <v/>
      </c>
      <c r="U67" s="3">
        <f t="array" ref="U67">INDIRECT("'"&amp;$A67&amp;"'!R14")</f>
        <v/>
      </c>
      <c r="V67" s="3">
        <f t="array" ref="V67">INDIRECT("'"&amp;$A67&amp;"'!S14")</f>
        <v/>
      </c>
      <c r="W67" s="3">
        <f t="array" ref="W67">INDIRECT("'"&amp;$A67&amp;"'!T14")</f>
        <v/>
      </c>
      <c r="X67" s="3">
        <f t="array" ref="X67">INDIRECT("'"&amp;$A67&amp;"'!U14")</f>
        <v/>
      </c>
      <c r="Y67" s="3">
        <f t="array" ref="Y67">INDIRECT("'"&amp;$A67&amp;"'!V14")</f>
        <v/>
      </c>
      <c r="Z67" s="3">
        <f t="array" ref="Z67">INDIRECT("'"&amp;$A67&amp;"'!W14")</f>
        <v/>
      </c>
      <c r="AA67" s="3">
        <f t="array" ref="AA67">INDIRECT("'"&amp;$A67&amp;"'!X14")</f>
        <v/>
      </c>
      <c r="AB67" s="3">
        <f t="array" ref="AB67">INDIRECT("'"&amp;$A67&amp;"'!Y14")</f>
        <v/>
      </c>
      <c r="AC67" s="3">
        <f t="array" ref="AC67">INDIRECT("'"&amp;$A67&amp;"'!Z14")</f>
        <v/>
      </c>
      <c r="AD67" s="32">
        <f t="array" ref="AD67">INDIRECT("'"&amp;$A67&amp;"'!AA14")</f>
        <v/>
      </c>
      <c r="AE67" s="81">
        <f t="array" ref="AE67">INDIRECT("'"&amp;$A66&amp;"'!J4")</f>
        <v/>
      </c>
      <c r="AF67" s="53" t="n"/>
    </row>
    <row r="68">
      <c r="A68" s="58" t="n">
        <v>23</v>
      </c>
      <c r="B68" s="103">
        <f>INDEX(data!$I$2:$I$98,MATCH(A68*1,data!$G$2:$G$98,0))</f>
        <v/>
      </c>
      <c r="C68" s="66">
        <f>HYPERLINK("#'" &amp; A68 &amp; "'!A1", "编辑")</f>
        <v/>
      </c>
      <c r="D68" s="54" t="inlineStr">
        <is>
          <t>1队</t>
        </is>
      </c>
      <c r="E68" s="79">
        <f t="array" ref="E68">INDIRECT("'"&amp;$A69&amp;"'!I2")</f>
        <v/>
      </c>
      <c r="F68" s="29">
        <f t="array" ref="F68">INDIRECT("'"&amp;$A68&amp;"'!C8")</f>
        <v/>
      </c>
      <c r="G68" s="30">
        <f t="array" ref="G68">INDIRECT("'"&amp;$A68&amp;"'!D8")</f>
        <v/>
      </c>
      <c r="H68" s="30">
        <f t="array" ref="H68">INDIRECT("'"&amp;$A68&amp;"'!E8")</f>
        <v/>
      </c>
      <c r="I68" s="30">
        <f t="array" ref="I68">INDIRECT("'"&amp;$A68&amp;"'!F8")</f>
        <v/>
      </c>
      <c r="J68" s="30">
        <f t="array" ref="J68">INDIRECT("'"&amp;$A68&amp;"'!G8")</f>
        <v/>
      </c>
      <c r="K68" s="30">
        <f t="array" ref="K68">INDIRECT("'"&amp;$A68&amp;"'!H8")</f>
        <v/>
      </c>
      <c r="L68" s="30">
        <f t="array" ref="L68">INDIRECT("'"&amp;$A68&amp;"'!I8")</f>
        <v/>
      </c>
      <c r="M68" s="30">
        <f t="array" ref="M68">INDIRECT("'"&amp;$A68&amp;"'!J8")</f>
        <v/>
      </c>
      <c r="N68" s="30">
        <f t="array" ref="N68">INDIRECT("'"&amp;$A68&amp;"'!K8")</f>
        <v/>
      </c>
      <c r="O68" s="30">
        <f t="array" ref="O68">INDIRECT("'"&amp;$A68&amp;"'!L8")</f>
        <v/>
      </c>
      <c r="P68" s="30">
        <f t="array" ref="P68">INDIRECT("'"&amp;$A68&amp;"'!M8")</f>
        <v/>
      </c>
      <c r="Q68" s="30">
        <f t="array" ref="Q68">INDIRECT("'"&amp;$A68&amp;"'!N8")</f>
        <v/>
      </c>
      <c r="R68" s="30">
        <f t="array" ref="R68">INDIRECT("'"&amp;$A68&amp;"'!O8")</f>
        <v/>
      </c>
      <c r="S68" s="30">
        <f t="array" ref="S68">INDIRECT("'"&amp;$A68&amp;"'!P8")</f>
        <v/>
      </c>
      <c r="T68" s="30">
        <f t="array" ref="T68">INDIRECT("'"&amp;$A68&amp;"'!Q8")</f>
        <v/>
      </c>
      <c r="U68" s="30">
        <f t="array" ref="U68">INDIRECT("'"&amp;$A68&amp;"'!R8")</f>
        <v/>
      </c>
      <c r="V68" s="30">
        <f t="array" ref="V68">INDIRECT("'"&amp;$A68&amp;"'!S8")</f>
        <v/>
      </c>
      <c r="W68" s="30">
        <f t="array" ref="W68">INDIRECT("'"&amp;$A68&amp;"'!T8")</f>
        <v/>
      </c>
      <c r="X68" s="30">
        <f t="array" ref="X68">INDIRECT("'"&amp;$A68&amp;"'!U8")</f>
        <v/>
      </c>
      <c r="Y68" s="30">
        <f t="array" ref="Y68">INDIRECT("'"&amp;$A68&amp;"'!V8")</f>
        <v/>
      </c>
      <c r="Z68" s="30">
        <f t="array" ref="Z68">INDIRECT("'"&amp;$A68&amp;"'!W8")</f>
        <v/>
      </c>
      <c r="AA68" s="30">
        <f t="array" ref="AA68">INDIRECT("'"&amp;$A68&amp;"'!X8")</f>
        <v/>
      </c>
      <c r="AB68" s="30">
        <f t="array" ref="AB68">INDIRECT("'"&amp;$A68&amp;"'!Y8")</f>
        <v/>
      </c>
      <c r="AC68" s="30">
        <f t="array" ref="AC68">INDIRECT("'"&amp;$A68&amp;"'!Z8")</f>
        <v/>
      </c>
      <c r="AD68" s="31">
        <f t="array" ref="AD68">INDIRECT("'"&amp;$A68&amp;"'!AA8")</f>
        <v/>
      </c>
      <c r="AE68" s="79">
        <f t="array" ref="AE68">INDIRECT("'"&amp;$A69&amp;"'!J2")</f>
        <v/>
      </c>
      <c r="AF68" s="53">
        <f t="array" ref="AF68">INDIRECT("'"&amp;$A69&amp;"'!AD1")</f>
        <v/>
      </c>
    </row>
    <row r="69">
      <c r="A69" s="58" t="n">
        <v>23</v>
      </c>
      <c r="B69" s="105" t="n"/>
      <c r="C69" s="67">
        <f t="array" ref="C69">CONCATENATE("粮 ",INDIRECT("'"&amp;$A69&amp;"'!D4"))</f>
        <v/>
      </c>
      <c r="D69" s="55" t="inlineStr">
        <is>
          <t>2队</t>
        </is>
      </c>
      <c r="E69" s="80">
        <f t="array" ref="E69">INDIRECT("'"&amp;$A69&amp;"'!I3")</f>
        <v/>
      </c>
      <c r="F69" s="52">
        <f t="array" ref="F69">INDIRECT("'"&amp;$A69&amp;"'!C11")</f>
        <v/>
      </c>
      <c r="G69" s="3">
        <f t="array" ref="G69">INDIRECT("'"&amp;$A69&amp;"'!D11")</f>
        <v/>
      </c>
      <c r="H69" s="3">
        <f t="array" ref="H69">INDIRECT("'"&amp;$A69&amp;"'!E11")</f>
        <v/>
      </c>
      <c r="I69" s="3">
        <f t="array" ref="I69">INDIRECT("'"&amp;$A69&amp;"'!F11")</f>
        <v/>
      </c>
      <c r="J69" s="3">
        <f t="array" ref="J69">INDIRECT("'"&amp;$A69&amp;"'!G11")</f>
        <v/>
      </c>
      <c r="K69" s="3">
        <f t="array" ref="K69">INDIRECT("'"&amp;$A69&amp;"'!H11")</f>
        <v/>
      </c>
      <c r="L69" s="3">
        <f t="array" ref="L69">INDIRECT("'"&amp;$A69&amp;"'!I11")</f>
        <v/>
      </c>
      <c r="M69" s="3">
        <f t="array" ref="M69">INDIRECT("'"&amp;$A69&amp;"'!J11")</f>
        <v/>
      </c>
      <c r="N69" s="3">
        <f t="array" ref="N69">INDIRECT("'"&amp;$A69&amp;"'!K11")</f>
        <v/>
      </c>
      <c r="O69" s="3">
        <f t="array" ref="O69">INDIRECT("'"&amp;$A69&amp;"'!L11")</f>
        <v/>
      </c>
      <c r="P69" s="3">
        <f t="array" ref="P69">INDIRECT("'"&amp;$A69&amp;"'!M11")</f>
        <v/>
      </c>
      <c r="Q69" s="3">
        <f t="array" ref="Q69">INDIRECT("'"&amp;$A69&amp;"'!N11")</f>
        <v/>
      </c>
      <c r="R69" s="3">
        <f t="array" ref="R69">INDIRECT("'"&amp;$A69&amp;"'!O11")</f>
        <v/>
      </c>
      <c r="S69" s="3">
        <f t="array" ref="S69">INDIRECT("'"&amp;$A69&amp;"'!P11")</f>
        <v/>
      </c>
      <c r="T69" s="3">
        <f t="array" ref="T69">INDIRECT("'"&amp;$A69&amp;"'!Q11")</f>
        <v/>
      </c>
      <c r="U69" s="3">
        <f t="array" ref="U69">INDIRECT("'"&amp;$A69&amp;"'!R11")</f>
        <v/>
      </c>
      <c r="V69" s="3">
        <f t="array" ref="V69">INDIRECT("'"&amp;$A69&amp;"'!S11")</f>
        <v/>
      </c>
      <c r="W69" s="3">
        <f t="array" ref="W69">INDIRECT("'"&amp;$A69&amp;"'!T11")</f>
        <v/>
      </c>
      <c r="X69" s="3">
        <f t="array" ref="X69">INDIRECT("'"&amp;$A69&amp;"'!U11")</f>
        <v/>
      </c>
      <c r="Y69" s="3">
        <f t="array" ref="Y69">INDIRECT("'"&amp;$A69&amp;"'!V11")</f>
        <v/>
      </c>
      <c r="Z69" s="3">
        <f t="array" ref="Z69">INDIRECT("'"&amp;$A69&amp;"'!W11")</f>
        <v/>
      </c>
      <c r="AA69" s="3">
        <f t="array" ref="AA69">INDIRECT("'"&amp;$A69&amp;"'!X11")</f>
        <v/>
      </c>
      <c r="AB69" s="3">
        <f t="array" ref="AB69">INDIRECT("'"&amp;$A69&amp;"'!Y11")</f>
        <v/>
      </c>
      <c r="AC69" s="3">
        <f t="array" ref="AC69">INDIRECT("'"&amp;$A69&amp;"'!Z11")</f>
        <v/>
      </c>
      <c r="AD69" s="32">
        <f t="array" ref="AD69">INDIRECT("'"&amp;$A69&amp;"'!AA11")</f>
        <v/>
      </c>
      <c r="AE69" s="80">
        <f t="array" ref="AE69">INDIRECT("'"&amp;$A69&amp;"'!J3")</f>
        <v/>
      </c>
      <c r="AF69" s="53">
        <f t="array" ref="AF69">INDIRECT("'"&amp;$A69&amp;"'!AC1")</f>
        <v/>
      </c>
    </row>
    <row r="70" ht="15.75" customHeight="1" thickBot="1">
      <c r="A70" s="58" t="n">
        <v>23</v>
      </c>
      <c r="B70" s="106" t="n"/>
      <c r="C70" s="77">
        <f t="array" ref="C70">CONCATENATE("分 ",INDIRECT("'"&amp;$A69&amp;"'!D6"))</f>
        <v/>
      </c>
      <c r="D70" s="56" t="inlineStr">
        <is>
          <t>3队</t>
        </is>
      </c>
      <c r="E70" s="81">
        <f t="array" ref="E70">INDIRECT("'"&amp;$A69&amp;"'!I4")</f>
        <v/>
      </c>
      <c r="F70" s="52">
        <f t="array" ref="F70">INDIRECT("'"&amp;$A70&amp;"'!C14")</f>
        <v/>
      </c>
      <c r="G70" s="3">
        <f t="array" ref="G70">INDIRECT("'"&amp;$A70&amp;"'!D14")</f>
        <v/>
      </c>
      <c r="H70" s="3">
        <f t="array" ref="H70">INDIRECT("'"&amp;$A70&amp;"'!E14")</f>
        <v/>
      </c>
      <c r="I70" s="3">
        <f t="array" ref="I70">INDIRECT("'"&amp;$A70&amp;"'!F14")</f>
        <v/>
      </c>
      <c r="J70" s="3">
        <f t="array" ref="J70">INDIRECT("'"&amp;$A70&amp;"'!G14")</f>
        <v/>
      </c>
      <c r="K70" s="3">
        <f t="array" ref="K70">INDIRECT("'"&amp;$A70&amp;"'!H14")</f>
        <v/>
      </c>
      <c r="L70" s="3">
        <f t="array" ref="L70">INDIRECT("'"&amp;$A70&amp;"'!I14")</f>
        <v/>
      </c>
      <c r="M70" s="3">
        <f t="array" ref="M70">INDIRECT("'"&amp;$A70&amp;"'!J14")</f>
        <v/>
      </c>
      <c r="N70" s="3">
        <f t="array" ref="N70">INDIRECT("'"&amp;$A70&amp;"'!K14")</f>
        <v/>
      </c>
      <c r="O70" s="3">
        <f t="array" ref="O70">INDIRECT("'"&amp;$A70&amp;"'!L14")</f>
        <v/>
      </c>
      <c r="P70" s="3">
        <f t="array" ref="P70">INDIRECT("'"&amp;$A70&amp;"'!M14")</f>
        <v/>
      </c>
      <c r="Q70" s="3">
        <f t="array" ref="Q70">INDIRECT("'"&amp;$A70&amp;"'!N14")</f>
        <v/>
      </c>
      <c r="R70" s="3">
        <f t="array" ref="R70">INDIRECT("'"&amp;$A70&amp;"'!O14")</f>
        <v/>
      </c>
      <c r="S70" s="3">
        <f t="array" ref="S70">INDIRECT("'"&amp;$A70&amp;"'!P14")</f>
        <v/>
      </c>
      <c r="T70" s="3">
        <f t="array" ref="T70">INDIRECT("'"&amp;$A70&amp;"'!Q14")</f>
        <v/>
      </c>
      <c r="U70" s="3">
        <f t="array" ref="U70">INDIRECT("'"&amp;$A70&amp;"'!R14")</f>
        <v/>
      </c>
      <c r="V70" s="3">
        <f t="array" ref="V70">INDIRECT("'"&amp;$A70&amp;"'!S14")</f>
        <v/>
      </c>
      <c r="W70" s="3">
        <f t="array" ref="W70">INDIRECT("'"&amp;$A70&amp;"'!T14")</f>
        <v/>
      </c>
      <c r="X70" s="3">
        <f t="array" ref="X70">INDIRECT("'"&amp;$A70&amp;"'!U14")</f>
        <v/>
      </c>
      <c r="Y70" s="3">
        <f t="array" ref="Y70">INDIRECT("'"&amp;$A70&amp;"'!V14")</f>
        <v/>
      </c>
      <c r="Z70" s="3">
        <f t="array" ref="Z70">INDIRECT("'"&amp;$A70&amp;"'!W14")</f>
        <v/>
      </c>
      <c r="AA70" s="3">
        <f t="array" ref="AA70">INDIRECT("'"&amp;$A70&amp;"'!X14")</f>
        <v/>
      </c>
      <c r="AB70" s="3">
        <f t="array" ref="AB70">INDIRECT("'"&amp;$A70&amp;"'!Y14")</f>
        <v/>
      </c>
      <c r="AC70" s="3">
        <f t="array" ref="AC70">INDIRECT("'"&amp;$A70&amp;"'!Z14")</f>
        <v/>
      </c>
      <c r="AD70" s="32">
        <f t="array" ref="AD70">INDIRECT("'"&amp;$A70&amp;"'!AA14")</f>
        <v/>
      </c>
      <c r="AE70" s="81">
        <f t="array" ref="AE70">INDIRECT("'"&amp;$A69&amp;"'!J4")</f>
        <v/>
      </c>
      <c r="AF70" s="53" t="n"/>
    </row>
    <row r="71">
      <c r="A71" s="58" t="n">
        <v>24</v>
      </c>
      <c r="B71" s="103">
        <f>INDEX(data!$I$2:$I$98,MATCH(A71*1,data!$G$2:$G$98,0))</f>
        <v/>
      </c>
      <c r="C71" s="66">
        <f>HYPERLINK("#'" &amp; A71 &amp; "'!A1", "编辑")</f>
        <v/>
      </c>
      <c r="D71" s="54" t="inlineStr">
        <is>
          <t>1队</t>
        </is>
      </c>
      <c r="E71" s="79">
        <f t="array" ref="E71">INDIRECT("'"&amp;$A72&amp;"'!I2")</f>
        <v/>
      </c>
      <c r="F71" s="29">
        <f t="array" ref="F71">INDIRECT("'"&amp;$A71&amp;"'!C8")</f>
        <v/>
      </c>
      <c r="G71" s="30">
        <f t="array" ref="G71">INDIRECT("'"&amp;$A71&amp;"'!D8")</f>
        <v/>
      </c>
      <c r="H71" s="30">
        <f t="array" ref="H71">INDIRECT("'"&amp;$A71&amp;"'!E8")</f>
        <v/>
      </c>
      <c r="I71" s="30">
        <f t="array" ref="I71">INDIRECT("'"&amp;$A71&amp;"'!F8")</f>
        <v/>
      </c>
      <c r="J71" s="30">
        <f t="array" ref="J71">INDIRECT("'"&amp;$A71&amp;"'!G8")</f>
        <v/>
      </c>
      <c r="K71" s="30">
        <f t="array" ref="K71">INDIRECT("'"&amp;$A71&amp;"'!H8")</f>
        <v/>
      </c>
      <c r="L71" s="30">
        <f t="array" ref="L71">INDIRECT("'"&amp;$A71&amp;"'!I8")</f>
        <v/>
      </c>
      <c r="M71" s="30">
        <f t="array" ref="M71">INDIRECT("'"&amp;$A71&amp;"'!J8")</f>
        <v/>
      </c>
      <c r="N71" s="30">
        <f t="array" ref="N71">INDIRECT("'"&amp;$A71&amp;"'!K8")</f>
        <v/>
      </c>
      <c r="O71" s="30">
        <f t="array" ref="O71">INDIRECT("'"&amp;$A71&amp;"'!L8")</f>
        <v/>
      </c>
      <c r="P71" s="30">
        <f t="array" ref="P71">INDIRECT("'"&amp;$A71&amp;"'!M8")</f>
        <v/>
      </c>
      <c r="Q71" s="30">
        <f t="array" ref="Q71">INDIRECT("'"&amp;$A71&amp;"'!N8")</f>
        <v/>
      </c>
      <c r="R71" s="30">
        <f t="array" ref="R71">INDIRECT("'"&amp;$A71&amp;"'!O8")</f>
        <v/>
      </c>
      <c r="S71" s="30">
        <f t="array" ref="S71">INDIRECT("'"&amp;$A71&amp;"'!P8")</f>
        <v/>
      </c>
      <c r="T71" s="30">
        <f t="array" ref="T71">INDIRECT("'"&amp;$A71&amp;"'!Q8")</f>
        <v/>
      </c>
      <c r="U71" s="30">
        <f t="array" ref="U71">INDIRECT("'"&amp;$A71&amp;"'!R8")</f>
        <v/>
      </c>
      <c r="V71" s="30">
        <f t="array" ref="V71">INDIRECT("'"&amp;$A71&amp;"'!S8")</f>
        <v/>
      </c>
      <c r="W71" s="30">
        <f t="array" ref="W71">INDIRECT("'"&amp;$A71&amp;"'!T8")</f>
        <v/>
      </c>
      <c r="X71" s="30">
        <f t="array" ref="X71">INDIRECT("'"&amp;$A71&amp;"'!U8")</f>
        <v/>
      </c>
      <c r="Y71" s="30">
        <f t="array" ref="Y71">INDIRECT("'"&amp;$A71&amp;"'!V8")</f>
        <v/>
      </c>
      <c r="Z71" s="30">
        <f t="array" ref="Z71">INDIRECT("'"&amp;$A71&amp;"'!W8")</f>
        <v/>
      </c>
      <c r="AA71" s="30">
        <f t="array" ref="AA71">INDIRECT("'"&amp;$A71&amp;"'!X8")</f>
        <v/>
      </c>
      <c r="AB71" s="30">
        <f t="array" ref="AB71">INDIRECT("'"&amp;$A71&amp;"'!Y8")</f>
        <v/>
      </c>
      <c r="AC71" s="30">
        <f t="array" ref="AC71">INDIRECT("'"&amp;$A71&amp;"'!Z8")</f>
        <v/>
      </c>
      <c r="AD71" s="31">
        <f t="array" ref="AD71">INDIRECT("'"&amp;$A71&amp;"'!AA8")</f>
        <v/>
      </c>
      <c r="AE71" s="79">
        <f t="array" ref="AE71">INDIRECT("'"&amp;$A72&amp;"'!J2")</f>
        <v/>
      </c>
      <c r="AF71" s="53">
        <f t="array" ref="AF71">INDIRECT("'"&amp;$A72&amp;"'!AD1")</f>
        <v/>
      </c>
    </row>
    <row r="72">
      <c r="A72" s="58" t="n">
        <v>24</v>
      </c>
      <c r="B72" s="105" t="n"/>
      <c r="C72" s="67">
        <f t="array" ref="C72">CONCATENATE("粮 ",INDIRECT("'"&amp;$A72&amp;"'!D4"))</f>
        <v/>
      </c>
      <c r="D72" s="55" t="inlineStr">
        <is>
          <t>2队</t>
        </is>
      </c>
      <c r="E72" s="80">
        <f t="array" ref="E72">INDIRECT("'"&amp;$A72&amp;"'!I3")</f>
        <v/>
      </c>
      <c r="F72" s="52">
        <f t="array" ref="F72">INDIRECT("'"&amp;$A72&amp;"'!C11")</f>
        <v/>
      </c>
      <c r="G72" s="3">
        <f t="array" ref="G72">INDIRECT("'"&amp;$A72&amp;"'!D11")</f>
        <v/>
      </c>
      <c r="H72" s="3">
        <f t="array" ref="H72">INDIRECT("'"&amp;$A72&amp;"'!E11")</f>
        <v/>
      </c>
      <c r="I72" s="3">
        <f t="array" ref="I72">INDIRECT("'"&amp;$A72&amp;"'!F11")</f>
        <v/>
      </c>
      <c r="J72" s="3">
        <f t="array" ref="J72">INDIRECT("'"&amp;$A72&amp;"'!G11")</f>
        <v/>
      </c>
      <c r="K72" s="3">
        <f t="array" ref="K72">INDIRECT("'"&amp;$A72&amp;"'!H11")</f>
        <v/>
      </c>
      <c r="L72" s="3">
        <f t="array" ref="L72">INDIRECT("'"&amp;$A72&amp;"'!I11")</f>
        <v/>
      </c>
      <c r="M72" s="3">
        <f t="array" ref="M72">INDIRECT("'"&amp;$A72&amp;"'!J11")</f>
        <v/>
      </c>
      <c r="N72" s="3">
        <f t="array" ref="N72">INDIRECT("'"&amp;$A72&amp;"'!K11")</f>
        <v/>
      </c>
      <c r="O72" s="3">
        <f t="array" ref="O72">INDIRECT("'"&amp;$A72&amp;"'!L11")</f>
        <v/>
      </c>
      <c r="P72" s="3">
        <f t="array" ref="P72">INDIRECT("'"&amp;$A72&amp;"'!M11")</f>
        <v/>
      </c>
      <c r="Q72" s="3">
        <f t="array" ref="Q72">INDIRECT("'"&amp;$A72&amp;"'!N11")</f>
        <v/>
      </c>
      <c r="R72" s="3">
        <f t="array" ref="R72">INDIRECT("'"&amp;$A72&amp;"'!O11")</f>
        <v/>
      </c>
      <c r="S72" s="3">
        <f t="array" ref="S72">INDIRECT("'"&amp;$A72&amp;"'!P11")</f>
        <v/>
      </c>
      <c r="T72" s="3">
        <f t="array" ref="T72">INDIRECT("'"&amp;$A72&amp;"'!Q11")</f>
        <v/>
      </c>
      <c r="U72" s="3">
        <f t="array" ref="U72">INDIRECT("'"&amp;$A72&amp;"'!R11")</f>
        <v/>
      </c>
      <c r="V72" s="3">
        <f t="array" ref="V72">INDIRECT("'"&amp;$A72&amp;"'!S11")</f>
        <v/>
      </c>
      <c r="W72" s="3">
        <f t="array" ref="W72">INDIRECT("'"&amp;$A72&amp;"'!T11")</f>
        <v/>
      </c>
      <c r="X72" s="3">
        <f t="array" ref="X72">INDIRECT("'"&amp;$A72&amp;"'!U11")</f>
        <v/>
      </c>
      <c r="Y72" s="3">
        <f t="array" ref="Y72">INDIRECT("'"&amp;$A72&amp;"'!V11")</f>
        <v/>
      </c>
      <c r="Z72" s="3">
        <f t="array" ref="Z72">INDIRECT("'"&amp;$A72&amp;"'!W11")</f>
        <v/>
      </c>
      <c r="AA72" s="3">
        <f t="array" ref="AA72">INDIRECT("'"&amp;$A72&amp;"'!X11")</f>
        <v/>
      </c>
      <c r="AB72" s="3">
        <f t="array" ref="AB72">INDIRECT("'"&amp;$A72&amp;"'!Y11")</f>
        <v/>
      </c>
      <c r="AC72" s="3">
        <f t="array" ref="AC72">INDIRECT("'"&amp;$A72&amp;"'!Z11")</f>
        <v/>
      </c>
      <c r="AD72" s="32">
        <f t="array" ref="AD72">INDIRECT("'"&amp;$A72&amp;"'!AA11")</f>
        <v/>
      </c>
      <c r="AE72" s="80">
        <f t="array" ref="AE72">INDIRECT("'"&amp;$A72&amp;"'!J3")</f>
        <v/>
      </c>
      <c r="AF72" s="53">
        <f t="array" ref="AF72">INDIRECT("'"&amp;$A72&amp;"'!AC1")</f>
        <v/>
      </c>
    </row>
    <row r="73" ht="15.75" customHeight="1" thickBot="1">
      <c r="A73" s="58" t="n">
        <v>24</v>
      </c>
      <c r="B73" s="106" t="n"/>
      <c r="C73" s="77">
        <f t="array" ref="C73">CONCATENATE("分 ",INDIRECT("'"&amp;$A72&amp;"'!D6"))</f>
        <v/>
      </c>
      <c r="D73" s="56" t="inlineStr">
        <is>
          <t>3队</t>
        </is>
      </c>
      <c r="E73" s="81">
        <f t="array" ref="E73">INDIRECT("'"&amp;$A72&amp;"'!I4")</f>
        <v/>
      </c>
      <c r="F73" s="52">
        <f t="array" ref="F73">INDIRECT("'"&amp;$A73&amp;"'!C14")</f>
        <v/>
      </c>
      <c r="G73" s="3">
        <f t="array" ref="G73">INDIRECT("'"&amp;$A73&amp;"'!D14")</f>
        <v/>
      </c>
      <c r="H73" s="3">
        <f t="array" ref="H73">INDIRECT("'"&amp;$A73&amp;"'!E14")</f>
        <v/>
      </c>
      <c r="I73" s="3">
        <f t="array" ref="I73">INDIRECT("'"&amp;$A73&amp;"'!F14")</f>
        <v/>
      </c>
      <c r="J73" s="3">
        <f t="array" ref="J73">INDIRECT("'"&amp;$A73&amp;"'!G14")</f>
        <v/>
      </c>
      <c r="K73" s="3">
        <f t="array" ref="K73">INDIRECT("'"&amp;$A73&amp;"'!H14")</f>
        <v/>
      </c>
      <c r="L73" s="3">
        <f t="array" ref="L73">INDIRECT("'"&amp;$A73&amp;"'!I14")</f>
        <v/>
      </c>
      <c r="M73" s="3">
        <f t="array" ref="M73">INDIRECT("'"&amp;$A73&amp;"'!J14")</f>
        <v/>
      </c>
      <c r="N73" s="3">
        <f t="array" ref="N73">INDIRECT("'"&amp;$A73&amp;"'!K14")</f>
        <v/>
      </c>
      <c r="O73" s="3">
        <f t="array" ref="O73">INDIRECT("'"&amp;$A73&amp;"'!L14")</f>
        <v/>
      </c>
      <c r="P73" s="3">
        <f t="array" ref="P73">INDIRECT("'"&amp;$A73&amp;"'!M14")</f>
        <v/>
      </c>
      <c r="Q73" s="3">
        <f t="array" ref="Q73">INDIRECT("'"&amp;$A73&amp;"'!N14")</f>
        <v/>
      </c>
      <c r="R73" s="3">
        <f t="array" ref="R73">INDIRECT("'"&amp;$A73&amp;"'!O14")</f>
        <v/>
      </c>
      <c r="S73" s="3">
        <f t="array" ref="S73">INDIRECT("'"&amp;$A73&amp;"'!P14")</f>
        <v/>
      </c>
      <c r="T73" s="3">
        <f t="array" ref="T73">INDIRECT("'"&amp;$A73&amp;"'!Q14")</f>
        <v/>
      </c>
      <c r="U73" s="3">
        <f t="array" ref="U73">INDIRECT("'"&amp;$A73&amp;"'!R14")</f>
        <v/>
      </c>
      <c r="V73" s="3">
        <f t="array" ref="V73">INDIRECT("'"&amp;$A73&amp;"'!S14")</f>
        <v/>
      </c>
      <c r="W73" s="3">
        <f t="array" ref="W73">INDIRECT("'"&amp;$A73&amp;"'!T14")</f>
        <v/>
      </c>
      <c r="X73" s="3">
        <f t="array" ref="X73">INDIRECT("'"&amp;$A73&amp;"'!U14")</f>
        <v/>
      </c>
      <c r="Y73" s="3">
        <f t="array" ref="Y73">INDIRECT("'"&amp;$A73&amp;"'!V14")</f>
        <v/>
      </c>
      <c r="Z73" s="3">
        <f t="array" ref="Z73">INDIRECT("'"&amp;$A73&amp;"'!W14")</f>
        <v/>
      </c>
      <c r="AA73" s="3">
        <f t="array" ref="AA73">INDIRECT("'"&amp;$A73&amp;"'!X14")</f>
        <v/>
      </c>
      <c r="AB73" s="3">
        <f t="array" ref="AB73">INDIRECT("'"&amp;$A73&amp;"'!Y14")</f>
        <v/>
      </c>
      <c r="AC73" s="3">
        <f t="array" ref="AC73">INDIRECT("'"&amp;$A73&amp;"'!Z14")</f>
        <v/>
      </c>
      <c r="AD73" s="32">
        <f t="array" ref="AD73">INDIRECT("'"&amp;$A73&amp;"'!AA14")</f>
        <v/>
      </c>
      <c r="AE73" s="81">
        <f t="array" ref="AE73">INDIRECT("'"&amp;$A72&amp;"'!J4")</f>
        <v/>
      </c>
      <c r="AF73" s="53" t="n"/>
    </row>
    <row r="74">
      <c r="A74" s="58" t="n">
        <v>25</v>
      </c>
      <c r="B74" s="103">
        <f>INDEX(data!$I$2:$I$98,MATCH(A74*1,data!$G$2:$G$98,0))</f>
        <v/>
      </c>
      <c r="C74" s="66">
        <f>HYPERLINK("#'" &amp; A74 &amp; "'!A1", "编辑")</f>
        <v/>
      </c>
      <c r="D74" s="54" t="inlineStr">
        <is>
          <t>1队</t>
        </is>
      </c>
      <c r="E74" s="79">
        <f t="array" ref="E74">INDIRECT("'"&amp;$A75&amp;"'!I2")</f>
        <v/>
      </c>
      <c r="F74" s="29">
        <f t="array" ref="F74">INDIRECT("'"&amp;$A74&amp;"'!C8")</f>
        <v/>
      </c>
      <c r="G74" s="30">
        <f t="array" ref="G74">INDIRECT("'"&amp;$A74&amp;"'!D8")</f>
        <v/>
      </c>
      <c r="H74" s="30">
        <f t="array" ref="H74">INDIRECT("'"&amp;$A74&amp;"'!E8")</f>
        <v/>
      </c>
      <c r="I74" s="30">
        <f t="array" ref="I74">INDIRECT("'"&amp;$A74&amp;"'!F8")</f>
        <v/>
      </c>
      <c r="J74" s="30">
        <f t="array" ref="J74">INDIRECT("'"&amp;$A74&amp;"'!G8")</f>
        <v/>
      </c>
      <c r="K74" s="30">
        <f t="array" ref="K74">INDIRECT("'"&amp;$A74&amp;"'!H8")</f>
        <v/>
      </c>
      <c r="L74" s="30">
        <f t="array" ref="L74">INDIRECT("'"&amp;$A74&amp;"'!I8")</f>
        <v/>
      </c>
      <c r="M74" s="30">
        <f t="array" ref="M74">INDIRECT("'"&amp;$A74&amp;"'!J8")</f>
        <v/>
      </c>
      <c r="N74" s="30">
        <f t="array" ref="N74">INDIRECT("'"&amp;$A74&amp;"'!K8")</f>
        <v/>
      </c>
      <c r="O74" s="30">
        <f t="array" ref="O74">INDIRECT("'"&amp;$A74&amp;"'!L8")</f>
        <v/>
      </c>
      <c r="P74" s="30">
        <f t="array" ref="P74">INDIRECT("'"&amp;$A74&amp;"'!M8")</f>
        <v/>
      </c>
      <c r="Q74" s="30">
        <f t="array" ref="Q74">INDIRECT("'"&amp;$A74&amp;"'!N8")</f>
        <v/>
      </c>
      <c r="R74" s="30">
        <f t="array" ref="R74">INDIRECT("'"&amp;$A74&amp;"'!O8")</f>
        <v/>
      </c>
      <c r="S74" s="30">
        <f t="array" ref="S74">INDIRECT("'"&amp;$A74&amp;"'!P8")</f>
        <v/>
      </c>
      <c r="T74" s="30">
        <f t="array" ref="T74">INDIRECT("'"&amp;$A74&amp;"'!Q8")</f>
        <v/>
      </c>
      <c r="U74" s="30">
        <f t="array" ref="U74">INDIRECT("'"&amp;$A74&amp;"'!R8")</f>
        <v/>
      </c>
      <c r="V74" s="30">
        <f t="array" ref="V74">INDIRECT("'"&amp;$A74&amp;"'!S8")</f>
        <v/>
      </c>
      <c r="W74" s="30">
        <f t="array" ref="W74">INDIRECT("'"&amp;$A74&amp;"'!T8")</f>
        <v/>
      </c>
      <c r="X74" s="30">
        <f t="array" ref="X74">INDIRECT("'"&amp;$A74&amp;"'!U8")</f>
        <v/>
      </c>
      <c r="Y74" s="30">
        <f t="array" ref="Y74">INDIRECT("'"&amp;$A74&amp;"'!V8")</f>
        <v/>
      </c>
      <c r="Z74" s="30">
        <f t="array" ref="Z74">INDIRECT("'"&amp;$A74&amp;"'!W8")</f>
        <v/>
      </c>
      <c r="AA74" s="30">
        <f t="array" ref="AA74">INDIRECT("'"&amp;$A74&amp;"'!X8")</f>
        <v/>
      </c>
      <c r="AB74" s="30">
        <f t="array" ref="AB74">INDIRECT("'"&amp;$A74&amp;"'!Y8")</f>
        <v/>
      </c>
      <c r="AC74" s="30">
        <f t="array" ref="AC74">INDIRECT("'"&amp;$A74&amp;"'!Z8")</f>
        <v/>
      </c>
      <c r="AD74" s="31">
        <f t="array" ref="AD74">INDIRECT("'"&amp;$A74&amp;"'!AA8")</f>
        <v/>
      </c>
      <c r="AE74" s="79">
        <f t="array" ref="AE74">INDIRECT("'"&amp;$A75&amp;"'!J2")</f>
        <v/>
      </c>
      <c r="AF74" s="53">
        <f t="array" ref="AF74">INDIRECT("'"&amp;$A75&amp;"'!AD1")</f>
        <v/>
      </c>
    </row>
    <row r="75">
      <c r="A75" s="58" t="n">
        <v>25</v>
      </c>
      <c r="B75" s="105" t="n"/>
      <c r="C75" s="67">
        <f t="array" ref="C75">CONCATENATE("粮 ",INDIRECT("'"&amp;$A75&amp;"'!D4"))</f>
        <v/>
      </c>
      <c r="D75" s="55" t="inlineStr">
        <is>
          <t>2队</t>
        </is>
      </c>
      <c r="E75" s="80">
        <f t="array" ref="E75">INDIRECT("'"&amp;$A75&amp;"'!I3")</f>
        <v/>
      </c>
      <c r="F75" s="52">
        <f t="array" ref="F75">INDIRECT("'"&amp;$A75&amp;"'!C11")</f>
        <v/>
      </c>
      <c r="G75" s="3">
        <f t="array" ref="G75">INDIRECT("'"&amp;$A75&amp;"'!D11")</f>
        <v/>
      </c>
      <c r="H75" s="3">
        <f t="array" ref="H75">INDIRECT("'"&amp;$A75&amp;"'!E11")</f>
        <v/>
      </c>
      <c r="I75" s="3">
        <f t="array" ref="I75">INDIRECT("'"&amp;$A75&amp;"'!F11")</f>
        <v/>
      </c>
      <c r="J75" s="3">
        <f t="array" ref="J75">INDIRECT("'"&amp;$A75&amp;"'!G11")</f>
        <v/>
      </c>
      <c r="K75" s="3">
        <f t="array" ref="K75">INDIRECT("'"&amp;$A75&amp;"'!H11")</f>
        <v/>
      </c>
      <c r="L75" s="3">
        <f t="array" ref="L75">INDIRECT("'"&amp;$A75&amp;"'!I11")</f>
        <v/>
      </c>
      <c r="M75" s="3">
        <f t="array" ref="M75">INDIRECT("'"&amp;$A75&amp;"'!J11")</f>
        <v/>
      </c>
      <c r="N75" s="3">
        <f t="array" ref="N75">INDIRECT("'"&amp;$A75&amp;"'!K11")</f>
        <v/>
      </c>
      <c r="O75" s="3">
        <f t="array" ref="O75">INDIRECT("'"&amp;$A75&amp;"'!L11")</f>
        <v/>
      </c>
      <c r="P75" s="3">
        <f t="array" ref="P75">INDIRECT("'"&amp;$A75&amp;"'!M11")</f>
        <v/>
      </c>
      <c r="Q75" s="3">
        <f t="array" ref="Q75">INDIRECT("'"&amp;$A75&amp;"'!N11")</f>
        <v/>
      </c>
      <c r="R75" s="3">
        <f t="array" ref="R75">INDIRECT("'"&amp;$A75&amp;"'!O11")</f>
        <v/>
      </c>
      <c r="S75" s="3">
        <f t="array" ref="S75">INDIRECT("'"&amp;$A75&amp;"'!P11")</f>
        <v/>
      </c>
      <c r="T75" s="3">
        <f t="array" ref="T75">INDIRECT("'"&amp;$A75&amp;"'!Q11")</f>
        <v/>
      </c>
      <c r="U75" s="3">
        <f t="array" ref="U75">INDIRECT("'"&amp;$A75&amp;"'!R11")</f>
        <v/>
      </c>
      <c r="V75" s="3">
        <f t="array" ref="V75">INDIRECT("'"&amp;$A75&amp;"'!S11")</f>
        <v/>
      </c>
      <c r="W75" s="3">
        <f t="array" ref="W75">INDIRECT("'"&amp;$A75&amp;"'!T11")</f>
        <v/>
      </c>
      <c r="X75" s="3">
        <f t="array" ref="X75">INDIRECT("'"&amp;$A75&amp;"'!U11")</f>
        <v/>
      </c>
      <c r="Y75" s="3">
        <f t="array" ref="Y75">INDIRECT("'"&amp;$A75&amp;"'!V11")</f>
        <v/>
      </c>
      <c r="Z75" s="3">
        <f t="array" ref="Z75">INDIRECT("'"&amp;$A75&amp;"'!W11")</f>
        <v/>
      </c>
      <c r="AA75" s="3">
        <f t="array" ref="AA75">INDIRECT("'"&amp;$A75&amp;"'!X11")</f>
        <v/>
      </c>
      <c r="AB75" s="3">
        <f t="array" ref="AB75">INDIRECT("'"&amp;$A75&amp;"'!Y11")</f>
        <v/>
      </c>
      <c r="AC75" s="3">
        <f t="array" ref="AC75">INDIRECT("'"&amp;$A75&amp;"'!Z11")</f>
        <v/>
      </c>
      <c r="AD75" s="32">
        <f t="array" ref="AD75">INDIRECT("'"&amp;$A75&amp;"'!AA11")</f>
        <v/>
      </c>
      <c r="AE75" s="80">
        <f t="array" ref="AE75">INDIRECT("'"&amp;$A75&amp;"'!J3")</f>
        <v/>
      </c>
      <c r="AF75" s="53">
        <f t="array" ref="AF75">INDIRECT("'"&amp;$A75&amp;"'!AC1")</f>
        <v/>
      </c>
    </row>
    <row r="76" ht="15.75" customHeight="1" thickBot="1">
      <c r="A76" s="58" t="n">
        <v>25</v>
      </c>
      <c r="B76" s="106" t="n"/>
      <c r="C76" s="77">
        <f t="array" ref="C76">CONCATENATE("分 ",INDIRECT("'"&amp;$A75&amp;"'!D6"))</f>
        <v/>
      </c>
      <c r="D76" s="56" t="inlineStr">
        <is>
          <t>3队</t>
        </is>
      </c>
      <c r="E76" s="81">
        <f t="array" ref="E76">INDIRECT("'"&amp;$A75&amp;"'!I4")</f>
        <v/>
      </c>
      <c r="F76" s="52">
        <f t="array" ref="F76">INDIRECT("'"&amp;$A76&amp;"'!C14")</f>
        <v/>
      </c>
      <c r="G76" s="3">
        <f t="array" ref="G76">INDIRECT("'"&amp;$A76&amp;"'!D14")</f>
        <v/>
      </c>
      <c r="H76" s="3">
        <f t="array" ref="H76">INDIRECT("'"&amp;$A76&amp;"'!E14")</f>
        <v/>
      </c>
      <c r="I76" s="3">
        <f t="array" ref="I76">INDIRECT("'"&amp;$A76&amp;"'!F14")</f>
        <v/>
      </c>
      <c r="J76" s="3">
        <f t="array" ref="J76">INDIRECT("'"&amp;$A76&amp;"'!G14")</f>
        <v/>
      </c>
      <c r="K76" s="3">
        <f t="array" ref="K76">INDIRECT("'"&amp;$A76&amp;"'!H14")</f>
        <v/>
      </c>
      <c r="L76" s="3">
        <f t="array" ref="L76">INDIRECT("'"&amp;$A76&amp;"'!I14")</f>
        <v/>
      </c>
      <c r="M76" s="3">
        <f t="array" ref="M76">INDIRECT("'"&amp;$A76&amp;"'!J14")</f>
        <v/>
      </c>
      <c r="N76" s="3">
        <f t="array" ref="N76">INDIRECT("'"&amp;$A76&amp;"'!K14")</f>
        <v/>
      </c>
      <c r="O76" s="3">
        <f t="array" ref="O76">INDIRECT("'"&amp;$A76&amp;"'!L14")</f>
        <v/>
      </c>
      <c r="P76" s="3">
        <f t="array" ref="P76">INDIRECT("'"&amp;$A76&amp;"'!M14")</f>
        <v/>
      </c>
      <c r="Q76" s="3">
        <f t="array" ref="Q76">INDIRECT("'"&amp;$A76&amp;"'!N14")</f>
        <v/>
      </c>
      <c r="R76" s="3">
        <f t="array" ref="R76">INDIRECT("'"&amp;$A76&amp;"'!O14")</f>
        <v/>
      </c>
      <c r="S76" s="3">
        <f t="array" ref="S76">INDIRECT("'"&amp;$A76&amp;"'!P14")</f>
        <v/>
      </c>
      <c r="T76" s="3">
        <f t="array" ref="T76">INDIRECT("'"&amp;$A76&amp;"'!Q14")</f>
        <v/>
      </c>
      <c r="U76" s="3">
        <f t="array" ref="U76">INDIRECT("'"&amp;$A76&amp;"'!R14")</f>
        <v/>
      </c>
      <c r="V76" s="3">
        <f t="array" ref="V76">INDIRECT("'"&amp;$A76&amp;"'!S14")</f>
        <v/>
      </c>
      <c r="W76" s="3">
        <f t="array" ref="W76">INDIRECT("'"&amp;$A76&amp;"'!T14")</f>
        <v/>
      </c>
      <c r="X76" s="3">
        <f t="array" ref="X76">INDIRECT("'"&amp;$A76&amp;"'!U14")</f>
        <v/>
      </c>
      <c r="Y76" s="3">
        <f t="array" ref="Y76">INDIRECT("'"&amp;$A76&amp;"'!V14")</f>
        <v/>
      </c>
      <c r="Z76" s="3">
        <f t="array" ref="Z76">INDIRECT("'"&amp;$A76&amp;"'!W14")</f>
        <v/>
      </c>
      <c r="AA76" s="3">
        <f t="array" ref="AA76">INDIRECT("'"&amp;$A76&amp;"'!X14")</f>
        <v/>
      </c>
      <c r="AB76" s="3">
        <f t="array" ref="AB76">INDIRECT("'"&amp;$A76&amp;"'!Y14")</f>
        <v/>
      </c>
      <c r="AC76" s="3">
        <f t="array" ref="AC76">INDIRECT("'"&amp;$A76&amp;"'!Z14")</f>
        <v/>
      </c>
      <c r="AD76" s="32">
        <f t="array" ref="AD76">INDIRECT("'"&amp;$A76&amp;"'!AA14")</f>
        <v/>
      </c>
      <c r="AE76" s="81">
        <f t="array" ref="AE76">INDIRECT("'"&amp;$A75&amp;"'!J4")</f>
        <v/>
      </c>
      <c r="AF76" s="53" t="n"/>
    </row>
    <row r="77">
      <c r="A77" s="58" t="n">
        <v>26</v>
      </c>
      <c r="B77" s="103">
        <f>INDEX(data!$I$2:$I$98,MATCH(A77*1,data!$G$2:$G$98,0))</f>
        <v/>
      </c>
      <c r="C77" s="66">
        <f>HYPERLINK("#'" &amp; A77 &amp; "'!A1", "编辑")</f>
        <v/>
      </c>
      <c r="D77" s="54" t="inlineStr">
        <is>
          <t>1队</t>
        </is>
      </c>
      <c r="E77" s="79">
        <f t="array" ref="E77">INDIRECT("'"&amp;$A78&amp;"'!I2")</f>
        <v/>
      </c>
      <c r="F77" s="29">
        <f t="array" ref="F77">INDIRECT("'"&amp;$A77&amp;"'!C8")</f>
        <v/>
      </c>
      <c r="G77" s="30">
        <f t="array" ref="G77">INDIRECT("'"&amp;$A77&amp;"'!D8")</f>
        <v/>
      </c>
      <c r="H77" s="30">
        <f t="array" ref="H77">INDIRECT("'"&amp;$A77&amp;"'!E8")</f>
        <v/>
      </c>
      <c r="I77" s="30">
        <f t="array" ref="I77">INDIRECT("'"&amp;$A77&amp;"'!F8")</f>
        <v/>
      </c>
      <c r="J77" s="30">
        <f t="array" ref="J77">INDIRECT("'"&amp;$A77&amp;"'!G8")</f>
        <v/>
      </c>
      <c r="K77" s="30">
        <f t="array" ref="K77">INDIRECT("'"&amp;$A77&amp;"'!H8")</f>
        <v/>
      </c>
      <c r="L77" s="30">
        <f t="array" ref="L77">INDIRECT("'"&amp;$A77&amp;"'!I8")</f>
        <v/>
      </c>
      <c r="M77" s="30">
        <f t="array" ref="M77">INDIRECT("'"&amp;$A77&amp;"'!J8")</f>
        <v/>
      </c>
      <c r="N77" s="30">
        <f t="array" ref="N77">INDIRECT("'"&amp;$A77&amp;"'!K8")</f>
        <v/>
      </c>
      <c r="O77" s="30">
        <f t="array" ref="O77">INDIRECT("'"&amp;$A77&amp;"'!L8")</f>
        <v/>
      </c>
      <c r="P77" s="30">
        <f t="array" ref="P77">INDIRECT("'"&amp;$A77&amp;"'!M8")</f>
        <v/>
      </c>
      <c r="Q77" s="30">
        <f t="array" ref="Q77">INDIRECT("'"&amp;$A77&amp;"'!N8")</f>
        <v/>
      </c>
      <c r="R77" s="30">
        <f t="array" ref="R77">INDIRECT("'"&amp;$A77&amp;"'!O8")</f>
        <v/>
      </c>
      <c r="S77" s="30">
        <f t="array" ref="S77">INDIRECT("'"&amp;$A77&amp;"'!P8")</f>
        <v/>
      </c>
      <c r="T77" s="30">
        <f t="array" ref="T77">INDIRECT("'"&amp;$A77&amp;"'!Q8")</f>
        <v/>
      </c>
      <c r="U77" s="30">
        <f t="array" ref="U77">INDIRECT("'"&amp;$A77&amp;"'!R8")</f>
        <v/>
      </c>
      <c r="V77" s="30">
        <f t="array" ref="V77">INDIRECT("'"&amp;$A77&amp;"'!S8")</f>
        <v/>
      </c>
      <c r="W77" s="30">
        <f t="array" ref="W77">INDIRECT("'"&amp;$A77&amp;"'!T8")</f>
        <v/>
      </c>
      <c r="X77" s="30">
        <f t="array" ref="X77">INDIRECT("'"&amp;$A77&amp;"'!U8")</f>
        <v/>
      </c>
      <c r="Y77" s="30">
        <f t="array" ref="Y77">INDIRECT("'"&amp;$A77&amp;"'!V8")</f>
        <v/>
      </c>
      <c r="Z77" s="30">
        <f t="array" ref="Z77">INDIRECT("'"&amp;$A77&amp;"'!W8")</f>
        <v/>
      </c>
      <c r="AA77" s="30">
        <f t="array" ref="AA77">INDIRECT("'"&amp;$A77&amp;"'!X8")</f>
        <v/>
      </c>
      <c r="AB77" s="30">
        <f t="array" ref="AB77">INDIRECT("'"&amp;$A77&amp;"'!Y8")</f>
        <v/>
      </c>
      <c r="AC77" s="30">
        <f t="array" ref="AC77">INDIRECT("'"&amp;$A77&amp;"'!Z8")</f>
        <v/>
      </c>
      <c r="AD77" s="31">
        <f t="array" ref="AD77">INDIRECT("'"&amp;$A77&amp;"'!AA8")</f>
        <v/>
      </c>
      <c r="AE77" s="79">
        <f t="array" ref="AE77">INDIRECT("'"&amp;$A78&amp;"'!J2")</f>
        <v/>
      </c>
      <c r="AF77" s="53">
        <f t="array" ref="AF77">INDIRECT("'"&amp;$A78&amp;"'!AD1")</f>
        <v/>
      </c>
    </row>
    <row r="78">
      <c r="A78" s="58" t="n">
        <v>26</v>
      </c>
      <c r="B78" s="105" t="n"/>
      <c r="C78" s="67">
        <f t="array" ref="C78">CONCATENATE("粮 ",INDIRECT("'"&amp;$A78&amp;"'!D4"))</f>
        <v/>
      </c>
      <c r="D78" s="55" t="inlineStr">
        <is>
          <t>2队</t>
        </is>
      </c>
      <c r="E78" s="80">
        <f t="array" ref="E78">INDIRECT("'"&amp;$A78&amp;"'!I3")</f>
        <v/>
      </c>
      <c r="F78" s="52">
        <f t="array" ref="F78">INDIRECT("'"&amp;$A78&amp;"'!C11")</f>
        <v/>
      </c>
      <c r="G78" s="3">
        <f t="array" ref="G78">INDIRECT("'"&amp;$A78&amp;"'!D11")</f>
        <v/>
      </c>
      <c r="H78" s="3">
        <f t="array" ref="H78">INDIRECT("'"&amp;$A78&amp;"'!E11")</f>
        <v/>
      </c>
      <c r="I78" s="3">
        <f t="array" ref="I78">INDIRECT("'"&amp;$A78&amp;"'!F11")</f>
        <v/>
      </c>
      <c r="J78" s="3">
        <f t="array" ref="J78">INDIRECT("'"&amp;$A78&amp;"'!G11")</f>
        <v/>
      </c>
      <c r="K78" s="3">
        <f t="array" ref="K78">INDIRECT("'"&amp;$A78&amp;"'!H11")</f>
        <v/>
      </c>
      <c r="L78" s="3">
        <f t="array" ref="L78">INDIRECT("'"&amp;$A78&amp;"'!I11")</f>
        <v/>
      </c>
      <c r="M78" s="3">
        <f t="array" ref="M78">INDIRECT("'"&amp;$A78&amp;"'!J11")</f>
        <v/>
      </c>
      <c r="N78" s="3">
        <f t="array" ref="N78">INDIRECT("'"&amp;$A78&amp;"'!K11")</f>
        <v/>
      </c>
      <c r="O78" s="3">
        <f t="array" ref="O78">INDIRECT("'"&amp;$A78&amp;"'!L11")</f>
        <v/>
      </c>
      <c r="P78" s="3">
        <f t="array" ref="P78">INDIRECT("'"&amp;$A78&amp;"'!M11")</f>
        <v/>
      </c>
      <c r="Q78" s="3">
        <f t="array" ref="Q78">INDIRECT("'"&amp;$A78&amp;"'!N11")</f>
        <v/>
      </c>
      <c r="R78" s="3">
        <f t="array" ref="R78">INDIRECT("'"&amp;$A78&amp;"'!O11")</f>
        <v/>
      </c>
      <c r="S78" s="3">
        <f t="array" ref="S78">INDIRECT("'"&amp;$A78&amp;"'!P11")</f>
        <v/>
      </c>
      <c r="T78" s="3">
        <f t="array" ref="T78">INDIRECT("'"&amp;$A78&amp;"'!Q11")</f>
        <v/>
      </c>
      <c r="U78" s="3">
        <f t="array" ref="U78">INDIRECT("'"&amp;$A78&amp;"'!R11")</f>
        <v/>
      </c>
      <c r="V78" s="3">
        <f t="array" ref="V78">INDIRECT("'"&amp;$A78&amp;"'!S11")</f>
        <v/>
      </c>
      <c r="W78" s="3">
        <f t="array" ref="W78">INDIRECT("'"&amp;$A78&amp;"'!T11")</f>
        <v/>
      </c>
      <c r="X78" s="3">
        <f t="array" ref="X78">INDIRECT("'"&amp;$A78&amp;"'!U11")</f>
        <v/>
      </c>
      <c r="Y78" s="3">
        <f t="array" ref="Y78">INDIRECT("'"&amp;$A78&amp;"'!V11")</f>
        <v/>
      </c>
      <c r="Z78" s="3">
        <f t="array" ref="Z78">INDIRECT("'"&amp;$A78&amp;"'!W11")</f>
        <v/>
      </c>
      <c r="AA78" s="3">
        <f t="array" ref="AA78">INDIRECT("'"&amp;$A78&amp;"'!X11")</f>
        <v/>
      </c>
      <c r="AB78" s="3">
        <f t="array" ref="AB78">INDIRECT("'"&amp;$A78&amp;"'!Y11")</f>
        <v/>
      </c>
      <c r="AC78" s="3">
        <f t="array" ref="AC78">INDIRECT("'"&amp;$A78&amp;"'!Z11")</f>
        <v/>
      </c>
      <c r="AD78" s="32">
        <f t="array" ref="AD78">INDIRECT("'"&amp;$A78&amp;"'!AA11")</f>
        <v/>
      </c>
      <c r="AE78" s="80">
        <f t="array" ref="AE78">INDIRECT("'"&amp;$A78&amp;"'!J3")</f>
        <v/>
      </c>
      <c r="AF78" s="53">
        <f t="array" ref="AF78">INDIRECT("'"&amp;$A78&amp;"'!AC1")</f>
        <v/>
      </c>
    </row>
    <row r="79" ht="15.75" customHeight="1" thickBot="1">
      <c r="A79" s="58" t="n">
        <v>26</v>
      </c>
      <c r="B79" s="106" t="n"/>
      <c r="C79" s="77">
        <f t="array" ref="C79">CONCATENATE("分 ",INDIRECT("'"&amp;$A78&amp;"'!D6"))</f>
        <v/>
      </c>
      <c r="D79" s="56" t="inlineStr">
        <is>
          <t>3队</t>
        </is>
      </c>
      <c r="E79" s="81">
        <f t="array" ref="E79">INDIRECT("'"&amp;$A78&amp;"'!I4")</f>
        <v/>
      </c>
      <c r="F79" s="52">
        <f t="array" ref="F79">INDIRECT("'"&amp;$A79&amp;"'!C14")</f>
        <v/>
      </c>
      <c r="G79" s="3">
        <f t="array" ref="G79">INDIRECT("'"&amp;$A79&amp;"'!D14")</f>
        <v/>
      </c>
      <c r="H79" s="3">
        <f t="array" ref="H79">INDIRECT("'"&amp;$A79&amp;"'!E14")</f>
        <v/>
      </c>
      <c r="I79" s="3">
        <f t="array" ref="I79">INDIRECT("'"&amp;$A79&amp;"'!F14")</f>
        <v/>
      </c>
      <c r="J79" s="3">
        <f t="array" ref="J79">INDIRECT("'"&amp;$A79&amp;"'!G14")</f>
        <v/>
      </c>
      <c r="K79" s="3">
        <f t="array" ref="K79">INDIRECT("'"&amp;$A79&amp;"'!H14")</f>
        <v/>
      </c>
      <c r="L79" s="3">
        <f t="array" ref="L79">INDIRECT("'"&amp;$A79&amp;"'!I14")</f>
        <v/>
      </c>
      <c r="M79" s="3">
        <f t="array" ref="M79">INDIRECT("'"&amp;$A79&amp;"'!J14")</f>
        <v/>
      </c>
      <c r="N79" s="3">
        <f t="array" ref="N79">INDIRECT("'"&amp;$A79&amp;"'!K14")</f>
        <v/>
      </c>
      <c r="O79" s="3">
        <f t="array" ref="O79">INDIRECT("'"&amp;$A79&amp;"'!L14")</f>
        <v/>
      </c>
      <c r="P79" s="3">
        <f t="array" ref="P79">INDIRECT("'"&amp;$A79&amp;"'!M14")</f>
        <v/>
      </c>
      <c r="Q79" s="3">
        <f t="array" ref="Q79">INDIRECT("'"&amp;$A79&amp;"'!N14")</f>
        <v/>
      </c>
      <c r="R79" s="3">
        <f t="array" ref="R79">INDIRECT("'"&amp;$A79&amp;"'!O14")</f>
        <v/>
      </c>
      <c r="S79" s="3">
        <f t="array" ref="S79">INDIRECT("'"&amp;$A79&amp;"'!P14")</f>
        <v/>
      </c>
      <c r="T79" s="3">
        <f t="array" ref="T79">INDIRECT("'"&amp;$A79&amp;"'!Q14")</f>
        <v/>
      </c>
      <c r="U79" s="3">
        <f t="array" ref="U79">INDIRECT("'"&amp;$A79&amp;"'!R14")</f>
        <v/>
      </c>
      <c r="V79" s="3">
        <f t="array" ref="V79">INDIRECT("'"&amp;$A79&amp;"'!S14")</f>
        <v/>
      </c>
      <c r="W79" s="3">
        <f t="array" ref="W79">INDIRECT("'"&amp;$A79&amp;"'!T14")</f>
        <v/>
      </c>
      <c r="X79" s="3">
        <f t="array" ref="X79">INDIRECT("'"&amp;$A79&amp;"'!U14")</f>
        <v/>
      </c>
      <c r="Y79" s="3">
        <f t="array" ref="Y79">INDIRECT("'"&amp;$A79&amp;"'!V14")</f>
        <v/>
      </c>
      <c r="Z79" s="3">
        <f t="array" ref="Z79">INDIRECT("'"&amp;$A79&amp;"'!W14")</f>
        <v/>
      </c>
      <c r="AA79" s="3">
        <f t="array" ref="AA79">INDIRECT("'"&amp;$A79&amp;"'!X14")</f>
        <v/>
      </c>
      <c r="AB79" s="3">
        <f t="array" ref="AB79">INDIRECT("'"&amp;$A79&amp;"'!Y14")</f>
        <v/>
      </c>
      <c r="AC79" s="3">
        <f t="array" ref="AC79">INDIRECT("'"&amp;$A79&amp;"'!Z14")</f>
        <v/>
      </c>
      <c r="AD79" s="32">
        <f t="array" ref="AD79">INDIRECT("'"&amp;$A79&amp;"'!AA14")</f>
        <v/>
      </c>
      <c r="AE79" s="81">
        <f t="array" ref="AE79">INDIRECT("'"&amp;$A78&amp;"'!J4")</f>
        <v/>
      </c>
      <c r="AF79" s="53" t="n"/>
    </row>
    <row r="80">
      <c r="A80" s="58" t="n">
        <v>27</v>
      </c>
      <c r="B80" s="103">
        <f>INDEX(data!$I$2:$I$98,MATCH(A80*1,data!$G$2:$G$98,0))</f>
        <v/>
      </c>
      <c r="C80" s="66">
        <f>HYPERLINK("#'" &amp; A80 &amp; "'!A1", "编辑")</f>
        <v/>
      </c>
      <c r="D80" s="54" t="inlineStr">
        <is>
          <t>1队</t>
        </is>
      </c>
      <c r="E80" s="79">
        <f t="array" ref="E80">INDIRECT("'"&amp;$A81&amp;"'!I2")</f>
        <v/>
      </c>
      <c r="F80" s="29">
        <f t="array" ref="F80">INDIRECT("'"&amp;$A80&amp;"'!C8")</f>
        <v/>
      </c>
      <c r="G80" s="30">
        <f t="array" ref="G80">INDIRECT("'"&amp;$A80&amp;"'!D8")</f>
        <v/>
      </c>
      <c r="H80" s="30">
        <f t="array" ref="H80">INDIRECT("'"&amp;$A80&amp;"'!E8")</f>
        <v/>
      </c>
      <c r="I80" s="30">
        <f t="array" ref="I80">INDIRECT("'"&amp;$A80&amp;"'!F8")</f>
        <v/>
      </c>
      <c r="J80" s="30">
        <f t="array" ref="J80">INDIRECT("'"&amp;$A80&amp;"'!G8")</f>
        <v/>
      </c>
      <c r="K80" s="30">
        <f t="array" ref="K80">INDIRECT("'"&amp;$A80&amp;"'!H8")</f>
        <v/>
      </c>
      <c r="L80" s="30">
        <f t="array" ref="L80">INDIRECT("'"&amp;$A80&amp;"'!I8")</f>
        <v/>
      </c>
      <c r="M80" s="30">
        <f t="array" ref="M80">INDIRECT("'"&amp;$A80&amp;"'!J8")</f>
        <v/>
      </c>
      <c r="N80" s="30">
        <f t="array" ref="N80">INDIRECT("'"&amp;$A80&amp;"'!K8")</f>
        <v/>
      </c>
      <c r="O80" s="30">
        <f t="array" ref="O80">INDIRECT("'"&amp;$A80&amp;"'!L8")</f>
        <v/>
      </c>
      <c r="P80" s="30">
        <f t="array" ref="P80">INDIRECT("'"&amp;$A80&amp;"'!M8")</f>
        <v/>
      </c>
      <c r="Q80" s="30">
        <f t="array" ref="Q80">INDIRECT("'"&amp;$A80&amp;"'!N8")</f>
        <v/>
      </c>
      <c r="R80" s="30">
        <f t="array" ref="R80">INDIRECT("'"&amp;$A80&amp;"'!O8")</f>
        <v/>
      </c>
      <c r="S80" s="30">
        <f t="array" ref="S80">INDIRECT("'"&amp;$A80&amp;"'!P8")</f>
        <v/>
      </c>
      <c r="T80" s="30">
        <f t="array" ref="T80">INDIRECT("'"&amp;$A80&amp;"'!Q8")</f>
        <v/>
      </c>
      <c r="U80" s="30">
        <f t="array" ref="U80">INDIRECT("'"&amp;$A80&amp;"'!R8")</f>
        <v/>
      </c>
      <c r="V80" s="30">
        <f t="array" ref="V80">INDIRECT("'"&amp;$A80&amp;"'!S8")</f>
        <v/>
      </c>
      <c r="W80" s="30">
        <f t="array" ref="W80">INDIRECT("'"&amp;$A80&amp;"'!T8")</f>
        <v/>
      </c>
      <c r="X80" s="30">
        <f t="array" ref="X80">INDIRECT("'"&amp;$A80&amp;"'!U8")</f>
        <v/>
      </c>
      <c r="Y80" s="30">
        <f t="array" ref="Y80">INDIRECT("'"&amp;$A80&amp;"'!V8")</f>
        <v/>
      </c>
      <c r="Z80" s="30">
        <f t="array" ref="Z80">INDIRECT("'"&amp;$A80&amp;"'!W8")</f>
        <v/>
      </c>
      <c r="AA80" s="30">
        <f t="array" ref="AA80">INDIRECT("'"&amp;$A80&amp;"'!X8")</f>
        <v/>
      </c>
      <c r="AB80" s="30">
        <f t="array" ref="AB80">INDIRECT("'"&amp;$A80&amp;"'!Y8")</f>
        <v/>
      </c>
      <c r="AC80" s="30">
        <f t="array" ref="AC80">INDIRECT("'"&amp;$A80&amp;"'!Z8")</f>
        <v/>
      </c>
      <c r="AD80" s="31">
        <f t="array" ref="AD80">INDIRECT("'"&amp;$A80&amp;"'!AA8")</f>
        <v/>
      </c>
      <c r="AE80" s="79">
        <f t="array" ref="AE80">INDIRECT("'"&amp;$A81&amp;"'!J2")</f>
        <v/>
      </c>
      <c r="AF80" s="53">
        <f t="array" ref="AF80">INDIRECT("'"&amp;$A81&amp;"'!AD1")</f>
        <v/>
      </c>
    </row>
    <row r="81">
      <c r="A81" s="58" t="n">
        <v>27</v>
      </c>
      <c r="B81" s="105" t="n"/>
      <c r="C81" s="67">
        <f t="array" ref="C81">CONCATENATE("粮 ",INDIRECT("'"&amp;$A81&amp;"'!D4"))</f>
        <v/>
      </c>
      <c r="D81" s="55" t="inlineStr">
        <is>
          <t>2队</t>
        </is>
      </c>
      <c r="E81" s="80">
        <f t="array" ref="E81">INDIRECT("'"&amp;$A81&amp;"'!I3")</f>
        <v/>
      </c>
      <c r="F81" s="52">
        <f t="array" ref="F81">INDIRECT("'"&amp;$A81&amp;"'!C11")</f>
        <v/>
      </c>
      <c r="G81" s="3">
        <f t="array" ref="G81">INDIRECT("'"&amp;$A81&amp;"'!D11")</f>
        <v/>
      </c>
      <c r="H81" s="3">
        <f t="array" ref="H81">INDIRECT("'"&amp;$A81&amp;"'!E11")</f>
        <v/>
      </c>
      <c r="I81" s="3">
        <f t="array" ref="I81">INDIRECT("'"&amp;$A81&amp;"'!F11")</f>
        <v/>
      </c>
      <c r="J81" s="3">
        <f t="array" ref="J81">INDIRECT("'"&amp;$A81&amp;"'!G11")</f>
        <v/>
      </c>
      <c r="K81" s="3">
        <f t="array" ref="K81">INDIRECT("'"&amp;$A81&amp;"'!H11")</f>
        <v/>
      </c>
      <c r="L81" s="3">
        <f t="array" ref="L81">INDIRECT("'"&amp;$A81&amp;"'!I11")</f>
        <v/>
      </c>
      <c r="M81" s="3">
        <f t="array" ref="M81">INDIRECT("'"&amp;$A81&amp;"'!J11")</f>
        <v/>
      </c>
      <c r="N81" s="3">
        <f t="array" ref="N81">INDIRECT("'"&amp;$A81&amp;"'!K11")</f>
        <v/>
      </c>
      <c r="O81" s="3">
        <f t="array" ref="O81">INDIRECT("'"&amp;$A81&amp;"'!L11")</f>
        <v/>
      </c>
      <c r="P81" s="3">
        <f t="array" ref="P81">INDIRECT("'"&amp;$A81&amp;"'!M11")</f>
        <v/>
      </c>
      <c r="Q81" s="3">
        <f t="array" ref="Q81">INDIRECT("'"&amp;$A81&amp;"'!N11")</f>
        <v/>
      </c>
      <c r="R81" s="3">
        <f t="array" ref="R81">INDIRECT("'"&amp;$A81&amp;"'!O11")</f>
        <v/>
      </c>
      <c r="S81" s="3">
        <f t="array" ref="S81">INDIRECT("'"&amp;$A81&amp;"'!P11")</f>
        <v/>
      </c>
      <c r="T81" s="3">
        <f t="array" ref="T81">INDIRECT("'"&amp;$A81&amp;"'!Q11")</f>
        <v/>
      </c>
      <c r="U81" s="3">
        <f t="array" ref="U81">INDIRECT("'"&amp;$A81&amp;"'!R11")</f>
        <v/>
      </c>
      <c r="V81" s="3">
        <f t="array" ref="V81">INDIRECT("'"&amp;$A81&amp;"'!S11")</f>
        <v/>
      </c>
      <c r="W81" s="3">
        <f t="array" ref="W81">INDIRECT("'"&amp;$A81&amp;"'!T11")</f>
        <v/>
      </c>
      <c r="X81" s="3">
        <f t="array" ref="X81">INDIRECT("'"&amp;$A81&amp;"'!U11")</f>
        <v/>
      </c>
      <c r="Y81" s="3">
        <f t="array" ref="Y81">INDIRECT("'"&amp;$A81&amp;"'!V11")</f>
        <v/>
      </c>
      <c r="Z81" s="3">
        <f t="array" ref="Z81">INDIRECT("'"&amp;$A81&amp;"'!W11")</f>
        <v/>
      </c>
      <c r="AA81" s="3">
        <f t="array" ref="AA81">INDIRECT("'"&amp;$A81&amp;"'!X11")</f>
        <v/>
      </c>
      <c r="AB81" s="3">
        <f t="array" ref="AB81">INDIRECT("'"&amp;$A81&amp;"'!Y11")</f>
        <v/>
      </c>
      <c r="AC81" s="3">
        <f t="array" ref="AC81">INDIRECT("'"&amp;$A81&amp;"'!Z11")</f>
        <v/>
      </c>
      <c r="AD81" s="32">
        <f t="array" ref="AD81">INDIRECT("'"&amp;$A81&amp;"'!AA11")</f>
        <v/>
      </c>
      <c r="AE81" s="80">
        <f t="array" ref="AE81">INDIRECT("'"&amp;$A81&amp;"'!J3")</f>
        <v/>
      </c>
      <c r="AF81" s="53">
        <f t="array" ref="AF81">INDIRECT("'"&amp;$A81&amp;"'!AC1")</f>
        <v/>
      </c>
    </row>
    <row r="82" ht="15.75" customHeight="1" thickBot="1">
      <c r="A82" s="58" t="n">
        <v>27</v>
      </c>
      <c r="B82" s="106" t="n"/>
      <c r="C82" s="77">
        <f t="array" ref="C82">CONCATENATE("分 ",INDIRECT("'"&amp;$A81&amp;"'!D6"))</f>
        <v/>
      </c>
      <c r="D82" s="56" t="inlineStr">
        <is>
          <t>3队</t>
        </is>
      </c>
      <c r="E82" s="81">
        <f t="array" ref="E82">INDIRECT("'"&amp;$A81&amp;"'!I4")</f>
        <v/>
      </c>
      <c r="F82" s="52">
        <f t="array" ref="F82">INDIRECT("'"&amp;$A82&amp;"'!C14")</f>
        <v/>
      </c>
      <c r="G82" s="3">
        <f t="array" ref="G82">INDIRECT("'"&amp;$A82&amp;"'!D14")</f>
        <v/>
      </c>
      <c r="H82" s="3">
        <f t="array" ref="H82">INDIRECT("'"&amp;$A82&amp;"'!E14")</f>
        <v/>
      </c>
      <c r="I82" s="3">
        <f t="array" ref="I82">INDIRECT("'"&amp;$A82&amp;"'!F14")</f>
        <v/>
      </c>
      <c r="J82" s="3">
        <f t="array" ref="J82">INDIRECT("'"&amp;$A82&amp;"'!G14")</f>
        <v/>
      </c>
      <c r="K82" s="3">
        <f t="array" ref="K82">INDIRECT("'"&amp;$A82&amp;"'!H14")</f>
        <v/>
      </c>
      <c r="L82" s="3">
        <f t="array" ref="L82">INDIRECT("'"&amp;$A82&amp;"'!I14")</f>
        <v/>
      </c>
      <c r="M82" s="3">
        <f t="array" ref="M82">INDIRECT("'"&amp;$A82&amp;"'!J14")</f>
        <v/>
      </c>
      <c r="N82" s="3">
        <f t="array" ref="N82">INDIRECT("'"&amp;$A82&amp;"'!K14")</f>
        <v/>
      </c>
      <c r="O82" s="3">
        <f t="array" ref="O82">INDIRECT("'"&amp;$A82&amp;"'!L14")</f>
        <v/>
      </c>
      <c r="P82" s="3">
        <f t="array" ref="P82">INDIRECT("'"&amp;$A82&amp;"'!M14")</f>
        <v/>
      </c>
      <c r="Q82" s="3">
        <f t="array" ref="Q82">INDIRECT("'"&amp;$A82&amp;"'!N14")</f>
        <v/>
      </c>
      <c r="R82" s="3">
        <f t="array" ref="R82">INDIRECT("'"&amp;$A82&amp;"'!O14")</f>
        <v/>
      </c>
      <c r="S82" s="3">
        <f t="array" ref="S82">INDIRECT("'"&amp;$A82&amp;"'!P14")</f>
        <v/>
      </c>
      <c r="T82" s="3">
        <f t="array" ref="T82">INDIRECT("'"&amp;$A82&amp;"'!Q14")</f>
        <v/>
      </c>
      <c r="U82" s="3">
        <f t="array" ref="U82">INDIRECT("'"&amp;$A82&amp;"'!R14")</f>
        <v/>
      </c>
      <c r="V82" s="3">
        <f t="array" ref="V82">INDIRECT("'"&amp;$A82&amp;"'!S14")</f>
        <v/>
      </c>
      <c r="W82" s="3">
        <f t="array" ref="W82">INDIRECT("'"&amp;$A82&amp;"'!T14")</f>
        <v/>
      </c>
      <c r="X82" s="3">
        <f t="array" ref="X82">INDIRECT("'"&amp;$A82&amp;"'!U14")</f>
        <v/>
      </c>
      <c r="Y82" s="3">
        <f t="array" ref="Y82">INDIRECT("'"&amp;$A82&amp;"'!V14")</f>
        <v/>
      </c>
      <c r="Z82" s="3">
        <f t="array" ref="Z82">INDIRECT("'"&amp;$A82&amp;"'!W14")</f>
        <v/>
      </c>
      <c r="AA82" s="3">
        <f t="array" ref="AA82">INDIRECT("'"&amp;$A82&amp;"'!X14")</f>
        <v/>
      </c>
      <c r="AB82" s="3">
        <f t="array" ref="AB82">INDIRECT("'"&amp;$A82&amp;"'!Y14")</f>
        <v/>
      </c>
      <c r="AC82" s="3">
        <f t="array" ref="AC82">INDIRECT("'"&amp;$A82&amp;"'!Z14")</f>
        <v/>
      </c>
      <c r="AD82" s="32">
        <f t="array" ref="AD82">INDIRECT("'"&amp;$A82&amp;"'!AA14")</f>
        <v/>
      </c>
      <c r="AE82" s="81">
        <f t="array" ref="AE82">INDIRECT("'"&amp;$A81&amp;"'!J4")</f>
        <v/>
      </c>
      <c r="AF82" s="53" t="n"/>
    </row>
    <row r="83">
      <c r="A83" s="58" t="n">
        <v>28</v>
      </c>
      <c r="B83" s="103">
        <f>INDEX(data!$I$2:$I$98,MATCH(A83*1,data!$G$2:$G$98,0))</f>
        <v/>
      </c>
      <c r="C83" s="66">
        <f>HYPERLINK("#'" &amp; A83 &amp; "'!A1", "编辑")</f>
        <v/>
      </c>
      <c r="D83" s="54" t="inlineStr">
        <is>
          <t>1队</t>
        </is>
      </c>
      <c r="E83" s="79">
        <f t="array" ref="E83">INDIRECT("'"&amp;$A84&amp;"'!I2")</f>
        <v/>
      </c>
      <c r="F83" s="29">
        <f t="array" ref="F83">INDIRECT("'"&amp;$A83&amp;"'!C8")</f>
        <v/>
      </c>
      <c r="G83" s="30">
        <f t="array" ref="G83">INDIRECT("'"&amp;$A83&amp;"'!D8")</f>
        <v/>
      </c>
      <c r="H83" s="30">
        <f t="array" ref="H83">INDIRECT("'"&amp;$A83&amp;"'!E8")</f>
        <v/>
      </c>
      <c r="I83" s="30">
        <f t="array" ref="I83">INDIRECT("'"&amp;$A83&amp;"'!F8")</f>
        <v/>
      </c>
      <c r="J83" s="30">
        <f t="array" ref="J83">INDIRECT("'"&amp;$A83&amp;"'!G8")</f>
        <v/>
      </c>
      <c r="K83" s="30">
        <f t="array" ref="K83">INDIRECT("'"&amp;$A83&amp;"'!H8")</f>
        <v/>
      </c>
      <c r="L83" s="30">
        <f t="array" ref="L83">INDIRECT("'"&amp;$A83&amp;"'!I8")</f>
        <v/>
      </c>
      <c r="M83" s="30">
        <f t="array" ref="M83">INDIRECT("'"&amp;$A83&amp;"'!J8")</f>
        <v/>
      </c>
      <c r="N83" s="30">
        <f t="array" ref="N83">INDIRECT("'"&amp;$A83&amp;"'!K8")</f>
        <v/>
      </c>
      <c r="O83" s="30">
        <f t="array" ref="O83">INDIRECT("'"&amp;$A83&amp;"'!L8")</f>
        <v/>
      </c>
      <c r="P83" s="30">
        <f t="array" ref="P83">INDIRECT("'"&amp;$A83&amp;"'!M8")</f>
        <v/>
      </c>
      <c r="Q83" s="30">
        <f t="array" ref="Q83">INDIRECT("'"&amp;$A83&amp;"'!N8")</f>
        <v/>
      </c>
      <c r="R83" s="30">
        <f t="array" ref="R83">INDIRECT("'"&amp;$A83&amp;"'!O8")</f>
        <v/>
      </c>
      <c r="S83" s="30">
        <f t="array" ref="S83">INDIRECT("'"&amp;$A83&amp;"'!P8")</f>
        <v/>
      </c>
      <c r="T83" s="30">
        <f t="array" ref="T83">INDIRECT("'"&amp;$A83&amp;"'!Q8")</f>
        <v/>
      </c>
      <c r="U83" s="30">
        <f t="array" ref="U83">INDIRECT("'"&amp;$A83&amp;"'!R8")</f>
        <v/>
      </c>
      <c r="V83" s="30">
        <f t="array" ref="V83">INDIRECT("'"&amp;$A83&amp;"'!S8")</f>
        <v/>
      </c>
      <c r="W83" s="30">
        <f t="array" ref="W83">INDIRECT("'"&amp;$A83&amp;"'!T8")</f>
        <v/>
      </c>
      <c r="X83" s="30">
        <f t="array" ref="X83">INDIRECT("'"&amp;$A83&amp;"'!U8")</f>
        <v/>
      </c>
      <c r="Y83" s="30">
        <f t="array" ref="Y83">INDIRECT("'"&amp;$A83&amp;"'!V8")</f>
        <v/>
      </c>
      <c r="Z83" s="30">
        <f t="array" ref="Z83">INDIRECT("'"&amp;$A83&amp;"'!W8")</f>
        <v/>
      </c>
      <c r="AA83" s="30">
        <f t="array" ref="AA83">INDIRECT("'"&amp;$A83&amp;"'!X8")</f>
        <v/>
      </c>
      <c r="AB83" s="30">
        <f t="array" ref="AB83">INDIRECT("'"&amp;$A83&amp;"'!Y8")</f>
        <v/>
      </c>
      <c r="AC83" s="30">
        <f t="array" ref="AC83">INDIRECT("'"&amp;$A83&amp;"'!Z8")</f>
        <v/>
      </c>
      <c r="AD83" s="31">
        <f t="array" ref="AD83">INDIRECT("'"&amp;$A83&amp;"'!AA8")</f>
        <v/>
      </c>
      <c r="AE83" s="79">
        <f t="array" ref="AE83">INDIRECT("'"&amp;$A84&amp;"'!J2")</f>
        <v/>
      </c>
      <c r="AF83" s="53">
        <f t="array" ref="AF83">INDIRECT("'"&amp;$A84&amp;"'!AD1")</f>
        <v/>
      </c>
    </row>
    <row r="84">
      <c r="A84" s="58" t="n">
        <v>28</v>
      </c>
      <c r="B84" s="105" t="n"/>
      <c r="C84" s="67">
        <f t="array" ref="C84">CONCATENATE("粮 ",INDIRECT("'"&amp;$A84&amp;"'!D4"))</f>
        <v/>
      </c>
      <c r="D84" s="55" t="inlineStr">
        <is>
          <t>2队</t>
        </is>
      </c>
      <c r="E84" s="80">
        <f t="array" ref="E84">INDIRECT("'"&amp;$A84&amp;"'!I3")</f>
        <v/>
      </c>
      <c r="F84" s="52">
        <f t="array" ref="F84">INDIRECT("'"&amp;$A84&amp;"'!C11")</f>
        <v/>
      </c>
      <c r="G84" s="3">
        <f t="array" ref="G84">INDIRECT("'"&amp;$A84&amp;"'!D11")</f>
        <v/>
      </c>
      <c r="H84" s="3">
        <f t="array" ref="H84">INDIRECT("'"&amp;$A84&amp;"'!E11")</f>
        <v/>
      </c>
      <c r="I84" s="3">
        <f t="array" ref="I84">INDIRECT("'"&amp;$A84&amp;"'!F11")</f>
        <v/>
      </c>
      <c r="J84" s="3">
        <f t="array" ref="J84">INDIRECT("'"&amp;$A84&amp;"'!G11")</f>
        <v/>
      </c>
      <c r="K84" s="3">
        <f t="array" ref="K84">INDIRECT("'"&amp;$A84&amp;"'!H11")</f>
        <v/>
      </c>
      <c r="L84" s="3">
        <f t="array" ref="L84">INDIRECT("'"&amp;$A84&amp;"'!I11")</f>
        <v/>
      </c>
      <c r="M84" s="3">
        <f t="array" ref="M84">INDIRECT("'"&amp;$A84&amp;"'!J11")</f>
        <v/>
      </c>
      <c r="N84" s="3">
        <f t="array" ref="N84">INDIRECT("'"&amp;$A84&amp;"'!K11")</f>
        <v/>
      </c>
      <c r="O84" s="3">
        <f t="array" ref="O84">INDIRECT("'"&amp;$A84&amp;"'!L11")</f>
        <v/>
      </c>
      <c r="P84" s="3">
        <f t="array" ref="P84">INDIRECT("'"&amp;$A84&amp;"'!M11")</f>
        <v/>
      </c>
      <c r="Q84" s="3">
        <f t="array" ref="Q84">INDIRECT("'"&amp;$A84&amp;"'!N11")</f>
        <v/>
      </c>
      <c r="R84" s="3">
        <f t="array" ref="R84">INDIRECT("'"&amp;$A84&amp;"'!O11")</f>
        <v/>
      </c>
      <c r="S84" s="3">
        <f t="array" ref="S84">INDIRECT("'"&amp;$A84&amp;"'!P11")</f>
        <v/>
      </c>
      <c r="T84" s="3">
        <f t="array" ref="T84">INDIRECT("'"&amp;$A84&amp;"'!Q11")</f>
        <v/>
      </c>
      <c r="U84" s="3">
        <f t="array" ref="U84">INDIRECT("'"&amp;$A84&amp;"'!R11")</f>
        <v/>
      </c>
      <c r="V84" s="3">
        <f t="array" ref="V84">INDIRECT("'"&amp;$A84&amp;"'!S11")</f>
        <v/>
      </c>
      <c r="W84" s="3">
        <f t="array" ref="W84">INDIRECT("'"&amp;$A84&amp;"'!T11")</f>
        <v/>
      </c>
      <c r="X84" s="3">
        <f t="array" ref="X84">INDIRECT("'"&amp;$A84&amp;"'!U11")</f>
        <v/>
      </c>
      <c r="Y84" s="3">
        <f t="array" ref="Y84">INDIRECT("'"&amp;$A84&amp;"'!V11")</f>
        <v/>
      </c>
      <c r="Z84" s="3">
        <f t="array" ref="Z84">INDIRECT("'"&amp;$A84&amp;"'!W11")</f>
        <v/>
      </c>
      <c r="AA84" s="3">
        <f t="array" ref="AA84">INDIRECT("'"&amp;$A84&amp;"'!X11")</f>
        <v/>
      </c>
      <c r="AB84" s="3">
        <f t="array" ref="AB84">INDIRECT("'"&amp;$A84&amp;"'!Y11")</f>
        <v/>
      </c>
      <c r="AC84" s="3">
        <f t="array" ref="AC84">INDIRECT("'"&amp;$A84&amp;"'!Z11")</f>
        <v/>
      </c>
      <c r="AD84" s="32">
        <f t="array" ref="AD84">INDIRECT("'"&amp;$A84&amp;"'!AA11")</f>
        <v/>
      </c>
      <c r="AE84" s="80">
        <f t="array" ref="AE84">INDIRECT("'"&amp;$A84&amp;"'!J3")</f>
        <v/>
      </c>
      <c r="AF84" s="53">
        <f t="array" ref="AF84">INDIRECT("'"&amp;$A84&amp;"'!AC1")</f>
        <v/>
      </c>
    </row>
    <row r="85" ht="15.75" customHeight="1" thickBot="1">
      <c r="A85" s="58" t="n">
        <v>28</v>
      </c>
      <c r="B85" s="106" t="n"/>
      <c r="C85" s="77">
        <f t="array" ref="C85">CONCATENATE("分 ",INDIRECT("'"&amp;$A84&amp;"'!D6"))</f>
        <v/>
      </c>
      <c r="D85" s="56" t="inlineStr">
        <is>
          <t>3队</t>
        </is>
      </c>
      <c r="E85" s="81">
        <f t="array" ref="E85">INDIRECT("'"&amp;$A84&amp;"'!I4")</f>
        <v/>
      </c>
      <c r="F85" s="52">
        <f t="array" ref="F85">INDIRECT("'"&amp;$A85&amp;"'!C14")</f>
        <v/>
      </c>
      <c r="G85" s="3">
        <f t="array" ref="G85">INDIRECT("'"&amp;$A85&amp;"'!D14")</f>
        <v/>
      </c>
      <c r="H85" s="3">
        <f t="array" ref="H85">INDIRECT("'"&amp;$A85&amp;"'!E14")</f>
        <v/>
      </c>
      <c r="I85" s="3">
        <f t="array" ref="I85">INDIRECT("'"&amp;$A85&amp;"'!F14")</f>
        <v/>
      </c>
      <c r="J85" s="3">
        <f t="array" ref="J85">INDIRECT("'"&amp;$A85&amp;"'!G14")</f>
        <v/>
      </c>
      <c r="K85" s="3">
        <f t="array" ref="K85">INDIRECT("'"&amp;$A85&amp;"'!H14")</f>
        <v/>
      </c>
      <c r="L85" s="3">
        <f t="array" ref="L85">INDIRECT("'"&amp;$A85&amp;"'!I14")</f>
        <v/>
      </c>
      <c r="M85" s="3">
        <f t="array" ref="M85">INDIRECT("'"&amp;$A85&amp;"'!J14")</f>
        <v/>
      </c>
      <c r="N85" s="3">
        <f t="array" ref="N85">INDIRECT("'"&amp;$A85&amp;"'!K14")</f>
        <v/>
      </c>
      <c r="O85" s="3">
        <f t="array" ref="O85">INDIRECT("'"&amp;$A85&amp;"'!L14")</f>
        <v/>
      </c>
      <c r="P85" s="3">
        <f t="array" ref="P85">INDIRECT("'"&amp;$A85&amp;"'!M14")</f>
        <v/>
      </c>
      <c r="Q85" s="3">
        <f t="array" ref="Q85">INDIRECT("'"&amp;$A85&amp;"'!N14")</f>
        <v/>
      </c>
      <c r="R85" s="3">
        <f t="array" ref="R85">INDIRECT("'"&amp;$A85&amp;"'!O14")</f>
        <v/>
      </c>
      <c r="S85" s="3">
        <f t="array" ref="S85">INDIRECT("'"&amp;$A85&amp;"'!P14")</f>
        <v/>
      </c>
      <c r="T85" s="3">
        <f t="array" ref="T85">INDIRECT("'"&amp;$A85&amp;"'!Q14")</f>
        <v/>
      </c>
      <c r="U85" s="3">
        <f t="array" ref="U85">INDIRECT("'"&amp;$A85&amp;"'!R14")</f>
        <v/>
      </c>
      <c r="V85" s="3">
        <f t="array" ref="V85">INDIRECT("'"&amp;$A85&amp;"'!S14")</f>
        <v/>
      </c>
      <c r="W85" s="3">
        <f t="array" ref="W85">INDIRECT("'"&amp;$A85&amp;"'!T14")</f>
        <v/>
      </c>
      <c r="X85" s="3">
        <f t="array" ref="X85">INDIRECT("'"&amp;$A85&amp;"'!U14")</f>
        <v/>
      </c>
      <c r="Y85" s="3">
        <f t="array" ref="Y85">INDIRECT("'"&amp;$A85&amp;"'!V14")</f>
        <v/>
      </c>
      <c r="Z85" s="3">
        <f t="array" ref="Z85">INDIRECT("'"&amp;$A85&amp;"'!W14")</f>
        <v/>
      </c>
      <c r="AA85" s="3">
        <f t="array" ref="AA85">INDIRECT("'"&amp;$A85&amp;"'!X14")</f>
        <v/>
      </c>
      <c r="AB85" s="3">
        <f t="array" ref="AB85">INDIRECT("'"&amp;$A85&amp;"'!Y14")</f>
        <v/>
      </c>
      <c r="AC85" s="3">
        <f t="array" ref="AC85">INDIRECT("'"&amp;$A85&amp;"'!Z14")</f>
        <v/>
      </c>
      <c r="AD85" s="32">
        <f t="array" ref="AD85">INDIRECT("'"&amp;$A85&amp;"'!AA14")</f>
        <v/>
      </c>
      <c r="AE85" s="81">
        <f t="array" ref="AE85">INDIRECT("'"&amp;$A84&amp;"'!J4")</f>
        <v/>
      </c>
      <c r="AF85" s="53" t="n"/>
    </row>
    <row r="86">
      <c r="A86" s="58" t="n">
        <v>29</v>
      </c>
      <c r="B86" s="103">
        <f>INDEX(data!$I$2:$I$98,MATCH(A86*1,data!$G$2:$G$98,0))</f>
        <v/>
      </c>
      <c r="C86" s="66">
        <f>HYPERLINK("#'" &amp; A86 &amp; "'!A1", "编辑")</f>
        <v/>
      </c>
      <c r="D86" s="54" t="inlineStr">
        <is>
          <t>1队</t>
        </is>
      </c>
      <c r="E86" s="79">
        <f t="array" ref="E86">INDIRECT("'"&amp;$A87&amp;"'!I2")</f>
        <v/>
      </c>
      <c r="F86" s="29">
        <f t="array" ref="F86">INDIRECT("'"&amp;$A86&amp;"'!C8")</f>
        <v/>
      </c>
      <c r="G86" s="30">
        <f t="array" ref="G86">INDIRECT("'"&amp;$A86&amp;"'!D8")</f>
        <v/>
      </c>
      <c r="H86" s="30">
        <f t="array" ref="H86">INDIRECT("'"&amp;$A86&amp;"'!E8")</f>
        <v/>
      </c>
      <c r="I86" s="30">
        <f t="array" ref="I86">INDIRECT("'"&amp;$A86&amp;"'!F8")</f>
        <v/>
      </c>
      <c r="J86" s="30">
        <f t="array" ref="J86">INDIRECT("'"&amp;$A86&amp;"'!G8")</f>
        <v/>
      </c>
      <c r="K86" s="30">
        <f t="array" ref="K86">INDIRECT("'"&amp;$A86&amp;"'!H8")</f>
        <v/>
      </c>
      <c r="L86" s="30">
        <f t="array" ref="L86">INDIRECT("'"&amp;$A86&amp;"'!I8")</f>
        <v/>
      </c>
      <c r="M86" s="30">
        <f t="array" ref="M86">INDIRECT("'"&amp;$A86&amp;"'!J8")</f>
        <v/>
      </c>
      <c r="N86" s="30">
        <f t="array" ref="N86">INDIRECT("'"&amp;$A86&amp;"'!K8")</f>
        <v/>
      </c>
      <c r="O86" s="30">
        <f t="array" ref="O86">INDIRECT("'"&amp;$A86&amp;"'!L8")</f>
        <v/>
      </c>
      <c r="P86" s="30">
        <f t="array" ref="P86">INDIRECT("'"&amp;$A86&amp;"'!M8")</f>
        <v/>
      </c>
      <c r="Q86" s="30">
        <f t="array" ref="Q86">INDIRECT("'"&amp;$A86&amp;"'!N8")</f>
        <v/>
      </c>
      <c r="R86" s="30">
        <f t="array" ref="R86">INDIRECT("'"&amp;$A86&amp;"'!O8")</f>
        <v/>
      </c>
      <c r="S86" s="30">
        <f t="array" ref="S86">INDIRECT("'"&amp;$A86&amp;"'!P8")</f>
        <v/>
      </c>
      <c r="T86" s="30">
        <f t="array" ref="T86">INDIRECT("'"&amp;$A86&amp;"'!Q8")</f>
        <v/>
      </c>
      <c r="U86" s="30">
        <f t="array" ref="U86">INDIRECT("'"&amp;$A86&amp;"'!R8")</f>
        <v/>
      </c>
      <c r="V86" s="30">
        <f t="array" ref="V86">INDIRECT("'"&amp;$A86&amp;"'!S8")</f>
        <v/>
      </c>
      <c r="W86" s="30">
        <f t="array" ref="W86">INDIRECT("'"&amp;$A86&amp;"'!T8")</f>
        <v/>
      </c>
      <c r="X86" s="30">
        <f t="array" ref="X86">INDIRECT("'"&amp;$A86&amp;"'!U8")</f>
        <v/>
      </c>
      <c r="Y86" s="30">
        <f t="array" ref="Y86">INDIRECT("'"&amp;$A86&amp;"'!V8")</f>
        <v/>
      </c>
      <c r="Z86" s="30">
        <f t="array" ref="Z86">INDIRECT("'"&amp;$A86&amp;"'!W8")</f>
        <v/>
      </c>
      <c r="AA86" s="30">
        <f t="array" ref="AA86">INDIRECT("'"&amp;$A86&amp;"'!X8")</f>
        <v/>
      </c>
      <c r="AB86" s="30">
        <f t="array" ref="AB86">INDIRECT("'"&amp;$A86&amp;"'!Y8")</f>
        <v/>
      </c>
      <c r="AC86" s="30">
        <f t="array" ref="AC86">INDIRECT("'"&amp;$A86&amp;"'!Z8")</f>
        <v/>
      </c>
      <c r="AD86" s="31">
        <f t="array" ref="AD86">INDIRECT("'"&amp;$A86&amp;"'!AA8")</f>
        <v/>
      </c>
      <c r="AE86" s="79">
        <f t="array" ref="AE86">INDIRECT("'"&amp;$A87&amp;"'!J2")</f>
        <v/>
      </c>
      <c r="AF86" s="53">
        <f t="array" ref="AF86">INDIRECT("'"&amp;$A87&amp;"'!AD1")</f>
        <v/>
      </c>
    </row>
    <row r="87">
      <c r="A87" s="58" t="n">
        <v>29</v>
      </c>
      <c r="B87" s="105" t="n"/>
      <c r="C87" s="67">
        <f t="array" ref="C87">CONCATENATE("粮 ",INDIRECT("'"&amp;$A87&amp;"'!D4"))</f>
        <v/>
      </c>
      <c r="D87" s="55" t="inlineStr">
        <is>
          <t>2队</t>
        </is>
      </c>
      <c r="E87" s="80">
        <f t="array" ref="E87">INDIRECT("'"&amp;$A87&amp;"'!I3")</f>
        <v/>
      </c>
      <c r="F87" s="52">
        <f t="array" ref="F87">INDIRECT("'"&amp;$A87&amp;"'!C11")</f>
        <v/>
      </c>
      <c r="G87" s="3">
        <f t="array" ref="G87">INDIRECT("'"&amp;$A87&amp;"'!D11")</f>
        <v/>
      </c>
      <c r="H87" s="3">
        <f t="array" ref="H87">INDIRECT("'"&amp;$A87&amp;"'!E11")</f>
        <v/>
      </c>
      <c r="I87" s="3">
        <f t="array" ref="I87">INDIRECT("'"&amp;$A87&amp;"'!F11")</f>
        <v/>
      </c>
      <c r="J87" s="3">
        <f t="array" ref="J87">INDIRECT("'"&amp;$A87&amp;"'!G11")</f>
        <v/>
      </c>
      <c r="K87" s="3">
        <f t="array" ref="K87">INDIRECT("'"&amp;$A87&amp;"'!H11")</f>
        <v/>
      </c>
      <c r="L87" s="3">
        <f t="array" ref="L87">INDIRECT("'"&amp;$A87&amp;"'!I11")</f>
        <v/>
      </c>
      <c r="M87" s="3">
        <f t="array" ref="M87">INDIRECT("'"&amp;$A87&amp;"'!J11")</f>
        <v/>
      </c>
      <c r="N87" s="3">
        <f t="array" ref="N87">INDIRECT("'"&amp;$A87&amp;"'!K11")</f>
        <v/>
      </c>
      <c r="O87" s="3">
        <f t="array" ref="O87">INDIRECT("'"&amp;$A87&amp;"'!L11")</f>
        <v/>
      </c>
      <c r="P87" s="3">
        <f t="array" ref="P87">INDIRECT("'"&amp;$A87&amp;"'!M11")</f>
        <v/>
      </c>
      <c r="Q87" s="3">
        <f t="array" ref="Q87">INDIRECT("'"&amp;$A87&amp;"'!N11")</f>
        <v/>
      </c>
      <c r="R87" s="3">
        <f t="array" ref="R87">INDIRECT("'"&amp;$A87&amp;"'!O11")</f>
        <v/>
      </c>
      <c r="S87" s="3">
        <f t="array" ref="S87">INDIRECT("'"&amp;$A87&amp;"'!P11")</f>
        <v/>
      </c>
      <c r="T87" s="3">
        <f t="array" ref="T87">INDIRECT("'"&amp;$A87&amp;"'!Q11")</f>
        <v/>
      </c>
      <c r="U87" s="3">
        <f t="array" ref="U87">INDIRECT("'"&amp;$A87&amp;"'!R11")</f>
        <v/>
      </c>
      <c r="V87" s="3">
        <f t="array" ref="V87">INDIRECT("'"&amp;$A87&amp;"'!S11")</f>
        <v/>
      </c>
      <c r="W87" s="3">
        <f t="array" ref="W87">INDIRECT("'"&amp;$A87&amp;"'!T11")</f>
        <v/>
      </c>
      <c r="X87" s="3">
        <f t="array" ref="X87">INDIRECT("'"&amp;$A87&amp;"'!U11")</f>
        <v/>
      </c>
      <c r="Y87" s="3">
        <f t="array" ref="Y87">INDIRECT("'"&amp;$A87&amp;"'!V11")</f>
        <v/>
      </c>
      <c r="Z87" s="3">
        <f t="array" ref="Z87">INDIRECT("'"&amp;$A87&amp;"'!W11")</f>
        <v/>
      </c>
      <c r="AA87" s="3">
        <f t="array" ref="AA87">INDIRECT("'"&amp;$A87&amp;"'!X11")</f>
        <v/>
      </c>
      <c r="AB87" s="3">
        <f t="array" ref="AB87">INDIRECT("'"&amp;$A87&amp;"'!Y11")</f>
        <v/>
      </c>
      <c r="AC87" s="3">
        <f t="array" ref="AC87">INDIRECT("'"&amp;$A87&amp;"'!Z11")</f>
        <v/>
      </c>
      <c r="AD87" s="32">
        <f t="array" ref="AD87">INDIRECT("'"&amp;$A87&amp;"'!AA11")</f>
        <v/>
      </c>
      <c r="AE87" s="80">
        <f t="array" ref="AE87">INDIRECT("'"&amp;$A87&amp;"'!J3")</f>
        <v/>
      </c>
      <c r="AF87" s="53">
        <f t="array" ref="AF87">INDIRECT("'"&amp;$A87&amp;"'!AC1")</f>
        <v/>
      </c>
    </row>
    <row r="88" ht="15.75" customHeight="1" thickBot="1">
      <c r="A88" s="58" t="n">
        <v>29</v>
      </c>
      <c r="B88" s="106" t="n"/>
      <c r="C88" s="77">
        <f t="array" ref="C88">CONCATENATE("分 ",INDIRECT("'"&amp;$A87&amp;"'!D6"))</f>
        <v/>
      </c>
      <c r="D88" s="56" t="inlineStr">
        <is>
          <t>3队</t>
        </is>
      </c>
      <c r="E88" s="81">
        <f t="array" ref="E88">INDIRECT("'"&amp;$A87&amp;"'!I4")</f>
        <v/>
      </c>
      <c r="F88" s="52">
        <f t="array" ref="F88">INDIRECT("'"&amp;$A88&amp;"'!C14")</f>
        <v/>
      </c>
      <c r="G88" s="3">
        <f t="array" ref="G88">INDIRECT("'"&amp;$A88&amp;"'!D14")</f>
        <v/>
      </c>
      <c r="H88" s="3">
        <f t="array" ref="H88">INDIRECT("'"&amp;$A88&amp;"'!E14")</f>
        <v/>
      </c>
      <c r="I88" s="3">
        <f t="array" ref="I88">INDIRECT("'"&amp;$A88&amp;"'!F14")</f>
        <v/>
      </c>
      <c r="J88" s="3">
        <f t="array" ref="J88">INDIRECT("'"&amp;$A88&amp;"'!G14")</f>
        <v/>
      </c>
      <c r="K88" s="3">
        <f t="array" ref="K88">INDIRECT("'"&amp;$A88&amp;"'!H14")</f>
        <v/>
      </c>
      <c r="L88" s="3">
        <f t="array" ref="L88">INDIRECT("'"&amp;$A88&amp;"'!I14")</f>
        <v/>
      </c>
      <c r="M88" s="3">
        <f t="array" ref="M88">INDIRECT("'"&amp;$A88&amp;"'!J14")</f>
        <v/>
      </c>
      <c r="N88" s="3">
        <f t="array" ref="N88">INDIRECT("'"&amp;$A88&amp;"'!K14")</f>
        <v/>
      </c>
      <c r="O88" s="3">
        <f t="array" ref="O88">INDIRECT("'"&amp;$A88&amp;"'!L14")</f>
        <v/>
      </c>
      <c r="P88" s="3">
        <f t="array" ref="P88">INDIRECT("'"&amp;$A88&amp;"'!M14")</f>
        <v/>
      </c>
      <c r="Q88" s="3">
        <f t="array" ref="Q88">INDIRECT("'"&amp;$A88&amp;"'!N14")</f>
        <v/>
      </c>
      <c r="R88" s="3">
        <f t="array" ref="R88">INDIRECT("'"&amp;$A88&amp;"'!O14")</f>
        <v/>
      </c>
      <c r="S88" s="3">
        <f t="array" ref="S88">INDIRECT("'"&amp;$A88&amp;"'!P14")</f>
        <v/>
      </c>
      <c r="T88" s="3">
        <f t="array" ref="T88">INDIRECT("'"&amp;$A88&amp;"'!Q14")</f>
        <v/>
      </c>
      <c r="U88" s="3">
        <f t="array" ref="U88">INDIRECT("'"&amp;$A88&amp;"'!R14")</f>
        <v/>
      </c>
      <c r="V88" s="3">
        <f t="array" ref="V88">INDIRECT("'"&amp;$A88&amp;"'!S14")</f>
        <v/>
      </c>
      <c r="W88" s="3">
        <f t="array" ref="W88">INDIRECT("'"&amp;$A88&amp;"'!T14")</f>
        <v/>
      </c>
      <c r="X88" s="3">
        <f t="array" ref="X88">INDIRECT("'"&amp;$A88&amp;"'!U14")</f>
        <v/>
      </c>
      <c r="Y88" s="3">
        <f t="array" ref="Y88">INDIRECT("'"&amp;$A88&amp;"'!V14")</f>
        <v/>
      </c>
      <c r="Z88" s="3">
        <f t="array" ref="Z88">INDIRECT("'"&amp;$A88&amp;"'!W14")</f>
        <v/>
      </c>
      <c r="AA88" s="3">
        <f t="array" ref="AA88">INDIRECT("'"&amp;$A88&amp;"'!X14")</f>
        <v/>
      </c>
      <c r="AB88" s="3">
        <f t="array" ref="AB88">INDIRECT("'"&amp;$A88&amp;"'!Y14")</f>
        <v/>
      </c>
      <c r="AC88" s="3">
        <f t="array" ref="AC88">INDIRECT("'"&amp;$A88&amp;"'!Z14")</f>
        <v/>
      </c>
      <c r="AD88" s="32">
        <f t="array" ref="AD88">INDIRECT("'"&amp;$A88&amp;"'!AA14")</f>
        <v/>
      </c>
      <c r="AE88" s="81">
        <f t="array" ref="AE88">INDIRECT("'"&amp;$A87&amp;"'!J4")</f>
        <v/>
      </c>
      <c r="AF88" s="53" t="n"/>
    </row>
    <row r="89">
      <c r="A89" s="58" t="n">
        <v>30</v>
      </c>
      <c r="B89" s="103">
        <f>INDEX(data!$I$2:$I$98,MATCH(A89*1,data!$G$2:$G$98,0))</f>
        <v/>
      </c>
      <c r="C89" s="66">
        <f>HYPERLINK("#'" &amp; A89 &amp; "'!A1", "编辑")</f>
        <v/>
      </c>
      <c r="D89" s="54" t="inlineStr">
        <is>
          <t>1队</t>
        </is>
      </c>
      <c r="E89" s="79">
        <f t="array" ref="E89">INDIRECT("'"&amp;$A90&amp;"'!I2")</f>
        <v/>
      </c>
      <c r="F89" s="29">
        <f t="array" ref="F89">INDIRECT("'"&amp;$A89&amp;"'!C8")</f>
        <v/>
      </c>
      <c r="G89" s="30">
        <f t="array" ref="G89">INDIRECT("'"&amp;$A89&amp;"'!D8")</f>
        <v/>
      </c>
      <c r="H89" s="30">
        <f t="array" ref="H89">INDIRECT("'"&amp;$A89&amp;"'!E8")</f>
        <v/>
      </c>
      <c r="I89" s="30">
        <f t="array" ref="I89">INDIRECT("'"&amp;$A89&amp;"'!F8")</f>
        <v/>
      </c>
      <c r="J89" s="30">
        <f t="array" ref="J89">INDIRECT("'"&amp;$A89&amp;"'!G8")</f>
        <v/>
      </c>
      <c r="K89" s="30">
        <f t="array" ref="K89">INDIRECT("'"&amp;$A89&amp;"'!H8")</f>
        <v/>
      </c>
      <c r="L89" s="30">
        <f t="array" ref="L89">INDIRECT("'"&amp;$A89&amp;"'!I8")</f>
        <v/>
      </c>
      <c r="M89" s="30">
        <f t="array" ref="M89">INDIRECT("'"&amp;$A89&amp;"'!J8")</f>
        <v/>
      </c>
      <c r="N89" s="30">
        <f t="array" ref="N89">INDIRECT("'"&amp;$A89&amp;"'!K8")</f>
        <v/>
      </c>
      <c r="O89" s="30">
        <f t="array" ref="O89">INDIRECT("'"&amp;$A89&amp;"'!L8")</f>
        <v/>
      </c>
      <c r="P89" s="30">
        <f t="array" ref="P89">INDIRECT("'"&amp;$A89&amp;"'!M8")</f>
        <v/>
      </c>
      <c r="Q89" s="30">
        <f t="array" ref="Q89">INDIRECT("'"&amp;$A89&amp;"'!N8")</f>
        <v/>
      </c>
      <c r="R89" s="30">
        <f t="array" ref="R89">INDIRECT("'"&amp;$A89&amp;"'!O8")</f>
        <v/>
      </c>
      <c r="S89" s="30">
        <f t="array" ref="S89">INDIRECT("'"&amp;$A89&amp;"'!P8")</f>
        <v/>
      </c>
      <c r="T89" s="30">
        <f t="array" ref="T89">INDIRECT("'"&amp;$A89&amp;"'!Q8")</f>
        <v/>
      </c>
      <c r="U89" s="30">
        <f t="array" ref="U89">INDIRECT("'"&amp;$A89&amp;"'!R8")</f>
        <v/>
      </c>
      <c r="V89" s="30">
        <f t="array" ref="V89">INDIRECT("'"&amp;$A89&amp;"'!S8")</f>
        <v/>
      </c>
      <c r="W89" s="30">
        <f t="array" ref="W89">INDIRECT("'"&amp;$A89&amp;"'!T8")</f>
        <v/>
      </c>
      <c r="X89" s="30">
        <f t="array" ref="X89">INDIRECT("'"&amp;$A89&amp;"'!U8")</f>
        <v/>
      </c>
      <c r="Y89" s="30">
        <f t="array" ref="Y89">INDIRECT("'"&amp;$A89&amp;"'!V8")</f>
        <v/>
      </c>
      <c r="Z89" s="30">
        <f t="array" ref="Z89">INDIRECT("'"&amp;$A89&amp;"'!W8")</f>
        <v/>
      </c>
      <c r="AA89" s="30">
        <f t="array" ref="AA89">INDIRECT("'"&amp;$A89&amp;"'!X8")</f>
        <v/>
      </c>
      <c r="AB89" s="30">
        <f t="array" ref="AB89">INDIRECT("'"&amp;$A89&amp;"'!Y8")</f>
        <v/>
      </c>
      <c r="AC89" s="30">
        <f t="array" ref="AC89">INDIRECT("'"&amp;$A89&amp;"'!Z8")</f>
        <v/>
      </c>
      <c r="AD89" s="31">
        <f t="array" ref="AD89">INDIRECT("'"&amp;$A89&amp;"'!AA8")</f>
        <v/>
      </c>
      <c r="AE89" s="79">
        <f t="array" ref="AE89">INDIRECT("'"&amp;$A90&amp;"'!J2")</f>
        <v/>
      </c>
      <c r="AF89" s="53">
        <f t="array" ref="AF89">INDIRECT("'"&amp;$A90&amp;"'!AD1")</f>
        <v/>
      </c>
    </row>
    <row r="90">
      <c r="A90" s="58" t="n">
        <v>30</v>
      </c>
      <c r="B90" s="105" t="n"/>
      <c r="C90" s="67">
        <f t="array" ref="C90">CONCATENATE("粮 ",INDIRECT("'"&amp;$A90&amp;"'!D4"))</f>
        <v/>
      </c>
      <c r="D90" s="55" t="inlineStr">
        <is>
          <t>2队</t>
        </is>
      </c>
      <c r="E90" s="80">
        <f t="array" ref="E90">INDIRECT("'"&amp;$A90&amp;"'!I3")</f>
        <v/>
      </c>
      <c r="F90" s="52">
        <f t="array" ref="F90">INDIRECT("'"&amp;$A90&amp;"'!C11")</f>
        <v/>
      </c>
      <c r="G90" s="3">
        <f t="array" ref="G90">INDIRECT("'"&amp;$A90&amp;"'!D11")</f>
        <v/>
      </c>
      <c r="H90" s="3">
        <f t="array" ref="H90">INDIRECT("'"&amp;$A90&amp;"'!E11")</f>
        <v/>
      </c>
      <c r="I90" s="3">
        <f t="array" ref="I90">INDIRECT("'"&amp;$A90&amp;"'!F11")</f>
        <v/>
      </c>
      <c r="J90" s="3">
        <f t="array" ref="J90">INDIRECT("'"&amp;$A90&amp;"'!G11")</f>
        <v/>
      </c>
      <c r="K90" s="3">
        <f t="array" ref="K90">INDIRECT("'"&amp;$A90&amp;"'!H11")</f>
        <v/>
      </c>
      <c r="L90" s="3">
        <f t="array" ref="L90">INDIRECT("'"&amp;$A90&amp;"'!I11")</f>
        <v/>
      </c>
      <c r="M90" s="3">
        <f t="array" ref="M90">INDIRECT("'"&amp;$A90&amp;"'!J11")</f>
        <v/>
      </c>
      <c r="N90" s="3">
        <f t="array" ref="N90">INDIRECT("'"&amp;$A90&amp;"'!K11")</f>
        <v/>
      </c>
      <c r="O90" s="3">
        <f t="array" ref="O90">INDIRECT("'"&amp;$A90&amp;"'!L11")</f>
        <v/>
      </c>
      <c r="P90" s="3">
        <f t="array" ref="P90">INDIRECT("'"&amp;$A90&amp;"'!M11")</f>
        <v/>
      </c>
      <c r="Q90" s="3">
        <f t="array" ref="Q90">INDIRECT("'"&amp;$A90&amp;"'!N11")</f>
        <v/>
      </c>
      <c r="R90" s="3">
        <f t="array" ref="R90">INDIRECT("'"&amp;$A90&amp;"'!O11")</f>
        <v/>
      </c>
      <c r="S90" s="3">
        <f t="array" ref="S90">INDIRECT("'"&amp;$A90&amp;"'!P11")</f>
        <v/>
      </c>
      <c r="T90" s="3">
        <f t="array" ref="T90">INDIRECT("'"&amp;$A90&amp;"'!Q11")</f>
        <v/>
      </c>
      <c r="U90" s="3">
        <f t="array" ref="U90">INDIRECT("'"&amp;$A90&amp;"'!R11")</f>
        <v/>
      </c>
      <c r="V90" s="3">
        <f t="array" ref="V90">INDIRECT("'"&amp;$A90&amp;"'!S11")</f>
        <v/>
      </c>
      <c r="W90" s="3">
        <f t="array" ref="W90">INDIRECT("'"&amp;$A90&amp;"'!T11")</f>
        <v/>
      </c>
      <c r="X90" s="3">
        <f t="array" ref="X90">INDIRECT("'"&amp;$A90&amp;"'!U11")</f>
        <v/>
      </c>
      <c r="Y90" s="3">
        <f t="array" ref="Y90">INDIRECT("'"&amp;$A90&amp;"'!V11")</f>
        <v/>
      </c>
      <c r="Z90" s="3">
        <f t="array" ref="Z90">INDIRECT("'"&amp;$A90&amp;"'!W11")</f>
        <v/>
      </c>
      <c r="AA90" s="3">
        <f t="array" ref="AA90">INDIRECT("'"&amp;$A90&amp;"'!X11")</f>
        <v/>
      </c>
      <c r="AB90" s="3">
        <f t="array" ref="AB90">INDIRECT("'"&amp;$A90&amp;"'!Y11")</f>
        <v/>
      </c>
      <c r="AC90" s="3">
        <f t="array" ref="AC90">INDIRECT("'"&amp;$A90&amp;"'!Z11")</f>
        <v/>
      </c>
      <c r="AD90" s="32">
        <f t="array" ref="AD90">INDIRECT("'"&amp;$A90&amp;"'!AA11")</f>
        <v/>
      </c>
      <c r="AE90" s="80">
        <f t="array" ref="AE90">INDIRECT("'"&amp;$A90&amp;"'!J3")</f>
        <v/>
      </c>
      <c r="AF90" s="53">
        <f t="array" ref="AF90">INDIRECT("'"&amp;$A90&amp;"'!AC1")</f>
        <v/>
      </c>
    </row>
    <row r="91" ht="15.75" customHeight="1" thickBot="1">
      <c r="A91" s="58" t="n">
        <v>30</v>
      </c>
      <c r="B91" s="106" t="n"/>
      <c r="C91" s="77">
        <f t="array" ref="C91">CONCATENATE("分 ",INDIRECT("'"&amp;$A90&amp;"'!D6"))</f>
        <v/>
      </c>
      <c r="D91" s="56" t="inlineStr">
        <is>
          <t>3队</t>
        </is>
      </c>
      <c r="E91" s="81">
        <f t="array" ref="E91">INDIRECT("'"&amp;$A90&amp;"'!I4")</f>
        <v/>
      </c>
      <c r="F91" s="52">
        <f t="array" ref="F91">INDIRECT("'"&amp;$A91&amp;"'!C14")</f>
        <v/>
      </c>
      <c r="G91" s="3">
        <f t="array" ref="G91">INDIRECT("'"&amp;$A91&amp;"'!D14")</f>
        <v/>
      </c>
      <c r="H91" s="3">
        <f t="array" ref="H91">INDIRECT("'"&amp;$A91&amp;"'!E14")</f>
        <v/>
      </c>
      <c r="I91" s="3">
        <f t="array" ref="I91">INDIRECT("'"&amp;$A91&amp;"'!F14")</f>
        <v/>
      </c>
      <c r="J91" s="3">
        <f t="array" ref="J91">INDIRECT("'"&amp;$A91&amp;"'!G14")</f>
        <v/>
      </c>
      <c r="K91" s="3">
        <f t="array" ref="K91">INDIRECT("'"&amp;$A91&amp;"'!H14")</f>
        <v/>
      </c>
      <c r="L91" s="3">
        <f t="array" ref="L91">INDIRECT("'"&amp;$A91&amp;"'!I14")</f>
        <v/>
      </c>
      <c r="M91" s="3">
        <f t="array" ref="M91">INDIRECT("'"&amp;$A91&amp;"'!J14")</f>
        <v/>
      </c>
      <c r="N91" s="3">
        <f t="array" ref="N91">INDIRECT("'"&amp;$A91&amp;"'!K14")</f>
        <v/>
      </c>
      <c r="O91" s="3">
        <f t="array" ref="O91">INDIRECT("'"&amp;$A91&amp;"'!L14")</f>
        <v/>
      </c>
      <c r="P91" s="3">
        <f t="array" ref="P91">INDIRECT("'"&amp;$A91&amp;"'!M14")</f>
        <v/>
      </c>
      <c r="Q91" s="3">
        <f t="array" ref="Q91">INDIRECT("'"&amp;$A91&amp;"'!N14")</f>
        <v/>
      </c>
      <c r="R91" s="3">
        <f t="array" ref="R91">INDIRECT("'"&amp;$A91&amp;"'!O14")</f>
        <v/>
      </c>
      <c r="S91" s="3">
        <f t="array" ref="S91">INDIRECT("'"&amp;$A91&amp;"'!P14")</f>
        <v/>
      </c>
      <c r="T91" s="3">
        <f t="array" ref="T91">INDIRECT("'"&amp;$A91&amp;"'!Q14")</f>
        <v/>
      </c>
      <c r="U91" s="3">
        <f t="array" ref="U91">INDIRECT("'"&amp;$A91&amp;"'!R14")</f>
        <v/>
      </c>
      <c r="V91" s="3">
        <f t="array" ref="V91">INDIRECT("'"&amp;$A91&amp;"'!S14")</f>
        <v/>
      </c>
      <c r="W91" s="3">
        <f t="array" ref="W91">INDIRECT("'"&amp;$A91&amp;"'!T14")</f>
        <v/>
      </c>
      <c r="X91" s="3">
        <f t="array" ref="X91">INDIRECT("'"&amp;$A91&amp;"'!U14")</f>
        <v/>
      </c>
      <c r="Y91" s="3">
        <f t="array" ref="Y91">INDIRECT("'"&amp;$A91&amp;"'!V14")</f>
        <v/>
      </c>
      <c r="Z91" s="3">
        <f t="array" ref="Z91">INDIRECT("'"&amp;$A91&amp;"'!W14")</f>
        <v/>
      </c>
      <c r="AA91" s="3">
        <f t="array" ref="AA91">INDIRECT("'"&amp;$A91&amp;"'!X14")</f>
        <v/>
      </c>
      <c r="AB91" s="3">
        <f t="array" ref="AB91">INDIRECT("'"&amp;$A91&amp;"'!Y14")</f>
        <v/>
      </c>
      <c r="AC91" s="3">
        <f t="array" ref="AC91">INDIRECT("'"&amp;$A91&amp;"'!Z14")</f>
        <v/>
      </c>
      <c r="AD91" s="32">
        <f t="array" ref="AD91">INDIRECT("'"&amp;$A91&amp;"'!AA14")</f>
        <v/>
      </c>
      <c r="AE91" s="81">
        <f t="array" ref="AE91">INDIRECT("'"&amp;$A90&amp;"'!J4")</f>
        <v/>
      </c>
      <c r="AF91" s="53" t="n"/>
    </row>
    <row r="92">
      <c r="A92" s="58" t="n">
        <v>31</v>
      </c>
      <c r="B92" s="103">
        <f>INDEX(data!$I$2:$I$98,MATCH(A92*1,data!$G$2:$G$98,0))</f>
        <v/>
      </c>
      <c r="C92" s="66">
        <f>HYPERLINK("#'" &amp; A92 &amp; "'!A1", "编辑")</f>
        <v/>
      </c>
      <c r="D92" s="54" t="inlineStr">
        <is>
          <t>1队</t>
        </is>
      </c>
      <c r="E92" s="79">
        <f t="array" ref="E92">INDIRECT("'"&amp;$A93&amp;"'!I2")</f>
        <v/>
      </c>
      <c r="F92" s="29">
        <f t="array" ref="F92">INDIRECT("'"&amp;$A92&amp;"'!C8")</f>
        <v/>
      </c>
      <c r="G92" s="30">
        <f t="array" ref="G92">INDIRECT("'"&amp;$A92&amp;"'!D8")</f>
        <v/>
      </c>
      <c r="H92" s="30">
        <f t="array" ref="H92">INDIRECT("'"&amp;$A92&amp;"'!E8")</f>
        <v/>
      </c>
      <c r="I92" s="30">
        <f t="array" ref="I92">INDIRECT("'"&amp;$A92&amp;"'!F8")</f>
        <v/>
      </c>
      <c r="J92" s="30">
        <f t="array" ref="J92">INDIRECT("'"&amp;$A92&amp;"'!G8")</f>
        <v/>
      </c>
      <c r="K92" s="30">
        <f t="array" ref="K92">INDIRECT("'"&amp;$A92&amp;"'!H8")</f>
        <v/>
      </c>
      <c r="L92" s="30">
        <f t="array" ref="L92">INDIRECT("'"&amp;$A92&amp;"'!I8")</f>
        <v/>
      </c>
      <c r="M92" s="30">
        <f t="array" ref="M92">INDIRECT("'"&amp;$A92&amp;"'!J8")</f>
        <v/>
      </c>
      <c r="N92" s="30">
        <f t="array" ref="N92">INDIRECT("'"&amp;$A92&amp;"'!K8")</f>
        <v/>
      </c>
      <c r="O92" s="30">
        <f t="array" ref="O92">INDIRECT("'"&amp;$A92&amp;"'!L8")</f>
        <v/>
      </c>
      <c r="P92" s="30">
        <f t="array" ref="P92">INDIRECT("'"&amp;$A92&amp;"'!M8")</f>
        <v/>
      </c>
      <c r="Q92" s="30">
        <f t="array" ref="Q92">INDIRECT("'"&amp;$A92&amp;"'!N8")</f>
        <v/>
      </c>
      <c r="R92" s="30">
        <f t="array" ref="R92">INDIRECT("'"&amp;$A92&amp;"'!O8")</f>
        <v/>
      </c>
      <c r="S92" s="30">
        <f t="array" ref="S92">INDIRECT("'"&amp;$A92&amp;"'!P8")</f>
        <v/>
      </c>
      <c r="T92" s="30">
        <f t="array" ref="T92">INDIRECT("'"&amp;$A92&amp;"'!Q8")</f>
        <v/>
      </c>
      <c r="U92" s="30">
        <f t="array" ref="U92">INDIRECT("'"&amp;$A92&amp;"'!R8")</f>
        <v/>
      </c>
      <c r="V92" s="30">
        <f t="array" ref="V92">INDIRECT("'"&amp;$A92&amp;"'!S8")</f>
        <v/>
      </c>
      <c r="W92" s="30">
        <f t="array" ref="W92">INDIRECT("'"&amp;$A92&amp;"'!T8")</f>
        <v/>
      </c>
      <c r="X92" s="30">
        <f t="array" ref="X92">INDIRECT("'"&amp;$A92&amp;"'!U8")</f>
        <v/>
      </c>
      <c r="Y92" s="30">
        <f t="array" ref="Y92">INDIRECT("'"&amp;$A92&amp;"'!V8")</f>
        <v/>
      </c>
      <c r="Z92" s="30">
        <f t="array" ref="Z92">INDIRECT("'"&amp;$A92&amp;"'!W8")</f>
        <v/>
      </c>
      <c r="AA92" s="30">
        <f t="array" ref="AA92">INDIRECT("'"&amp;$A92&amp;"'!X8")</f>
        <v/>
      </c>
      <c r="AB92" s="30">
        <f t="array" ref="AB92">INDIRECT("'"&amp;$A92&amp;"'!Y8")</f>
        <v/>
      </c>
      <c r="AC92" s="30">
        <f t="array" ref="AC92">INDIRECT("'"&amp;$A92&amp;"'!Z8")</f>
        <v/>
      </c>
      <c r="AD92" s="31">
        <f t="array" ref="AD92">INDIRECT("'"&amp;$A92&amp;"'!AA8")</f>
        <v/>
      </c>
      <c r="AE92" s="79">
        <f t="array" ref="AE92">INDIRECT("'"&amp;$A93&amp;"'!J2")</f>
        <v/>
      </c>
      <c r="AF92" s="53">
        <f t="array" ref="AF92">INDIRECT("'"&amp;$A93&amp;"'!AD1")</f>
        <v/>
      </c>
    </row>
    <row r="93">
      <c r="A93" s="58" t="n">
        <v>31</v>
      </c>
      <c r="B93" s="105" t="n"/>
      <c r="C93" s="67">
        <f t="array" ref="C93">CONCATENATE("粮 ",INDIRECT("'"&amp;$A93&amp;"'!D4"))</f>
        <v/>
      </c>
      <c r="D93" s="55" t="inlineStr">
        <is>
          <t>2队</t>
        </is>
      </c>
      <c r="E93" s="80">
        <f t="array" ref="E93">INDIRECT("'"&amp;$A93&amp;"'!I3")</f>
        <v/>
      </c>
      <c r="F93" s="52">
        <f t="array" ref="F93">INDIRECT("'"&amp;$A93&amp;"'!C11")</f>
        <v/>
      </c>
      <c r="G93" s="3">
        <f t="array" ref="G93">INDIRECT("'"&amp;$A93&amp;"'!D11")</f>
        <v/>
      </c>
      <c r="H93" s="3">
        <f t="array" ref="H93">INDIRECT("'"&amp;$A93&amp;"'!E11")</f>
        <v/>
      </c>
      <c r="I93" s="3">
        <f t="array" ref="I93">INDIRECT("'"&amp;$A93&amp;"'!F11")</f>
        <v/>
      </c>
      <c r="J93" s="3">
        <f t="array" ref="J93">INDIRECT("'"&amp;$A93&amp;"'!G11")</f>
        <v/>
      </c>
      <c r="K93" s="3">
        <f t="array" ref="K93">INDIRECT("'"&amp;$A93&amp;"'!H11")</f>
        <v/>
      </c>
      <c r="L93" s="3">
        <f t="array" ref="L93">INDIRECT("'"&amp;$A93&amp;"'!I11")</f>
        <v/>
      </c>
      <c r="M93" s="3">
        <f t="array" ref="M93">INDIRECT("'"&amp;$A93&amp;"'!J11")</f>
        <v/>
      </c>
      <c r="N93" s="3">
        <f t="array" ref="N93">INDIRECT("'"&amp;$A93&amp;"'!K11")</f>
        <v/>
      </c>
      <c r="O93" s="3">
        <f t="array" ref="O93">INDIRECT("'"&amp;$A93&amp;"'!L11")</f>
        <v/>
      </c>
      <c r="P93" s="3">
        <f t="array" ref="P93">INDIRECT("'"&amp;$A93&amp;"'!M11")</f>
        <v/>
      </c>
      <c r="Q93" s="3">
        <f t="array" ref="Q93">INDIRECT("'"&amp;$A93&amp;"'!N11")</f>
        <v/>
      </c>
      <c r="R93" s="3">
        <f t="array" ref="R93">INDIRECT("'"&amp;$A93&amp;"'!O11")</f>
        <v/>
      </c>
      <c r="S93" s="3">
        <f t="array" ref="S93">INDIRECT("'"&amp;$A93&amp;"'!P11")</f>
        <v/>
      </c>
      <c r="T93" s="3">
        <f t="array" ref="T93">INDIRECT("'"&amp;$A93&amp;"'!Q11")</f>
        <v/>
      </c>
      <c r="U93" s="3">
        <f t="array" ref="U93">INDIRECT("'"&amp;$A93&amp;"'!R11")</f>
        <v/>
      </c>
      <c r="V93" s="3">
        <f t="array" ref="V93">INDIRECT("'"&amp;$A93&amp;"'!S11")</f>
        <v/>
      </c>
      <c r="W93" s="3">
        <f t="array" ref="W93">INDIRECT("'"&amp;$A93&amp;"'!T11")</f>
        <v/>
      </c>
      <c r="X93" s="3">
        <f t="array" ref="X93">INDIRECT("'"&amp;$A93&amp;"'!U11")</f>
        <v/>
      </c>
      <c r="Y93" s="3">
        <f t="array" ref="Y93">INDIRECT("'"&amp;$A93&amp;"'!V11")</f>
        <v/>
      </c>
      <c r="Z93" s="3">
        <f t="array" ref="Z93">INDIRECT("'"&amp;$A93&amp;"'!W11")</f>
        <v/>
      </c>
      <c r="AA93" s="3">
        <f t="array" ref="AA93">INDIRECT("'"&amp;$A93&amp;"'!X11")</f>
        <v/>
      </c>
      <c r="AB93" s="3">
        <f t="array" ref="AB93">INDIRECT("'"&amp;$A93&amp;"'!Y11")</f>
        <v/>
      </c>
      <c r="AC93" s="3">
        <f t="array" ref="AC93">INDIRECT("'"&amp;$A93&amp;"'!Z11")</f>
        <v/>
      </c>
      <c r="AD93" s="32">
        <f t="array" ref="AD93">INDIRECT("'"&amp;$A93&amp;"'!AA11")</f>
        <v/>
      </c>
      <c r="AE93" s="80">
        <f t="array" ref="AE93">INDIRECT("'"&amp;$A93&amp;"'!J3")</f>
        <v/>
      </c>
      <c r="AF93" s="53">
        <f t="array" ref="AF93">INDIRECT("'"&amp;$A93&amp;"'!AC1")</f>
        <v/>
      </c>
    </row>
    <row r="94" ht="15.75" customHeight="1" thickBot="1">
      <c r="A94" s="58" t="n">
        <v>31</v>
      </c>
      <c r="B94" s="106" t="n"/>
      <c r="C94" s="77">
        <f t="array" ref="C94">CONCATENATE("分 ",INDIRECT("'"&amp;$A93&amp;"'!D6"))</f>
        <v/>
      </c>
      <c r="D94" s="56" t="inlineStr">
        <is>
          <t>3队</t>
        </is>
      </c>
      <c r="E94" s="81">
        <f t="array" ref="E94">INDIRECT("'"&amp;$A93&amp;"'!I4")</f>
        <v/>
      </c>
      <c r="F94" s="52">
        <f t="array" ref="F94">INDIRECT("'"&amp;$A94&amp;"'!C14")</f>
        <v/>
      </c>
      <c r="G94" s="3">
        <f t="array" ref="G94">INDIRECT("'"&amp;$A94&amp;"'!D14")</f>
        <v/>
      </c>
      <c r="H94" s="3">
        <f t="array" ref="H94">INDIRECT("'"&amp;$A94&amp;"'!E14")</f>
        <v/>
      </c>
      <c r="I94" s="3">
        <f t="array" ref="I94">INDIRECT("'"&amp;$A94&amp;"'!F14")</f>
        <v/>
      </c>
      <c r="J94" s="3">
        <f t="array" ref="J94">INDIRECT("'"&amp;$A94&amp;"'!G14")</f>
        <v/>
      </c>
      <c r="K94" s="3">
        <f t="array" ref="K94">INDIRECT("'"&amp;$A94&amp;"'!H14")</f>
        <v/>
      </c>
      <c r="L94" s="3">
        <f t="array" ref="L94">INDIRECT("'"&amp;$A94&amp;"'!I14")</f>
        <v/>
      </c>
      <c r="M94" s="3">
        <f t="array" ref="M94">INDIRECT("'"&amp;$A94&amp;"'!J14")</f>
        <v/>
      </c>
      <c r="N94" s="3">
        <f t="array" ref="N94">INDIRECT("'"&amp;$A94&amp;"'!K14")</f>
        <v/>
      </c>
      <c r="O94" s="3">
        <f t="array" ref="O94">INDIRECT("'"&amp;$A94&amp;"'!L14")</f>
        <v/>
      </c>
      <c r="P94" s="3">
        <f t="array" ref="P94">INDIRECT("'"&amp;$A94&amp;"'!M14")</f>
        <v/>
      </c>
      <c r="Q94" s="3">
        <f t="array" ref="Q94">INDIRECT("'"&amp;$A94&amp;"'!N14")</f>
        <v/>
      </c>
      <c r="R94" s="3">
        <f t="array" ref="R94">INDIRECT("'"&amp;$A94&amp;"'!O14")</f>
        <v/>
      </c>
      <c r="S94" s="3">
        <f t="array" ref="S94">INDIRECT("'"&amp;$A94&amp;"'!P14")</f>
        <v/>
      </c>
      <c r="T94" s="3">
        <f t="array" ref="T94">INDIRECT("'"&amp;$A94&amp;"'!Q14")</f>
        <v/>
      </c>
      <c r="U94" s="3">
        <f t="array" ref="U94">INDIRECT("'"&amp;$A94&amp;"'!R14")</f>
        <v/>
      </c>
      <c r="V94" s="3">
        <f t="array" ref="V94">INDIRECT("'"&amp;$A94&amp;"'!S14")</f>
        <v/>
      </c>
      <c r="W94" s="3">
        <f t="array" ref="W94">INDIRECT("'"&amp;$A94&amp;"'!T14")</f>
        <v/>
      </c>
      <c r="X94" s="3">
        <f t="array" ref="X94">INDIRECT("'"&amp;$A94&amp;"'!U14")</f>
        <v/>
      </c>
      <c r="Y94" s="3">
        <f t="array" ref="Y94">INDIRECT("'"&amp;$A94&amp;"'!V14")</f>
        <v/>
      </c>
      <c r="Z94" s="3">
        <f t="array" ref="Z94">INDIRECT("'"&amp;$A94&amp;"'!W14")</f>
        <v/>
      </c>
      <c r="AA94" s="3">
        <f t="array" ref="AA94">INDIRECT("'"&amp;$A94&amp;"'!X14")</f>
        <v/>
      </c>
      <c r="AB94" s="3">
        <f t="array" ref="AB94">INDIRECT("'"&amp;$A94&amp;"'!Y14")</f>
        <v/>
      </c>
      <c r="AC94" s="3">
        <f t="array" ref="AC94">INDIRECT("'"&amp;$A94&amp;"'!Z14")</f>
        <v/>
      </c>
      <c r="AD94" s="32">
        <f t="array" ref="AD94">INDIRECT("'"&amp;$A94&amp;"'!AA14")</f>
        <v/>
      </c>
      <c r="AE94" s="81">
        <f t="array" ref="AE94">INDIRECT("'"&amp;$A93&amp;"'!J4")</f>
        <v/>
      </c>
      <c r="AF94" s="53" t="n"/>
    </row>
    <row r="95">
      <c r="A95" s="58" t="n">
        <v>32</v>
      </c>
      <c r="B95" s="103">
        <f>INDEX(data!$I$2:$I$98,MATCH(A95*1,data!$G$2:$G$98,0))</f>
        <v/>
      </c>
      <c r="C95" s="66">
        <f>HYPERLINK("#'" &amp; A95 &amp; "'!A1", "编辑")</f>
        <v/>
      </c>
      <c r="D95" s="54" t="inlineStr">
        <is>
          <t>1队</t>
        </is>
      </c>
      <c r="E95" s="79">
        <f t="array" ref="E95">INDIRECT("'"&amp;$A96&amp;"'!I2")</f>
        <v/>
      </c>
      <c r="F95" s="29">
        <f t="array" ref="F95">INDIRECT("'"&amp;$A95&amp;"'!C8")</f>
        <v/>
      </c>
      <c r="G95" s="30">
        <f t="array" ref="G95">INDIRECT("'"&amp;$A95&amp;"'!D8")</f>
        <v/>
      </c>
      <c r="H95" s="30">
        <f t="array" ref="H95">INDIRECT("'"&amp;$A95&amp;"'!E8")</f>
        <v/>
      </c>
      <c r="I95" s="30">
        <f t="array" ref="I95">INDIRECT("'"&amp;$A95&amp;"'!F8")</f>
        <v/>
      </c>
      <c r="J95" s="30">
        <f t="array" ref="J95">INDIRECT("'"&amp;$A95&amp;"'!G8")</f>
        <v/>
      </c>
      <c r="K95" s="30">
        <f t="array" ref="K95">INDIRECT("'"&amp;$A95&amp;"'!H8")</f>
        <v/>
      </c>
      <c r="L95" s="30">
        <f t="array" ref="L95">INDIRECT("'"&amp;$A95&amp;"'!I8")</f>
        <v/>
      </c>
      <c r="M95" s="30">
        <f t="array" ref="M95">INDIRECT("'"&amp;$A95&amp;"'!J8")</f>
        <v/>
      </c>
      <c r="N95" s="30">
        <f t="array" ref="N95">INDIRECT("'"&amp;$A95&amp;"'!K8")</f>
        <v/>
      </c>
      <c r="O95" s="30">
        <f t="array" ref="O95">INDIRECT("'"&amp;$A95&amp;"'!L8")</f>
        <v/>
      </c>
      <c r="P95" s="30">
        <f t="array" ref="P95">INDIRECT("'"&amp;$A95&amp;"'!M8")</f>
        <v/>
      </c>
      <c r="Q95" s="30">
        <f t="array" ref="Q95">INDIRECT("'"&amp;$A95&amp;"'!N8")</f>
        <v/>
      </c>
      <c r="R95" s="30">
        <f t="array" ref="R95">INDIRECT("'"&amp;$A95&amp;"'!O8")</f>
        <v/>
      </c>
      <c r="S95" s="30">
        <f t="array" ref="S95">INDIRECT("'"&amp;$A95&amp;"'!P8")</f>
        <v/>
      </c>
      <c r="T95" s="30">
        <f t="array" ref="T95">INDIRECT("'"&amp;$A95&amp;"'!Q8")</f>
        <v/>
      </c>
      <c r="U95" s="30">
        <f t="array" ref="U95">INDIRECT("'"&amp;$A95&amp;"'!R8")</f>
        <v/>
      </c>
      <c r="V95" s="30">
        <f t="array" ref="V95">INDIRECT("'"&amp;$A95&amp;"'!S8")</f>
        <v/>
      </c>
      <c r="W95" s="30">
        <f t="array" ref="W95">INDIRECT("'"&amp;$A95&amp;"'!T8")</f>
        <v/>
      </c>
      <c r="X95" s="30">
        <f t="array" ref="X95">INDIRECT("'"&amp;$A95&amp;"'!U8")</f>
        <v/>
      </c>
      <c r="Y95" s="30">
        <f t="array" ref="Y95">INDIRECT("'"&amp;$A95&amp;"'!V8")</f>
        <v/>
      </c>
      <c r="Z95" s="30">
        <f t="array" ref="Z95">INDIRECT("'"&amp;$A95&amp;"'!W8")</f>
        <v/>
      </c>
      <c r="AA95" s="30">
        <f t="array" ref="AA95">INDIRECT("'"&amp;$A95&amp;"'!X8")</f>
        <v/>
      </c>
      <c r="AB95" s="30">
        <f t="array" ref="AB95">INDIRECT("'"&amp;$A95&amp;"'!Y8")</f>
        <v/>
      </c>
      <c r="AC95" s="30">
        <f t="array" ref="AC95">INDIRECT("'"&amp;$A95&amp;"'!Z8")</f>
        <v/>
      </c>
      <c r="AD95" s="31">
        <f t="array" ref="AD95">INDIRECT("'"&amp;$A95&amp;"'!AA8")</f>
        <v/>
      </c>
      <c r="AE95" s="79">
        <f t="array" ref="AE95">INDIRECT("'"&amp;$A96&amp;"'!J2")</f>
        <v/>
      </c>
      <c r="AF95" s="53">
        <f t="array" ref="AF95">INDIRECT("'"&amp;$A96&amp;"'!AD1")</f>
        <v/>
      </c>
    </row>
    <row r="96">
      <c r="A96" s="58" t="n">
        <v>32</v>
      </c>
      <c r="B96" s="105" t="n"/>
      <c r="C96" s="67">
        <f t="array" ref="C96">CONCATENATE("粮 ",INDIRECT("'"&amp;$A96&amp;"'!D4"))</f>
        <v/>
      </c>
      <c r="D96" s="55" t="inlineStr">
        <is>
          <t>2队</t>
        </is>
      </c>
      <c r="E96" s="80">
        <f t="array" ref="E96">INDIRECT("'"&amp;$A96&amp;"'!I3")</f>
        <v/>
      </c>
      <c r="F96" s="52">
        <f t="array" ref="F96">INDIRECT("'"&amp;$A96&amp;"'!C11")</f>
        <v/>
      </c>
      <c r="G96" s="3">
        <f t="array" ref="G96">INDIRECT("'"&amp;$A96&amp;"'!D11")</f>
        <v/>
      </c>
      <c r="H96" s="3">
        <f t="array" ref="H96">INDIRECT("'"&amp;$A96&amp;"'!E11")</f>
        <v/>
      </c>
      <c r="I96" s="3">
        <f t="array" ref="I96">INDIRECT("'"&amp;$A96&amp;"'!F11")</f>
        <v/>
      </c>
      <c r="J96" s="3">
        <f t="array" ref="J96">INDIRECT("'"&amp;$A96&amp;"'!G11")</f>
        <v/>
      </c>
      <c r="K96" s="3">
        <f t="array" ref="K96">INDIRECT("'"&amp;$A96&amp;"'!H11")</f>
        <v/>
      </c>
      <c r="L96" s="3">
        <f t="array" ref="L96">INDIRECT("'"&amp;$A96&amp;"'!I11")</f>
        <v/>
      </c>
      <c r="M96" s="3">
        <f t="array" ref="M96">INDIRECT("'"&amp;$A96&amp;"'!J11")</f>
        <v/>
      </c>
      <c r="N96" s="3">
        <f t="array" ref="N96">INDIRECT("'"&amp;$A96&amp;"'!K11")</f>
        <v/>
      </c>
      <c r="O96" s="3">
        <f t="array" ref="O96">INDIRECT("'"&amp;$A96&amp;"'!L11")</f>
        <v/>
      </c>
      <c r="P96" s="3">
        <f t="array" ref="P96">INDIRECT("'"&amp;$A96&amp;"'!M11")</f>
        <v/>
      </c>
      <c r="Q96" s="3">
        <f t="array" ref="Q96">INDIRECT("'"&amp;$A96&amp;"'!N11")</f>
        <v/>
      </c>
      <c r="R96" s="3">
        <f t="array" ref="R96">INDIRECT("'"&amp;$A96&amp;"'!O11")</f>
        <v/>
      </c>
      <c r="S96" s="3">
        <f t="array" ref="S96">INDIRECT("'"&amp;$A96&amp;"'!P11")</f>
        <v/>
      </c>
      <c r="T96" s="3">
        <f t="array" ref="T96">INDIRECT("'"&amp;$A96&amp;"'!Q11")</f>
        <v/>
      </c>
      <c r="U96" s="3">
        <f t="array" ref="U96">INDIRECT("'"&amp;$A96&amp;"'!R11")</f>
        <v/>
      </c>
      <c r="V96" s="3">
        <f t="array" ref="V96">INDIRECT("'"&amp;$A96&amp;"'!S11")</f>
        <v/>
      </c>
      <c r="W96" s="3">
        <f t="array" ref="W96">INDIRECT("'"&amp;$A96&amp;"'!T11")</f>
        <v/>
      </c>
      <c r="X96" s="3">
        <f t="array" ref="X96">INDIRECT("'"&amp;$A96&amp;"'!U11")</f>
        <v/>
      </c>
      <c r="Y96" s="3">
        <f t="array" ref="Y96">INDIRECT("'"&amp;$A96&amp;"'!V11")</f>
        <v/>
      </c>
      <c r="Z96" s="3">
        <f t="array" ref="Z96">INDIRECT("'"&amp;$A96&amp;"'!W11")</f>
        <v/>
      </c>
      <c r="AA96" s="3">
        <f t="array" ref="AA96">INDIRECT("'"&amp;$A96&amp;"'!X11")</f>
        <v/>
      </c>
      <c r="AB96" s="3">
        <f t="array" ref="AB96">INDIRECT("'"&amp;$A96&amp;"'!Y11")</f>
        <v/>
      </c>
      <c r="AC96" s="3">
        <f t="array" ref="AC96">INDIRECT("'"&amp;$A96&amp;"'!Z11")</f>
        <v/>
      </c>
      <c r="AD96" s="32">
        <f t="array" ref="AD96">INDIRECT("'"&amp;$A96&amp;"'!AA11")</f>
        <v/>
      </c>
      <c r="AE96" s="80">
        <f t="array" ref="AE96">INDIRECT("'"&amp;$A96&amp;"'!J3")</f>
        <v/>
      </c>
      <c r="AF96" s="53">
        <f t="array" ref="AF96">INDIRECT("'"&amp;$A96&amp;"'!AC1")</f>
        <v/>
      </c>
    </row>
    <row r="97" ht="15.75" customHeight="1" thickBot="1">
      <c r="A97" s="58" t="n">
        <v>32</v>
      </c>
      <c r="B97" s="106" t="n"/>
      <c r="C97" s="77">
        <f t="array" ref="C97">CONCATENATE("分 ",INDIRECT("'"&amp;$A96&amp;"'!D6"))</f>
        <v/>
      </c>
      <c r="D97" s="56" t="inlineStr">
        <is>
          <t>3队</t>
        </is>
      </c>
      <c r="E97" s="81">
        <f t="array" ref="E97">INDIRECT("'"&amp;$A96&amp;"'!I4")</f>
        <v/>
      </c>
      <c r="F97" s="52">
        <f t="array" ref="F97">INDIRECT("'"&amp;$A97&amp;"'!C14")</f>
        <v/>
      </c>
      <c r="G97" s="3">
        <f t="array" ref="G97">INDIRECT("'"&amp;$A97&amp;"'!D14")</f>
        <v/>
      </c>
      <c r="H97" s="3">
        <f t="array" ref="H97">INDIRECT("'"&amp;$A97&amp;"'!E14")</f>
        <v/>
      </c>
      <c r="I97" s="3">
        <f t="array" ref="I97">INDIRECT("'"&amp;$A97&amp;"'!F14")</f>
        <v/>
      </c>
      <c r="J97" s="3">
        <f t="array" ref="J97">INDIRECT("'"&amp;$A97&amp;"'!G14")</f>
        <v/>
      </c>
      <c r="K97" s="3">
        <f t="array" ref="K97">INDIRECT("'"&amp;$A97&amp;"'!H14")</f>
        <v/>
      </c>
      <c r="L97" s="3">
        <f t="array" ref="L97">INDIRECT("'"&amp;$A97&amp;"'!I14")</f>
        <v/>
      </c>
      <c r="M97" s="3">
        <f t="array" ref="M97">INDIRECT("'"&amp;$A97&amp;"'!J14")</f>
        <v/>
      </c>
      <c r="N97" s="3">
        <f t="array" ref="N97">INDIRECT("'"&amp;$A97&amp;"'!K14")</f>
        <v/>
      </c>
      <c r="O97" s="3">
        <f t="array" ref="O97">INDIRECT("'"&amp;$A97&amp;"'!L14")</f>
        <v/>
      </c>
      <c r="P97" s="3">
        <f t="array" ref="P97">INDIRECT("'"&amp;$A97&amp;"'!M14")</f>
        <v/>
      </c>
      <c r="Q97" s="3">
        <f t="array" ref="Q97">INDIRECT("'"&amp;$A97&amp;"'!N14")</f>
        <v/>
      </c>
      <c r="R97" s="3">
        <f t="array" ref="R97">INDIRECT("'"&amp;$A97&amp;"'!O14")</f>
        <v/>
      </c>
      <c r="S97" s="3">
        <f t="array" ref="S97">INDIRECT("'"&amp;$A97&amp;"'!P14")</f>
        <v/>
      </c>
      <c r="T97" s="3">
        <f t="array" ref="T97">INDIRECT("'"&amp;$A97&amp;"'!Q14")</f>
        <v/>
      </c>
      <c r="U97" s="3">
        <f t="array" ref="U97">INDIRECT("'"&amp;$A97&amp;"'!R14")</f>
        <v/>
      </c>
      <c r="V97" s="3">
        <f t="array" ref="V97">INDIRECT("'"&amp;$A97&amp;"'!S14")</f>
        <v/>
      </c>
      <c r="W97" s="3">
        <f t="array" ref="W97">INDIRECT("'"&amp;$A97&amp;"'!T14")</f>
        <v/>
      </c>
      <c r="X97" s="3">
        <f t="array" ref="X97">INDIRECT("'"&amp;$A97&amp;"'!U14")</f>
        <v/>
      </c>
      <c r="Y97" s="3">
        <f t="array" ref="Y97">INDIRECT("'"&amp;$A97&amp;"'!V14")</f>
        <v/>
      </c>
      <c r="Z97" s="3">
        <f t="array" ref="Z97">INDIRECT("'"&amp;$A97&amp;"'!W14")</f>
        <v/>
      </c>
      <c r="AA97" s="3">
        <f t="array" ref="AA97">INDIRECT("'"&amp;$A97&amp;"'!X14")</f>
        <v/>
      </c>
      <c r="AB97" s="3">
        <f t="array" ref="AB97">INDIRECT("'"&amp;$A97&amp;"'!Y14")</f>
        <v/>
      </c>
      <c r="AC97" s="3">
        <f t="array" ref="AC97">INDIRECT("'"&amp;$A97&amp;"'!Z14")</f>
        <v/>
      </c>
      <c r="AD97" s="32">
        <f t="array" ref="AD97">INDIRECT("'"&amp;$A97&amp;"'!AA14")</f>
        <v/>
      </c>
      <c r="AE97" s="81">
        <f t="array" ref="AE97">INDIRECT("'"&amp;$A96&amp;"'!J4")</f>
        <v/>
      </c>
      <c r="AF97" s="53" t="n"/>
    </row>
    <row r="98">
      <c r="A98" s="58" t="n">
        <v>33</v>
      </c>
      <c r="B98" s="103">
        <f>INDEX(data!$I$2:$I$98,MATCH(A98*1,data!$G$2:$G$98,0))</f>
        <v/>
      </c>
      <c r="C98" s="66">
        <f>HYPERLINK("#'" &amp; A98 &amp; "'!A1", "编辑")</f>
        <v/>
      </c>
      <c r="D98" s="54" t="inlineStr">
        <is>
          <t>1队</t>
        </is>
      </c>
      <c r="E98" s="79">
        <f t="array" ref="E98">INDIRECT("'"&amp;$A99&amp;"'!I2")</f>
        <v/>
      </c>
      <c r="F98" s="29">
        <f t="array" ref="F98">INDIRECT("'"&amp;$A98&amp;"'!C8")</f>
        <v/>
      </c>
      <c r="G98" s="30">
        <f t="array" ref="G98">INDIRECT("'"&amp;$A98&amp;"'!D8")</f>
        <v/>
      </c>
      <c r="H98" s="30">
        <f t="array" ref="H98">INDIRECT("'"&amp;$A98&amp;"'!E8")</f>
        <v/>
      </c>
      <c r="I98" s="30">
        <f t="array" ref="I98">INDIRECT("'"&amp;$A98&amp;"'!F8")</f>
        <v/>
      </c>
      <c r="J98" s="30">
        <f t="array" ref="J98">INDIRECT("'"&amp;$A98&amp;"'!G8")</f>
        <v/>
      </c>
      <c r="K98" s="30">
        <f t="array" ref="K98">INDIRECT("'"&amp;$A98&amp;"'!H8")</f>
        <v/>
      </c>
      <c r="L98" s="30">
        <f t="array" ref="L98">INDIRECT("'"&amp;$A98&amp;"'!I8")</f>
        <v/>
      </c>
      <c r="M98" s="30">
        <f t="array" ref="M98">INDIRECT("'"&amp;$A98&amp;"'!J8")</f>
        <v/>
      </c>
      <c r="N98" s="30">
        <f t="array" ref="N98">INDIRECT("'"&amp;$A98&amp;"'!K8")</f>
        <v/>
      </c>
      <c r="O98" s="30">
        <f t="array" ref="O98">INDIRECT("'"&amp;$A98&amp;"'!L8")</f>
        <v/>
      </c>
      <c r="P98" s="30">
        <f t="array" ref="P98">INDIRECT("'"&amp;$A98&amp;"'!M8")</f>
        <v/>
      </c>
      <c r="Q98" s="30">
        <f t="array" ref="Q98">INDIRECT("'"&amp;$A98&amp;"'!N8")</f>
        <v/>
      </c>
      <c r="R98" s="30">
        <f t="array" ref="R98">INDIRECT("'"&amp;$A98&amp;"'!O8")</f>
        <v/>
      </c>
      <c r="S98" s="30">
        <f t="array" ref="S98">INDIRECT("'"&amp;$A98&amp;"'!P8")</f>
        <v/>
      </c>
      <c r="T98" s="30">
        <f t="array" ref="T98">INDIRECT("'"&amp;$A98&amp;"'!Q8")</f>
        <v/>
      </c>
      <c r="U98" s="30">
        <f t="array" ref="U98">INDIRECT("'"&amp;$A98&amp;"'!R8")</f>
        <v/>
      </c>
      <c r="V98" s="30">
        <f t="array" ref="V98">INDIRECT("'"&amp;$A98&amp;"'!S8")</f>
        <v/>
      </c>
      <c r="W98" s="30">
        <f t="array" ref="W98">INDIRECT("'"&amp;$A98&amp;"'!T8")</f>
        <v/>
      </c>
      <c r="X98" s="30">
        <f t="array" ref="X98">INDIRECT("'"&amp;$A98&amp;"'!U8")</f>
        <v/>
      </c>
      <c r="Y98" s="30">
        <f t="array" ref="Y98">INDIRECT("'"&amp;$A98&amp;"'!V8")</f>
        <v/>
      </c>
      <c r="Z98" s="30">
        <f t="array" ref="Z98">INDIRECT("'"&amp;$A98&amp;"'!W8")</f>
        <v/>
      </c>
      <c r="AA98" s="30">
        <f t="array" ref="AA98">INDIRECT("'"&amp;$A98&amp;"'!X8")</f>
        <v/>
      </c>
      <c r="AB98" s="30">
        <f t="array" ref="AB98">INDIRECT("'"&amp;$A98&amp;"'!Y8")</f>
        <v/>
      </c>
      <c r="AC98" s="30">
        <f t="array" ref="AC98">INDIRECT("'"&amp;$A98&amp;"'!Z8")</f>
        <v/>
      </c>
      <c r="AD98" s="31">
        <f t="array" ref="AD98">INDIRECT("'"&amp;$A98&amp;"'!AA8")</f>
        <v/>
      </c>
      <c r="AE98" s="79">
        <f t="array" ref="AE98">INDIRECT("'"&amp;$A99&amp;"'!J2")</f>
        <v/>
      </c>
      <c r="AF98" s="53">
        <f t="array" ref="AF98">INDIRECT("'"&amp;$A99&amp;"'!AD1")</f>
        <v/>
      </c>
    </row>
    <row r="99">
      <c r="A99" s="58" t="n">
        <v>33</v>
      </c>
      <c r="B99" s="105" t="n"/>
      <c r="C99" s="67">
        <f t="array" ref="C99">CONCATENATE("粮 ",INDIRECT("'"&amp;$A99&amp;"'!D4"))</f>
        <v/>
      </c>
      <c r="D99" s="55" t="inlineStr">
        <is>
          <t>2队</t>
        </is>
      </c>
      <c r="E99" s="80">
        <f t="array" ref="E99">INDIRECT("'"&amp;$A99&amp;"'!I3")</f>
        <v/>
      </c>
      <c r="F99" s="52">
        <f t="array" ref="F99">INDIRECT("'"&amp;$A99&amp;"'!C11")</f>
        <v/>
      </c>
      <c r="G99" s="3">
        <f t="array" ref="G99">INDIRECT("'"&amp;$A99&amp;"'!D11")</f>
        <v/>
      </c>
      <c r="H99" s="3">
        <f t="array" ref="H99">INDIRECT("'"&amp;$A99&amp;"'!E11")</f>
        <v/>
      </c>
      <c r="I99" s="3">
        <f t="array" ref="I99">INDIRECT("'"&amp;$A99&amp;"'!F11")</f>
        <v/>
      </c>
      <c r="J99" s="3">
        <f t="array" ref="J99">INDIRECT("'"&amp;$A99&amp;"'!G11")</f>
        <v/>
      </c>
      <c r="K99" s="3">
        <f t="array" ref="K99">INDIRECT("'"&amp;$A99&amp;"'!H11")</f>
        <v/>
      </c>
      <c r="L99" s="3">
        <f t="array" ref="L99">INDIRECT("'"&amp;$A99&amp;"'!I11")</f>
        <v/>
      </c>
      <c r="M99" s="3">
        <f t="array" ref="M99">INDIRECT("'"&amp;$A99&amp;"'!J11")</f>
        <v/>
      </c>
      <c r="N99" s="3">
        <f t="array" ref="N99">INDIRECT("'"&amp;$A99&amp;"'!K11")</f>
        <v/>
      </c>
      <c r="O99" s="3">
        <f t="array" ref="O99">INDIRECT("'"&amp;$A99&amp;"'!L11")</f>
        <v/>
      </c>
      <c r="P99" s="3">
        <f t="array" ref="P99">INDIRECT("'"&amp;$A99&amp;"'!M11")</f>
        <v/>
      </c>
      <c r="Q99" s="3">
        <f t="array" ref="Q99">INDIRECT("'"&amp;$A99&amp;"'!N11")</f>
        <v/>
      </c>
      <c r="R99" s="3">
        <f t="array" ref="R99">INDIRECT("'"&amp;$A99&amp;"'!O11")</f>
        <v/>
      </c>
      <c r="S99" s="3">
        <f t="array" ref="S99">INDIRECT("'"&amp;$A99&amp;"'!P11")</f>
        <v/>
      </c>
      <c r="T99" s="3">
        <f t="array" ref="T99">INDIRECT("'"&amp;$A99&amp;"'!Q11")</f>
        <v/>
      </c>
      <c r="U99" s="3">
        <f t="array" ref="U99">INDIRECT("'"&amp;$A99&amp;"'!R11")</f>
        <v/>
      </c>
      <c r="V99" s="3">
        <f t="array" ref="V99">INDIRECT("'"&amp;$A99&amp;"'!S11")</f>
        <v/>
      </c>
      <c r="W99" s="3">
        <f t="array" ref="W99">INDIRECT("'"&amp;$A99&amp;"'!T11")</f>
        <v/>
      </c>
      <c r="X99" s="3">
        <f t="array" ref="X99">INDIRECT("'"&amp;$A99&amp;"'!U11")</f>
        <v/>
      </c>
      <c r="Y99" s="3">
        <f t="array" ref="Y99">INDIRECT("'"&amp;$A99&amp;"'!V11")</f>
        <v/>
      </c>
      <c r="Z99" s="3">
        <f t="array" ref="Z99">INDIRECT("'"&amp;$A99&amp;"'!W11")</f>
        <v/>
      </c>
      <c r="AA99" s="3">
        <f t="array" ref="AA99">INDIRECT("'"&amp;$A99&amp;"'!X11")</f>
        <v/>
      </c>
      <c r="AB99" s="3">
        <f t="array" ref="AB99">INDIRECT("'"&amp;$A99&amp;"'!Y11")</f>
        <v/>
      </c>
      <c r="AC99" s="3">
        <f t="array" ref="AC99">INDIRECT("'"&amp;$A99&amp;"'!Z11")</f>
        <v/>
      </c>
      <c r="AD99" s="32">
        <f t="array" ref="AD99">INDIRECT("'"&amp;$A99&amp;"'!AA11")</f>
        <v/>
      </c>
      <c r="AE99" s="80">
        <f t="array" ref="AE99">INDIRECT("'"&amp;$A99&amp;"'!J3")</f>
        <v/>
      </c>
      <c r="AF99" s="53">
        <f t="array" ref="AF99">INDIRECT("'"&amp;$A99&amp;"'!AC1")</f>
        <v/>
      </c>
    </row>
    <row r="100" ht="15.75" customHeight="1" thickBot="1">
      <c r="A100" s="58" t="n">
        <v>33</v>
      </c>
      <c r="B100" s="106" t="n"/>
      <c r="C100" s="77">
        <f t="array" ref="C100">CONCATENATE("分 ",INDIRECT("'"&amp;$A99&amp;"'!D6"))</f>
        <v/>
      </c>
      <c r="D100" s="56" t="inlineStr">
        <is>
          <t>3队</t>
        </is>
      </c>
      <c r="E100" s="81">
        <f t="array" ref="E100">INDIRECT("'"&amp;$A99&amp;"'!I4")</f>
        <v/>
      </c>
      <c r="F100" s="52">
        <f t="array" ref="F100">INDIRECT("'"&amp;$A100&amp;"'!C14")</f>
        <v/>
      </c>
      <c r="G100" s="3">
        <f t="array" ref="G100">INDIRECT("'"&amp;$A100&amp;"'!D14")</f>
        <v/>
      </c>
      <c r="H100" s="3">
        <f t="array" ref="H100">INDIRECT("'"&amp;$A100&amp;"'!E14")</f>
        <v/>
      </c>
      <c r="I100" s="3">
        <f t="array" ref="I100">INDIRECT("'"&amp;$A100&amp;"'!F14")</f>
        <v/>
      </c>
      <c r="J100" s="3">
        <f t="array" ref="J100">INDIRECT("'"&amp;$A100&amp;"'!G14")</f>
        <v/>
      </c>
      <c r="K100" s="3">
        <f t="array" ref="K100">INDIRECT("'"&amp;$A100&amp;"'!H14")</f>
        <v/>
      </c>
      <c r="L100" s="3">
        <f t="array" ref="L100">INDIRECT("'"&amp;$A100&amp;"'!I14")</f>
        <v/>
      </c>
      <c r="M100" s="3">
        <f t="array" ref="M100">INDIRECT("'"&amp;$A100&amp;"'!J14")</f>
        <v/>
      </c>
      <c r="N100" s="3">
        <f t="array" ref="N100">INDIRECT("'"&amp;$A100&amp;"'!K14")</f>
        <v/>
      </c>
      <c r="O100" s="3">
        <f t="array" ref="O100">INDIRECT("'"&amp;$A100&amp;"'!L14")</f>
        <v/>
      </c>
      <c r="P100" s="3">
        <f t="array" ref="P100">INDIRECT("'"&amp;$A100&amp;"'!M14")</f>
        <v/>
      </c>
      <c r="Q100" s="3">
        <f t="array" ref="Q100">INDIRECT("'"&amp;$A100&amp;"'!N14")</f>
        <v/>
      </c>
      <c r="R100" s="3">
        <f t="array" ref="R100">INDIRECT("'"&amp;$A100&amp;"'!O14")</f>
        <v/>
      </c>
      <c r="S100" s="3">
        <f t="array" ref="S100">INDIRECT("'"&amp;$A100&amp;"'!P14")</f>
        <v/>
      </c>
      <c r="T100" s="3">
        <f t="array" ref="T100">INDIRECT("'"&amp;$A100&amp;"'!Q14")</f>
        <v/>
      </c>
      <c r="U100" s="3">
        <f t="array" ref="U100">INDIRECT("'"&amp;$A100&amp;"'!R14")</f>
        <v/>
      </c>
      <c r="V100" s="3">
        <f t="array" ref="V100">INDIRECT("'"&amp;$A100&amp;"'!S14")</f>
        <v/>
      </c>
      <c r="W100" s="3">
        <f t="array" ref="W100">INDIRECT("'"&amp;$A100&amp;"'!T14")</f>
        <v/>
      </c>
      <c r="X100" s="3">
        <f t="array" ref="X100">INDIRECT("'"&amp;$A100&amp;"'!U14")</f>
        <v/>
      </c>
      <c r="Y100" s="3">
        <f t="array" ref="Y100">INDIRECT("'"&amp;$A100&amp;"'!V14")</f>
        <v/>
      </c>
      <c r="Z100" s="3">
        <f t="array" ref="Z100">INDIRECT("'"&amp;$A100&amp;"'!W14")</f>
        <v/>
      </c>
      <c r="AA100" s="3">
        <f t="array" ref="AA100">INDIRECT("'"&amp;$A100&amp;"'!X14")</f>
        <v/>
      </c>
      <c r="AB100" s="3">
        <f t="array" ref="AB100">INDIRECT("'"&amp;$A100&amp;"'!Y14")</f>
        <v/>
      </c>
      <c r="AC100" s="3">
        <f t="array" ref="AC100">INDIRECT("'"&amp;$A100&amp;"'!Z14")</f>
        <v/>
      </c>
      <c r="AD100" s="32">
        <f t="array" ref="AD100">INDIRECT("'"&amp;$A100&amp;"'!AA14")</f>
        <v/>
      </c>
      <c r="AE100" s="81">
        <f t="array" ref="AE100">INDIRECT("'"&amp;$A99&amp;"'!J4")</f>
        <v/>
      </c>
      <c r="AF100" s="53" t="n"/>
    </row>
    <row r="101">
      <c r="A101" s="58" t="n">
        <v>34</v>
      </c>
      <c r="B101" s="103">
        <f>INDEX(data!$I$2:$I$98,MATCH(A101*1,data!$G$2:$G$98,0))</f>
        <v/>
      </c>
      <c r="C101" s="66">
        <f>HYPERLINK("#'" &amp; A101 &amp; "'!A1", "编辑")</f>
        <v/>
      </c>
      <c r="D101" s="54" t="inlineStr">
        <is>
          <t>1队</t>
        </is>
      </c>
      <c r="E101" s="79">
        <f t="array" ref="E101">INDIRECT("'"&amp;$A102&amp;"'!I2")</f>
        <v/>
      </c>
      <c r="F101" s="29">
        <f t="array" ref="F101">INDIRECT("'"&amp;$A101&amp;"'!C8")</f>
        <v/>
      </c>
      <c r="G101" s="30">
        <f t="array" ref="G101">INDIRECT("'"&amp;$A101&amp;"'!D8")</f>
        <v/>
      </c>
      <c r="H101" s="30">
        <f t="array" ref="H101">INDIRECT("'"&amp;$A101&amp;"'!E8")</f>
        <v/>
      </c>
      <c r="I101" s="30">
        <f t="array" ref="I101">INDIRECT("'"&amp;$A101&amp;"'!F8")</f>
        <v/>
      </c>
      <c r="J101" s="30">
        <f t="array" ref="J101">INDIRECT("'"&amp;$A101&amp;"'!G8")</f>
        <v/>
      </c>
      <c r="K101" s="30">
        <f t="array" ref="K101">INDIRECT("'"&amp;$A101&amp;"'!H8")</f>
        <v/>
      </c>
      <c r="L101" s="30">
        <f t="array" ref="L101">INDIRECT("'"&amp;$A101&amp;"'!I8")</f>
        <v/>
      </c>
      <c r="M101" s="30">
        <f t="array" ref="M101">INDIRECT("'"&amp;$A101&amp;"'!J8")</f>
        <v/>
      </c>
      <c r="N101" s="30">
        <f t="array" ref="N101">INDIRECT("'"&amp;$A101&amp;"'!K8")</f>
        <v/>
      </c>
      <c r="O101" s="30">
        <f t="array" ref="O101">INDIRECT("'"&amp;$A101&amp;"'!L8")</f>
        <v/>
      </c>
      <c r="P101" s="30">
        <f t="array" ref="P101">INDIRECT("'"&amp;$A101&amp;"'!M8")</f>
        <v/>
      </c>
      <c r="Q101" s="30">
        <f t="array" ref="Q101">INDIRECT("'"&amp;$A101&amp;"'!N8")</f>
        <v/>
      </c>
      <c r="R101" s="30">
        <f t="array" ref="R101">INDIRECT("'"&amp;$A101&amp;"'!O8")</f>
        <v/>
      </c>
      <c r="S101" s="30">
        <f t="array" ref="S101">INDIRECT("'"&amp;$A101&amp;"'!P8")</f>
        <v/>
      </c>
      <c r="T101" s="30">
        <f t="array" ref="T101">INDIRECT("'"&amp;$A101&amp;"'!Q8")</f>
        <v/>
      </c>
      <c r="U101" s="30">
        <f t="array" ref="U101">INDIRECT("'"&amp;$A101&amp;"'!R8")</f>
        <v/>
      </c>
      <c r="V101" s="30">
        <f t="array" ref="V101">INDIRECT("'"&amp;$A101&amp;"'!S8")</f>
        <v/>
      </c>
      <c r="W101" s="30">
        <f t="array" ref="W101">INDIRECT("'"&amp;$A101&amp;"'!T8")</f>
        <v/>
      </c>
      <c r="X101" s="30">
        <f t="array" ref="X101">INDIRECT("'"&amp;$A101&amp;"'!U8")</f>
        <v/>
      </c>
      <c r="Y101" s="30">
        <f t="array" ref="Y101">INDIRECT("'"&amp;$A101&amp;"'!V8")</f>
        <v/>
      </c>
      <c r="Z101" s="30">
        <f t="array" ref="Z101">INDIRECT("'"&amp;$A101&amp;"'!W8")</f>
        <v/>
      </c>
      <c r="AA101" s="30">
        <f t="array" ref="AA101">INDIRECT("'"&amp;$A101&amp;"'!X8")</f>
        <v/>
      </c>
      <c r="AB101" s="30">
        <f t="array" ref="AB101">INDIRECT("'"&amp;$A101&amp;"'!Y8")</f>
        <v/>
      </c>
      <c r="AC101" s="30">
        <f t="array" ref="AC101">INDIRECT("'"&amp;$A101&amp;"'!Z8")</f>
        <v/>
      </c>
      <c r="AD101" s="31">
        <f t="array" ref="AD101">INDIRECT("'"&amp;$A101&amp;"'!AA8")</f>
        <v/>
      </c>
      <c r="AE101" s="79">
        <f t="array" ref="AE101">INDIRECT("'"&amp;$A102&amp;"'!J2")</f>
        <v/>
      </c>
      <c r="AF101" s="53">
        <f t="array" ref="AF101">INDIRECT("'"&amp;$A102&amp;"'!AD1")</f>
        <v/>
      </c>
    </row>
    <row r="102">
      <c r="A102" s="58" t="n">
        <v>34</v>
      </c>
      <c r="B102" s="105" t="n"/>
      <c r="C102" s="67">
        <f t="array" ref="C102">CONCATENATE("粮 ",INDIRECT("'"&amp;$A102&amp;"'!D4"))</f>
        <v/>
      </c>
      <c r="D102" s="55" t="inlineStr">
        <is>
          <t>2队</t>
        </is>
      </c>
      <c r="E102" s="80">
        <f t="array" ref="E102">INDIRECT("'"&amp;$A102&amp;"'!I3")</f>
        <v/>
      </c>
      <c r="F102" s="52">
        <f t="array" ref="F102">INDIRECT("'"&amp;$A102&amp;"'!C11")</f>
        <v/>
      </c>
      <c r="G102" s="3">
        <f t="array" ref="G102">INDIRECT("'"&amp;$A102&amp;"'!D11")</f>
        <v/>
      </c>
      <c r="H102" s="3">
        <f t="array" ref="H102">INDIRECT("'"&amp;$A102&amp;"'!E11")</f>
        <v/>
      </c>
      <c r="I102" s="3">
        <f t="array" ref="I102">INDIRECT("'"&amp;$A102&amp;"'!F11")</f>
        <v/>
      </c>
      <c r="J102" s="3">
        <f t="array" ref="J102">INDIRECT("'"&amp;$A102&amp;"'!G11")</f>
        <v/>
      </c>
      <c r="K102" s="3">
        <f t="array" ref="K102">INDIRECT("'"&amp;$A102&amp;"'!H11")</f>
        <v/>
      </c>
      <c r="L102" s="3">
        <f t="array" ref="L102">INDIRECT("'"&amp;$A102&amp;"'!I11")</f>
        <v/>
      </c>
      <c r="M102" s="3">
        <f t="array" ref="M102">INDIRECT("'"&amp;$A102&amp;"'!J11")</f>
        <v/>
      </c>
      <c r="N102" s="3">
        <f t="array" ref="N102">INDIRECT("'"&amp;$A102&amp;"'!K11")</f>
        <v/>
      </c>
      <c r="O102" s="3">
        <f t="array" ref="O102">INDIRECT("'"&amp;$A102&amp;"'!L11")</f>
        <v/>
      </c>
      <c r="P102" s="3">
        <f t="array" ref="P102">INDIRECT("'"&amp;$A102&amp;"'!M11")</f>
        <v/>
      </c>
      <c r="Q102" s="3">
        <f t="array" ref="Q102">INDIRECT("'"&amp;$A102&amp;"'!N11")</f>
        <v/>
      </c>
      <c r="R102" s="3">
        <f t="array" ref="R102">INDIRECT("'"&amp;$A102&amp;"'!O11")</f>
        <v/>
      </c>
      <c r="S102" s="3">
        <f t="array" ref="S102">INDIRECT("'"&amp;$A102&amp;"'!P11")</f>
        <v/>
      </c>
      <c r="T102" s="3">
        <f t="array" ref="T102">INDIRECT("'"&amp;$A102&amp;"'!Q11")</f>
        <v/>
      </c>
      <c r="U102" s="3">
        <f t="array" ref="U102">INDIRECT("'"&amp;$A102&amp;"'!R11")</f>
        <v/>
      </c>
      <c r="V102" s="3">
        <f t="array" ref="V102">INDIRECT("'"&amp;$A102&amp;"'!S11")</f>
        <v/>
      </c>
      <c r="W102" s="3">
        <f t="array" ref="W102">INDIRECT("'"&amp;$A102&amp;"'!T11")</f>
        <v/>
      </c>
      <c r="X102" s="3">
        <f t="array" ref="X102">INDIRECT("'"&amp;$A102&amp;"'!U11")</f>
        <v/>
      </c>
      <c r="Y102" s="3">
        <f t="array" ref="Y102">INDIRECT("'"&amp;$A102&amp;"'!V11")</f>
        <v/>
      </c>
      <c r="Z102" s="3">
        <f t="array" ref="Z102">INDIRECT("'"&amp;$A102&amp;"'!W11")</f>
        <v/>
      </c>
      <c r="AA102" s="3">
        <f t="array" ref="AA102">INDIRECT("'"&amp;$A102&amp;"'!X11")</f>
        <v/>
      </c>
      <c r="AB102" s="3">
        <f t="array" ref="AB102">INDIRECT("'"&amp;$A102&amp;"'!Y11")</f>
        <v/>
      </c>
      <c r="AC102" s="3">
        <f t="array" ref="AC102">INDIRECT("'"&amp;$A102&amp;"'!Z11")</f>
        <v/>
      </c>
      <c r="AD102" s="32">
        <f t="array" ref="AD102">INDIRECT("'"&amp;$A102&amp;"'!AA11")</f>
        <v/>
      </c>
      <c r="AE102" s="80">
        <f t="array" ref="AE102">INDIRECT("'"&amp;$A102&amp;"'!J3")</f>
        <v/>
      </c>
      <c r="AF102" s="53">
        <f t="array" ref="AF102">INDIRECT("'"&amp;$A102&amp;"'!AC1")</f>
        <v/>
      </c>
    </row>
    <row r="103" ht="15.75" customHeight="1" thickBot="1">
      <c r="A103" s="58" t="n">
        <v>34</v>
      </c>
      <c r="B103" s="106" t="n"/>
      <c r="C103" s="77">
        <f t="array" ref="C103">CONCATENATE("分 ",INDIRECT("'"&amp;$A102&amp;"'!D6"))</f>
        <v/>
      </c>
      <c r="D103" s="56" t="inlineStr">
        <is>
          <t>3队</t>
        </is>
      </c>
      <c r="E103" s="81">
        <f t="array" ref="E103">INDIRECT("'"&amp;$A102&amp;"'!I4")</f>
        <v/>
      </c>
      <c r="F103" s="52">
        <f t="array" ref="F103">INDIRECT("'"&amp;$A103&amp;"'!C14")</f>
        <v/>
      </c>
      <c r="G103" s="3">
        <f t="array" ref="G103">INDIRECT("'"&amp;$A103&amp;"'!D14")</f>
        <v/>
      </c>
      <c r="H103" s="3">
        <f t="array" ref="H103">INDIRECT("'"&amp;$A103&amp;"'!E14")</f>
        <v/>
      </c>
      <c r="I103" s="3">
        <f t="array" ref="I103">INDIRECT("'"&amp;$A103&amp;"'!F14")</f>
        <v/>
      </c>
      <c r="J103" s="3">
        <f t="array" ref="J103">INDIRECT("'"&amp;$A103&amp;"'!G14")</f>
        <v/>
      </c>
      <c r="K103" s="3">
        <f t="array" ref="K103">INDIRECT("'"&amp;$A103&amp;"'!H14")</f>
        <v/>
      </c>
      <c r="L103" s="3">
        <f t="array" ref="L103">INDIRECT("'"&amp;$A103&amp;"'!I14")</f>
        <v/>
      </c>
      <c r="M103" s="3">
        <f t="array" ref="M103">INDIRECT("'"&amp;$A103&amp;"'!J14")</f>
        <v/>
      </c>
      <c r="N103" s="3">
        <f t="array" ref="N103">INDIRECT("'"&amp;$A103&amp;"'!K14")</f>
        <v/>
      </c>
      <c r="O103" s="3">
        <f t="array" ref="O103">INDIRECT("'"&amp;$A103&amp;"'!L14")</f>
        <v/>
      </c>
      <c r="P103" s="3">
        <f t="array" ref="P103">INDIRECT("'"&amp;$A103&amp;"'!M14")</f>
        <v/>
      </c>
      <c r="Q103" s="3">
        <f t="array" ref="Q103">INDIRECT("'"&amp;$A103&amp;"'!N14")</f>
        <v/>
      </c>
      <c r="R103" s="3">
        <f t="array" ref="R103">INDIRECT("'"&amp;$A103&amp;"'!O14")</f>
        <v/>
      </c>
      <c r="S103" s="3">
        <f t="array" ref="S103">INDIRECT("'"&amp;$A103&amp;"'!P14")</f>
        <v/>
      </c>
      <c r="T103" s="3">
        <f t="array" ref="T103">INDIRECT("'"&amp;$A103&amp;"'!Q14")</f>
        <v/>
      </c>
      <c r="U103" s="3">
        <f t="array" ref="U103">INDIRECT("'"&amp;$A103&amp;"'!R14")</f>
        <v/>
      </c>
      <c r="V103" s="3">
        <f t="array" ref="V103">INDIRECT("'"&amp;$A103&amp;"'!S14")</f>
        <v/>
      </c>
      <c r="W103" s="3">
        <f t="array" ref="W103">INDIRECT("'"&amp;$A103&amp;"'!T14")</f>
        <v/>
      </c>
      <c r="X103" s="3">
        <f t="array" ref="X103">INDIRECT("'"&amp;$A103&amp;"'!U14")</f>
        <v/>
      </c>
      <c r="Y103" s="3">
        <f t="array" ref="Y103">INDIRECT("'"&amp;$A103&amp;"'!V14")</f>
        <v/>
      </c>
      <c r="Z103" s="3">
        <f t="array" ref="Z103">INDIRECT("'"&amp;$A103&amp;"'!W14")</f>
        <v/>
      </c>
      <c r="AA103" s="3">
        <f t="array" ref="AA103">INDIRECT("'"&amp;$A103&amp;"'!X14")</f>
        <v/>
      </c>
      <c r="AB103" s="3">
        <f t="array" ref="AB103">INDIRECT("'"&amp;$A103&amp;"'!Y14")</f>
        <v/>
      </c>
      <c r="AC103" s="3">
        <f t="array" ref="AC103">INDIRECT("'"&amp;$A103&amp;"'!Z14")</f>
        <v/>
      </c>
      <c r="AD103" s="32">
        <f t="array" ref="AD103">INDIRECT("'"&amp;$A103&amp;"'!AA14")</f>
        <v/>
      </c>
      <c r="AE103" s="81">
        <f t="array" ref="AE103">INDIRECT("'"&amp;$A102&amp;"'!J4")</f>
        <v/>
      </c>
      <c r="AF103" s="53" t="n"/>
    </row>
    <row r="104">
      <c r="A104" s="58" t="n">
        <v>35</v>
      </c>
      <c r="B104" s="103">
        <f>INDEX(data!$I$2:$I$98,MATCH(A104*1,data!$G$2:$G$98,0))</f>
        <v/>
      </c>
      <c r="C104" s="66">
        <f>HYPERLINK("#'" &amp; A104 &amp; "'!A1", "编辑")</f>
        <v/>
      </c>
      <c r="D104" s="54" t="inlineStr">
        <is>
          <t>1队</t>
        </is>
      </c>
      <c r="E104" s="79">
        <f t="array" ref="E104">INDIRECT("'"&amp;$A105&amp;"'!I2")</f>
        <v/>
      </c>
      <c r="F104" s="29">
        <f t="array" ref="F104">INDIRECT("'"&amp;$A104&amp;"'!C8")</f>
        <v/>
      </c>
      <c r="G104" s="30">
        <f t="array" ref="G104">INDIRECT("'"&amp;$A104&amp;"'!D8")</f>
        <v/>
      </c>
      <c r="H104" s="30">
        <f t="array" ref="H104">INDIRECT("'"&amp;$A104&amp;"'!E8")</f>
        <v/>
      </c>
      <c r="I104" s="30">
        <f t="array" ref="I104">INDIRECT("'"&amp;$A104&amp;"'!F8")</f>
        <v/>
      </c>
      <c r="J104" s="30">
        <f t="array" ref="J104">INDIRECT("'"&amp;$A104&amp;"'!G8")</f>
        <v/>
      </c>
      <c r="K104" s="30">
        <f t="array" ref="K104">INDIRECT("'"&amp;$A104&amp;"'!H8")</f>
        <v/>
      </c>
      <c r="L104" s="30">
        <f t="array" ref="L104">INDIRECT("'"&amp;$A104&amp;"'!I8")</f>
        <v/>
      </c>
      <c r="M104" s="30">
        <f t="array" ref="M104">INDIRECT("'"&amp;$A104&amp;"'!J8")</f>
        <v/>
      </c>
      <c r="N104" s="30">
        <f t="array" ref="N104">INDIRECT("'"&amp;$A104&amp;"'!K8")</f>
        <v/>
      </c>
      <c r="O104" s="30">
        <f t="array" ref="O104">INDIRECT("'"&amp;$A104&amp;"'!L8")</f>
        <v/>
      </c>
      <c r="P104" s="30">
        <f t="array" ref="P104">INDIRECT("'"&amp;$A104&amp;"'!M8")</f>
        <v/>
      </c>
      <c r="Q104" s="30">
        <f t="array" ref="Q104">INDIRECT("'"&amp;$A104&amp;"'!N8")</f>
        <v/>
      </c>
      <c r="R104" s="30">
        <f t="array" ref="R104">INDIRECT("'"&amp;$A104&amp;"'!O8")</f>
        <v/>
      </c>
      <c r="S104" s="30">
        <f t="array" ref="S104">INDIRECT("'"&amp;$A104&amp;"'!P8")</f>
        <v/>
      </c>
      <c r="T104" s="30">
        <f t="array" ref="T104">INDIRECT("'"&amp;$A104&amp;"'!Q8")</f>
        <v/>
      </c>
      <c r="U104" s="30">
        <f t="array" ref="U104">INDIRECT("'"&amp;$A104&amp;"'!R8")</f>
        <v/>
      </c>
      <c r="V104" s="30">
        <f t="array" ref="V104">INDIRECT("'"&amp;$A104&amp;"'!S8")</f>
        <v/>
      </c>
      <c r="W104" s="30">
        <f t="array" ref="W104">INDIRECT("'"&amp;$A104&amp;"'!T8")</f>
        <v/>
      </c>
      <c r="X104" s="30">
        <f t="array" ref="X104">INDIRECT("'"&amp;$A104&amp;"'!U8")</f>
        <v/>
      </c>
      <c r="Y104" s="30">
        <f t="array" ref="Y104">INDIRECT("'"&amp;$A104&amp;"'!V8")</f>
        <v/>
      </c>
      <c r="Z104" s="30">
        <f t="array" ref="Z104">INDIRECT("'"&amp;$A104&amp;"'!W8")</f>
        <v/>
      </c>
      <c r="AA104" s="30">
        <f t="array" ref="AA104">INDIRECT("'"&amp;$A104&amp;"'!X8")</f>
        <v/>
      </c>
      <c r="AB104" s="30">
        <f t="array" ref="AB104">INDIRECT("'"&amp;$A104&amp;"'!Y8")</f>
        <v/>
      </c>
      <c r="AC104" s="30">
        <f t="array" ref="AC104">INDIRECT("'"&amp;$A104&amp;"'!Z8")</f>
        <v/>
      </c>
      <c r="AD104" s="31">
        <f t="array" ref="AD104">INDIRECT("'"&amp;$A104&amp;"'!AA8")</f>
        <v/>
      </c>
      <c r="AE104" s="79">
        <f t="array" ref="AE104">INDIRECT("'"&amp;$A105&amp;"'!J2")</f>
        <v/>
      </c>
      <c r="AF104" s="53">
        <f t="array" ref="AF104">INDIRECT("'"&amp;$A105&amp;"'!AD1")</f>
        <v/>
      </c>
    </row>
    <row r="105">
      <c r="A105" s="58" t="n">
        <v>35</v>
      </c>
      <c r="B105" s="105" t="n"/>
      <c r="C105" s="67">
        <f t="array" ref="C105">CONCATENATE("粮 ",INDIRECT("'"&amp;$A105&amp;"'!D4"))</f>
        <v/>
      </c>
      <c r="D105" s="55" t="inlineStr">
        <is>
          <t>2队</t>
        </is>
      </c>
      <c r="E105" s="80">
        <f t="array" ref="E105">INDIRECT("'"&amp;$A105&amp;"'!I3")</f>
        <v/>
      </c>
      <c r="F105" s="52">
        <f t="array" ref="F105">INDIRECT("'"&amp;$A105&amp;"'!C11")</f>
        <v/>
      </c>
      <c r="G105" s="3">
        <f t="array" ref="G105">INDIRECT("'"&amp;$A105&amp;"'!D11")</f>
        <v/>
      </c>
      <c r="H105" s="3">
        <f t="array" ref="H105">INDIRECT("'"&amp;$A105&amp;"'!E11")</f>
        <v/>
      </c>
      <c r="I105" s="3">
        <f t="array" ref="I105">INDIRECT("'"&amp;$A105&amp;"'!F11")</f>
        <v/>
      </c>
      <c r="J105" s="3">
        <f t="array" ref="J105">INDIRECT("'"&amp;$A105&amp;"'!G11")</f>
        <v/>
      </c>
      <c r="K105" s="3">
        <f t="array" ref="K105">INDIRECT("'"&amp;$A105&amp;"'!H11")</f>
        <v/>
      </c>
      <c r="L105" s="3">
        <f t="array" ref="L105">INDIRECT("'"&amp;$A105&amp;"'!I11")</f>
        <v/>
      </c>
      <c r="M105" s="3">
        <f t="array" ref="M105">INDIRECT("'"&amp;$A105&amp;"'!J11")</f>
        <v/>
      </c>
      <c r="N105" s="3">
        <f t="array" ref="N105">INDIRECT("'"&amp;$A105&amp;"'!K11")</f>
        <v/>
      </c>
      <c r="O105" s="3">
        <f t="array" ref="O105">INDIRECT("'"&amp;$A105&amp;"'!L11")</f>
        <v/>
      </c>
      <c r="P105" s="3">
        <f t="array" ref="P105">INDIRECT("'"&amp;$A105&amp;"'!M11")</f>
        <v/>
      </c>
      <c r="Q105" s="3">
        <f t="array" ref="Q105">INDIRECT("'"&amp;$A105&amp;"'!N11")</f>
        <v/>
      </c>
      <c r="R105" s="3">
        <f t="array" ref="R105">INDIRECT("'"&amp;$A105&amp;"'!O11")</f>
        <v/>
      </c>
      <c r="S105" s="3">
        <f t="array" ref="S105">INDIRECT("'"&amp;$A105&amp;"'!P11")</f>
        <v/>
      </c>
      <c r="T105" s="3">
        <f t="array" ref="T105">INDIRECT("'"&amp;$A105&amp;"'!Q11")</f>
        <v/>
      </c>
      <c r="U105" s="3">
        <f t="array" ref="U105">INDIRECT("'"&amp;$A105&amp;"'!R11")</f>
        <v/>
      </c>
      <c r="V105" s="3">
        <f t="array" ref="V105">INDIRECT("'"&amp;$A105&amp;"'!S11")</f>
        <v/>
      </c>
      <c r="W105" s="3">
        <f t="array" ref="W105">INDIRECT("'"&amp;$A105&amp;"'!T11")</f>
        <v/>
      </c>
      <c r="X105" s="3">
        <f t="array" ref="X105">INDIRECT("'"&amp;$A105&amp;"'!U11")</f>
        <v/>
      </c>
      <c r="Y105" s="3">
        <f t="array" ref="Y105">INDIRECT("'"&amp;$A105&amp;"'!V11")</f>
        <v/>
      </c>
      <c r="Z105" s="3">
        <f t="array" ref="Z105">INDIRECT("'"&amp;$A105&amp;"'!W11")</f>
        <v/>
      </c>
      <c r="AA105" s="3">
        <f t="array" ref="AA105">INDIRECT("'"&amp;$A105&amp;"'!X11")</f>
        <v/>
      </c>
      <c r="AB105" s="3">
        <f t="array" ref="AB105">INDIRECT("'"&amp;$A105&amp;"'!Y11")</f>
        <v/>
      </c>
      <c r="AC105" s="3">
        <f t="array" ref="AC105">INDIRECT("'"&amp;$A105&amp;"'!Z11")</f>
        <v/>
      </c>
      <c r="AD105" s="32">
        <f t="array" ref="AD105">INDIRECT("'"&amp;$A105&amp;"'!AA11")</f>
        <v/>
      </c>
      <c r="AE105" s="80">
        <f t="array" ref="AE105">INDIRECT("'"&amp;$A105&amp;"'!J3")</f>
        <v/>
      </c>
      <c r="AF105" s="53">
        <f t="array" ref="AF105">INDIRECT("'"&amp;$A105&amp;"'!AC1")</f>
        <v/>
      </c>
    </row>
    <row r="106" ht="15.75" customHeight="1" thickBot="1">
      <c r="A106" s="58" t="n">
        <v>35</v>
      </c>
      <c r="B106" s="106" t="n"/>
      <c r="C106" s="77">
        <f t="array" ref="C106">CONCATENATE("分 ",INDIRECT("'"&amp;$A105&amp;"'!D6"))</f>
        <v/>
      </c>
      <c r="D106" s="56" t="inlineStr">
        <is>
          <t>3队</t>
        </is>
      </c>
      <c r="E106" s="81">
        <f t="array" ref="E106">INDIRECT("'"&amp;$A105&amp;"'!I4")</f>
        <v/>
      </c>
      <c r="F106" s="52">
        <f t="array" ref="F106">INDIRECT("'"&amp;$A106&amp;"'!C14")</f>
        <v/>
      </c>
      <c r="G106" s="3">
        <f t="array" ref="G106">INDIRECT("'"&amp;$A106&amp;"'!D14")</f>
        <v/>
      </c>
      <c r="H106" s="3">
        <f t="array" ref="H106">INDIRECT("'"&amp;$A106&amp;"'!E14")</f>
        <v/>
      </c>
      <c r="I106" s="3">
        <f t="array" ref="I106">INDIRECT("'"&amp;$A106&amp;"'!F14")</f>
        <v/>
      </c>
      <c r="J106" s="3">
        <f t="array" ref="J106">INDIRECT("'"&amp;$A106&amp;"'!G14")</f>
        <v/>
      </c>
      <c r="K106" s="3">
        <f t="array" ref="K106">INDIRECT("'"&amp;$A106&amp;"'!H14")</f>
        <v/>
      </c>
      <c r="L106" s="3">
        <f t="array" ref="L106">INDIRECT("'"&amp;$A106&amp;"'!I14")</f>
        <v/>
      </c>
      <c r="M106" s="3">
        <f t="array" ref="M106">INDIRECT("'"&amp;$A106&amp;"'!J14")</f>
        <v/>
      </c>
      <c r="N106" s="3">
        <f t="array" ref="N106">INDIRECT("'"&amp;$A106&amp;"'!K14")</f>
        <v/>
      </c>
      <c r="O106" s="3">
        <f t="array" ref="O106">INDIRECT("'"&amp;$A106&amp;"'!L14")</f>
        <v/>
      </c>
      <c r="P106" s="3">
        <f t="array" ref="P106">INDIRECT("'"&amp;$A106&amp;"'!M14")</f>
        <v/>
      </c>
      <c r="Q106" s="3">
        <f t="array" ref="Q106">INDIRECT("'"&amp;$A106&amp;"'!N14")</f>
        <v/>
      </c>
      <c r="R106" s="3">
        <f t="array" ref="R106">INDIRECT("'"&amp;$A106&amp;"'!O14")</f>
        <v/>
      </c>
      <c r="S106" s="3">
        <f t="array" ref="S106">INDIRECT("'"&amp;$A106&amp;"'!P14")</f>
        <v/>
      </c>
      <c r="T106" s="3">
        <f t="array" ref="T106">INDIRECT("'"&amp;$A106&amp;"'!Q14")</f>
        <v/>
      </c>
      <c r="U106" s="3">
        <f t="array" ref="U106">INDIRECT("'"&amp;$A106&amp;"'!R14")</f>
        <v/>
      </c>
      <c r="V106" s="3">
        <f t="array" ref="V106">INDIRECT("'"&amp;$A106&amp;"'!S14")</f>
        <v/>
      </c>
      <c r="W106" s="3">
        <f t="array" ref="W106">INDIRECT("'"&amp;$A106&amp;"'!T14")</f>
        <v/>
      </c>
      <c r="X106" s="3">
        <f t="array" ref="X106">INDIRECT("'"&amp;$A106&amp;"'!U14")</f>
        <v/>
      </c>
      <c r="Y106" s="3">
        <f t="array" ref="Y106">INDIRECT("'"&amp;$A106&amp;"'!V14")</f>
        <v/>
      </c>
      <c r="Z106" s="3">
        <f t="array" ref="Z106">INDIRECT("'"&amp;$A106&amp;"'!W14")</f>
        <v/>
      </c>
      <c r="AA106" s="3">
        <f t="array" ref="AA106">INDIRECT("'"&amp;$A106&amp;"'!X14")</f>
        <v/>
      </c>
      <c r="AB106" s="3">
        <f t="array" ref="AB106">INDIRECT("'"&amp;$A106&amp;"'!Y14")</f>
        <v/>
      </c>
      <c r="AC106" s="3">
        <f t="array" ref="AC106">INDIRECT("'"&amp;$A106&amp;"'!Z14")</f>
        <v/>
      </c>
      <c r="AD106" s="32">
        <f t="array" ref="AD106">INDIRECT("'"&amp;$A106&amp;"'!AA14")</f>
        <v/>
      </c>
      <c r="AE106" s="81">
        <f t="array" ref="AE106">INDIRECT("'"&amp;$A105&amp;"'!J4")</f>
        <v/>
      </c>
      <c r="AF106" s="53" t="n"/>
    </row>
    <row r="107">
      <c r="A107" s="58" t="n">
        <v>36</v>
      </c>
      <c r="B107" s="103">
        <f>INDEX(data!$I$2:$I$98,MATCH(A107*1,data!$G$2:$G$98,0))</f>
        <v/>
      </c>
      <c r="C107" s="66">
        <f>HYPERLINK("#'" &amp; A107 &amp; "'!A1", "编辑")</f>
        <v/>
      </c>
      <c r="D107" s="54" t="inlineStr">
        <is>
          <t>1队</t>
        </is>
      </c>
      <c r="E107" s="79">
        <f t="array" ref="E107">INDIRECT("'"&amp;$A108&amp;"'!I2")</f>
        <v/>
      </c>
      <c r="F107" s="29">
        <f t="array" ref="F107">INDIRECT("'"&amp;$A107&amp;"'!C8")</f>
        <v/>
      </c>
      <c r="G107" s="30">
        <f t="array" ref="G107">INDIRECT("'"&amp;$A107&amp;"'!D8")</f>
        <v/>
      </c>
      <c r="H107" s="30">
        <f t="array" ref="H107">INDIRECT("'"&amp;$A107&amp;"'!E8")</f>
        <v/>
      </c>
      <c r="I107" s="30">
        <f t="array" ref="I107">INDIRECT("'"&amp;$A107&amp;"'!F8")</f>
        <v/>
      </c>
      <c r="J107" s="30">
        <f t="array" ref="J107">INDIRECT("'"&amp;$A107&amp;"'!G8")</f>
        <v/>
      </c>
      <c r="K107" s="30">
        <f t="array" ref="K107">INDIRECT("'"&amp;$A107&amp;"'!H8")</f>
        <v/>
      </c>
      <c r="L107" s="30">
        <f t="array" ref="L107">INDIRECT("'"&amp;$A107&amp;"'!I8")</f>
        <v/>
      </c>
      <c r="M107" s="30">
        <f t="array" ref="M107">INDIRECT("'"&amp;$A107&amp;"'!J8")</f>
        <v/>
      </c>
      <c r="N107" s="30">
        <f t="array" ref="N107">INDIRECT("'"&amp;$A107&amp;"'!K8")</f>
        <v/>
      </c>
      <c r="O107" s="30">
        <f t="array" ref="O107">INDIRECT("'"&amp;$A107&amp;"'!L8")</f>
        <v/>
      </c>
      <c r="P107" s="30">
        <f t="array" ref="P107">INDIRECT("'"&amp;$A107&amp;"'!M8")</f>
        <v/>
      </c>
      <c r="Q107" s="30">
        <f t="array" ref="Q107">INDIRECT("'"&amp;$A107&amp;"'!N8")</f>
        <v/>
      </c>
      <c r="R107" s="30">
        <f t="array" ref="R107">INDIRECT("'"&amp;$A107&amp;"'!O8")</f>
        <v/>
      </c>
      <c r="S107" s="30">
        <f t="array" ref="S107">INDIRECT("'"&amp;$A107&amp;"'!P8")</f>
        <v/>
      </c>
      <c r="T107" s="30">
        <f t="array" ref="T107">INDIRECT("'"&amp;$A107&amp;"'!Q8")</f>
        <v/>
      </c>
      <c r="U107" s="30">
        <f t="array" ref="U107">INDIRECT("'"&amp;$A107&amp;"'!R8")</f>
        <v/>
      </c>
      <c r="V107" s="30">
        <f t="array" ref="V107">INDIRECT("'"&amp;$A107&amp;"'!S8")</f>
        <v/>
      </c>
      <c r="W107" s="30">
        <f t="array" ref="W107">INDIRECT("'"&amp;$A107&amp;"'!T8")</f>
        <v/>
      </c>
      <c r="X107" s="30">
        <f t="array" ref="X107">INDIRECT("'"&amp;$A107&amp;"'!U8")</f>
        <v/>
      </c>
      <c r="Y107" s="30">
        <f t="array" ref="Y107">INDIRECT("'"&amp;$A107&amp;"'!V8")</f>
        <v/>
      </c>
      <c r="Z107" s="30">
        <f t="array" ref="Z107">INDIRECT("'"&amp;$A107&amp;"'!W8")</f>
        <v/>
      </c>
      <c r="AA107" s="30">
        <f t="array" ref="AA107">INDIRECT("'"&amp;$A107&amp;"'!X8")</f>
        <v/>
      </c>
      <c r="AB107" s="30">
        <f t="array" ref="AB107">INDIRECT("'"&amp;$A107&amp;"'!Y8")</f>
        <v/>
      </c>
      <c r="AC107" s="30">
        <f t="array" ref="AC107">INDIRECT("'"&amp;$A107&amp;"'!Z8")</f>
        <v/>
      </c>
      <c r="AD107" s="31">
        <f t="array" ref="AD107">INDIRECT("'"&amp;$A107&amp;"'!AA8")</f>
        <v/>
      </c>
      <c r="AE107" s="79">
        <f t="array" ref="AE107">INDIRECT("'"&amp;$A108&amp;"'!J2")</f>
        <v/>
      </c>
      <c r="AF107" s="53">
        <f t="array" ref="AF107">INDIRECT("'"&amp;$A108&amp;"'!AD1")</f>
        <v/>
      </c>
    </row>
    <row r="108">
      <c r="A108" s="58" t="n">
        <v>36</v>
      </c>
      <c r="B108" s="105" t="n"/>
      <c r="C108" s="67">
        <f t="array" ref="C108">CONCATENATE("粮 ",INDIRECT("'"&amp;$A108&amp;"'!D4"))</f>
        <v/>
      </c>
      <c r="D108" s="55" t="inlineStr">
        <is>
          <t>2队</t>
        </is>
      </c>
      <c r="E108" s="80">
        <f t="array" ref="E108">INDIRECT("'"&amp;$A108&amp;"'!I3")</f>
        <v/>
      </c>
      <c r="F108" s="52">
        <f t="array" ref="F108">INDIRECT("'"&amp;$A108&amp;"'!C11")</f>
        <v/>
      </c>
      <c r="G108" s="3">
        <f t="array" ref="G108">INDIRECT("'"&amp;$A108&amp;"'!D11")</f>
        <v/>
      </c>
      <c r="H108" s="3">
        <f t="array" ref="H108">INDIRECT("'"&amp;$A108&amp;"'!E11")</f>
        <v/>
      </c>
      <c r="I108" s="3">
        <f t="array" ref="I108">INDIRECT("'"&amp;$A108&amp;"'!F11")</f>
        <v/>
      </c>
      <c r="J108" s="3">
        <f t="array" ref="J108">INDIRECT("'"&amp;$A108&amp;"'!G11")</f>
        <v/>
      </c>
      <c r="K108" s="3">
        <f t="array" ref="K108">INDIRECT("'"&amp;$A108&amp;"'!H11")</f>
        <v/>
      </c>
      <c r="L108" s="3">
        <f t="array" ref="L108">INDIRECT("'"&amp;$A108&amp;"'!I11")</f>
        <v/>
      </c>
      <c r="M108" s="3">
        <f t="array" ref="M108">INDIRECT("'"&amp;$A108&amp;"'!J11")</f>
        <v/>
      </c>
      <c r="N108" s="3">
        <f t="array" ref="N108">INDIRECT("'"&amp;$A108&amp;"'!K11")</f>
        <v/>
      </c>
      <c r="O108" s="3">
        <f t="array" ref="O108">INDIRECT("'"&amp;$A108&amp;"'!L11")</f>
        <v/>
      </c>
      <c r="P108" s="3">
        <f t="array" ref="P108">INDIRECT("'"&amp;$A108&amp;"'!M11")</f>
        <v/>
      </c>
      <c r="Q108" s="3">
        <f t="array" ref="Q108">INDIRECT("'"&amp;$A108&amp;"'!N11")</f>
        <v/>
      </c>
      <c r="R108" s="3">
        <f t="array" ref="R108">INDIRECT("'"&amp;$A108&amp;"'!O11")</f>
        <v/>
      </c>
      <c r="S108" s="3">
        <f t="array" ref="S108">INDIRECT("'"&amp;$A108&amp;"'!P11")</f>
        <v/>
      </c>
      <c r="T108" s="3">
        <f t="array" ref="T108">INDIRECT("'"&amp;$A108&amp;"'!Q11")</f>
        <v/>
      </c>
      <c r="U108" s="3">
        <f t="array" ref="U108">INDIRECT("'"&amp;$A108&amp;"'!R11")</f>
        <v/>
      </c>
      <c r="V108" s="3">
        <f t="array" ref="V108">INDIRECT("'"&amp;$A108&amp;"'!S11")</f>
        <v/>
      </c>
      <c r="W108" s="3">
        <f t="array" ref="W108">INDIRECT("'"&amp;$A108&amp;"'!T11")</f>
        <v/>
      </c>
      <c r="X108" s="3">
        <f t="array" ref="X108">INDIRECT("'"&amp;$A108&amp;"'!U11")</f>
        <v/>
      </c>
      <c r="Y108" s="3">
        <f t="array" ref="Y108">INDIRECT("'"&amp;$A108&amp;"'!V11")</f>
        <v/>
      </c>
      <c r="Z108" s="3">
        <f t="array" ref="Z108">INDIRECT("'"&amp;$A108&amp;"'!W11")</f>
        <v/>
      </c>
      <c r="AA108" s="3">
        <f t="array" ref="AA108">INDIRECT("'"&amp;$A108&amp;"'!X11")</f>
        <v/>
      </c>
      <c r="AB108" s="3">
        <f t="array" ref="AB108">INDIRECT("'"&amp;$A108&amp;"'!Y11")</f>
        <v/>
      </c>
      <c r="AC108" s="3">
        <f t="array" ref="AC108">INDIRECT("'"&amp;$A108&amp;"'!Z11")</f>
        <v/>
      </c>
      <c r="AD108" s="32">
        <f t="array" ref="AD108">INDIRECT("'"&amp;$A108&amp;"'!AA11")</f>
        <v/>
      </c>
      <c r="AE108" s="80">
        <f t="array" ref="AE108">INDIRECT("'"&amp;$A108&amp;"'!J3")</f>
        <v/>
      </c>
      <c r="AF108" s="53">
        <f t="array" ref="AF108">INDIRECT("'"&amp;$A108&amp;"'!AC1")</f>
        <v/>
      </c>
    </row>
    <row r="109" ht="15.75" customHeight="1" thickBot="1">
      <c r="A109" s="58" t="n">
        <v>36</v>
      </c>
      <c r="B109" s="106" t="n"/>
      <c r="C109" s="77">
        <f t="array" ref="C109">CONCATENATE("分 ",INDIRECT("'"&amp;$A108&amp;"'!D6"))</f>
        <v/>
      </c>
      <c r="D109" s="56" t="inlineStr">
        <is>
          <t>3队</t>
        </is>
      </c>
      <c r="E109" s="81">
        <f t="array" ref="E109">INDIRECT("'"&amp;$A108&amp;"'!I4")</f>
        <v/>
      </c>
      <c r="F109" s="52">
        <f t="array" ref="F109">INDIRECT("'"&amp;$A109&amp;"'!C14")</f>
        <v/>
      </c>
      <c r="G109" s="3">
        <f t="array" ref="G109">INDIRECT("'"&amp;$A109&amp;"'!D14")</f>
        <v/>
      </c>
      <c r="H109" s="3">
        <f t="array" ref="H109">INDIRECT("'"&amp;$A109&amp;"'!E14")</f>
        <v/>
      </c>
      <c r="I109" s="3">
        <f t="array" ref="I109">INDIRECT("'"&amp;$A109&amp;"'!F14")</f>
        <v/>
      </c>
      <c r="J109" s="3">
        <f t="array" ref="J109">INDIRECT("'"&amp;$A109&amp;"'!G14")</f>
        <v/>
      </c>
      <c r="K109" s="3">
        <f t="array" ref="K109">INDIRECT("'"&amp;$A109&amp;"'!H14")</f>
        <v/>
      </c>
      <c r="L109" s="3">
        <f t="array" ref="L109">INDIRECT("'"&amp;$A109&amp;"'!I14")</f>
        <v/>
      </c>
      <c r="M109" s="3">
        <f t="array" ref="M109">INDIRECT("'"&amp;$A109&amp;"'!J14")</f>
        <v/>
      </c>
      <c r="N109" s="3">
        <f t="array" ref="N109">INDIRECT("'"&amp;$A109&amp;"'!K14")</f>
        <v/>
      </c>
      <c r="O109" s="3">
        <f t="array" ref="O109">INDIRECT("'"&amp;$A109&amp;"'!L14")</f>
        <v/>
      </c>
      <c r="P109" s="3">
        <f t="array" ref="P109">INDIRECT("'"&amp;$A109&amp;"'!M14")</f>
        <v/>
      </c>
      <c r="Q109" s="3">
        <f t="array" ref="Q109">INDIRECT("'"&amp;$A109&amp;"'!N14")</f>
        <v/>
      </c>
      <c r="R109" s="3">
        <f t="array" ref="R109">INDIRECT("'"&amp;$A109&amp;"'!O14")</f>
        <v/>
      </c>
      <c r="S109" s="3">
        <f t="array" ref="S109">INDIRECT("'"&amp;$A109&amp;"'!P14")</f>
        <v/>
      </c>
      <c r="T109" s="3">
        <f t="array" ref="T109">INDIRECT("'"&amp;$A109&amp;"'!Q14")</f>
        <v/>
      </c>
      <c r="U109" s="3">
        <f t="array" ref="U109">INDIRECT("'"&amp;$A109&amp;"'!R14")</f>
        <v/>
      </c>
      <c r="V109" s="3">
        <f t="array" ref="V109">INDIRECT("'"&amp;$A109&amp;"'!S14")</f>
        <v/>
      </c>
      <c r="W109" s="3">
        <f t="array" ref="W109">INDIRECT("'"&amp;$A109&amp;"'!T14")</f>
        <v/>
      </c>
      <c r="X109" s="3">
        <f t="array" ref="X109">INDIRECT("'"&amp;$A109&amp;"'!U14")</f>
        <v/>
      </c>
      <c r="Y109" s="3">
        <f t="array" ref="Y109">INDIRECT("'"&amp;$A109&amp;"'!V14")</f>
        <v/>
      </c>
      <c r="Z109" s="3">
        <f t="array" ref="Z109">INDIRECT("'"&amp;$A109&amp;"'!W14")</f>
        <v/>
      </c>
      <c r="AA109" s="3">
        <f t="array" ref="AA109">INDIRECT("'"&amp;$A109&amp;"'!X14")</f>
        <v/>
      </c>
      <c r="AB109" s="3">
        <f t="array" ref="AB109">INDIRECT("'"&amp;$A109&amp;"'!Y14")</f>
        <v/>
      </c>
      <c r="AC109" s="3">
        <f t="array" ref="AC109">INDIRECT("'"&amp;$A109&amp;"'!Z14")</f>
        <v/>
      </c>
      <c r="AD109" s="32">
        <f t="array" ref="AD109">INDIRECT("'"&amp;$A109&amp;"'!AA14")</f>
        <v/>
      </c>
      <c r="AE109" s="81">
        <f t="array" ref="AE109">INDIRECT("'"&amp;$A108&amp;"'!J4")</f>
        <v/>
      </c>
      <c r="AF109" s="53" t="n"/>
    </row>
    <row r="110">
      <c r="A110" s="58" t="n">
        <v>37</v>
      </c>
      <c r="B110" s="103">
        <f>INDEX(data!$I$2:$I$98,MATCH(A110*1,data!$G$2:$G$98,0))</f>
        <v/>
      </c>
      <c r="C110" s="66">
        <f>HYPERLINK("#'" &amp; A110 &amp; "'!A1", "编辑")</f>
        <v/>
      </c>
      <c r="D110" s="54" t="inlineStr">
        <is>
          <t>1队</t>
        </is>
      </c>
      <c r="E110" s="79">
        <f t="array" ref="E110">INDIRECT("'"&amp;$A111&amp;"'!I2")</f>
        <v/>
      </c>
      <c r="F110" s="29">
        <f t="array" ref="F110">INDIRECT("'"&amp;$A110&amp;"'!C8")</f>
        <v/>
      </c>
      <c r="G110" s="30">
        <f t="array" ref="G110">INDIRECT("'"&amp;$A110&amp;"'!D8")</f>
        <v/>
      </c>
      <c r="H110" s="30">
        <f t="array" ref="H110">INDIRECT("'"&amp;$A110&amp;"'!E8")</f>
        <v/>
      </c>
      <c r="I110" s="30">
        <f t="array" ref="I110">INDIRECT("'"&amp;$A110&amp;"'!F8")</f>
        <v/>
      </c>
      <c r="J110" s="30">
        <f t="array" ref="J110">INDIRECT("'"&amp;$A110&amp;"'!G8")</f>
        <v/>
      </c>
      <c r="K110" s="30">
        <f t="array" ref="K110">INDIRECT("'"&amp;$A110&amp;"'!H8")</f>
        <v/>
      </c>
      <c r="L110" s="30">
        <f t="array" ref="L110">INDIRECT("'"&amp;$A110&amp;"'!I8")</f>
        <v/>
      </c>
      <c r="M110" s="30">
        <f t="array" ref="M110">INDIRECT("'"&amp;$A110&amp;"'!J8")</f>
        <v/>
      </c>
      <c r="N110" s="30">
        <f t="array" ref="N110">INDIRECT("'"&amp;$A110&amp;"'!K8")</f>
        <v/>
      </c>
      <c r="O110" s="30">
        <f t="array" ref="O110">INDIRECT("'"&amp;$A110&amp;"'!L8")</f>
        <v/>
      </c>
      <c r="P110" s="30">
        <f t="array" ref="P110">INDIRECT("'"&amp;$A110&amp;"'!M8")</f>
        <v/>
      </c>
      <c r="Q110" s="30">
        <f t="array" ref="Q110">INDIRECT("'"&amp;$A110&amp;"'!N8")</f>
        <v/>
      </c>
      <c r="R110" s="30">
        <f t="array" ref="R110">INDIRECT("'"&amp;$A110&amp;"'!O8")</f>
        <v/>
      </c>
      <c r="S110" s="30">
        <f t="array" ref="S110">INDIRECT("'"&amp;$A110&amp;"'!P8")</f>
        <v/>
      </c>
      <c r="T110" s="30">
        <f t="array" ref="T110">INDIRECT("'"&amp;$A110&amp;"'!Q8")</f>
        <v/>
      </c>
      <c r="U110" s="30">
        <f t="array" ref="U110">INDIRECT("'"&amp;$A110&amp;"'!R8")</f>
        <v/>
      </c>
      <c r="V110" s="30">
        <f t="array" ref="V110">INDIRECT("'"&amp;$A110&amp;"'!S8")</f>
        <v/>
      </c>
      <c r="W110" s="30">
        <f t="array" ref="W110">INDIRECT("'"&amp;$A110&amp;"'!T8")</f>
        <v/>
      </c>
      <c r="X110" s="30">
        <f t="array" ref="X110">INDIRECT("'"&amp;$A110&amp;"'!U8")</f>
        <v/>
      </c>
      <c r="Y110" s="30">
        <f t="array" ref="Y110">INDIRECT("'"&amp;$A110&amp;"'!V8")</f>
        <v/>
      </c>
      <c r="Z110" s="30">
        <f t="array" ref="Z110">INDIRECT("'"&amp;$A110&amp;"'!W8")</f>
        <v/>
      </c>
      <c r="AA110" s="30">
        <f t="array" ref="AA110">INDIRECT("'"&amp;$A110&amp;"'!X8")</f>
        <v/>
      </c>
      <c r="AB110" s="30">
        <f t="array" ref="AB110">INDIRECT("'"&amp;$A110&amp;"'!Y8")</f>
        <v/>
      </c>
      <c r="AC110" s="30">
        <f t="array" ref="AC110">INDIRECT("'"&amp;$A110&amp;"'!Z8")</f>
        <v/>
      </c>
      <c r="AD110" s="31">
        <f t="array" ref="AD110">INDIRECT("'"&amp;$A110&amp;"'!AA8")</f>
        <v/>
      </c>
      <c r="AE110" s="79">
        <f t="array" ref="AE110">INDIRECT("'"&amp;$A111&amp;"'!J2")</f>
        <v/>
      </c>
      <c r="AF110" s="53">
        <f t="array" ref="AF110">INDIRECT("'"&amp;$A111&amp;"'!AD1")</f>
        <v/>
      </c>
    </row>
    <row r="111">
      <c r="A111" s="58" t="n">
        <v>37</v>
      </c>
      <c r="B111" s="105" t="n"/>
      <c r="C111" s="67">
        <f t="array" ref="C111">CONCATENATE("粮 ",INDIRECT("'"&amp;$A111&amp;"'!D4"))</f>
        <v/>
      </c>
      <c r="D111" s="55" t="inlineStr">
        <is>
          <t>2队</t>
        </is>
      </c>
      <c r="E111" s="80">
        <f t="array" ref="E111">INDIRECT("'"&amp;$A111&amp;"'!I3")</f>
        <v/>
      </c>
      <c r="F111" s="52">
        <f t="array" ref="F111">INDIRECT("'"&amp;$A111&amp;"'!C11")</f>
        <v/>
      </c>
      <c r="G111" s="3">
        <f t="array" ref="G111">INDIRECT("'"&amp;$A111&amp;"'!D11")</f>
        <v/>
      </c>
      <c r="H111" s="3">
        <f t="array" ref="H111">INDIRECT("'"&amp;$A111&amp;"'!E11")</f>
        <v/>
      </c>
      <c r="I111" s="3">
        <f t="array" ref="I111">INDIRECT("'"&amp;$A111&amp;"'!F11")</f>
        <v/>
      </c>
      <c r="J111" s="3">
        <f t="array" ref="J111">INDIRECT("'"&amp;$A111&amp;"'!G11")</f>
        <v/>
      </c>
      <c r="K111" s="3">
        <f t="array" ref="K111">INDIRECT("'"&amp;$A111&amp;"'!H11")</f>
        <v/>
      </c>
      <c r="L111" s="3">
        <f t="array" ref="L111">INDIRECT("'"&amp;$A111&amp;"'!I11")</f>
        <v/>
      </c>
      <c r="M111" s="3">
        <f t="array" ref="M111">INDIRECT("'"&amp;$A111&amp;"'!J11")</f>
        <v/>
      </c>
      <c r="N111" s="3">
        <f t="array" ref="N111">INDIRECT("'"&amp;$A111&amp;"'!K11")</f>
        <v/>
      </c>
      <c r="O111" s="3">
        <f t="array" ref="O111">INDIRECT("'"&amp;$A111&amp;"'!L11")</f>
        <v/>
      </c>
      <c r="P111" s="3">
        <f t="array" ref="P111">INDIRECT("'"&amp;$A111&amp;"'!M11")</f>
        <v/>
      </c>
      <c r="Q111" s="3">
        <f t="array" ref="Q111">INDIRECT("'"&amp;$A111&amp;"'!N11")</f>
        <v/>
      </c>
      <c r="R111" s="3">
        <f t="array" ref="R111">INDIRECT("'"&amp;$A111&amp;"'!O11")</f>
        <v/>
      </c>
      <c r="S111" s="3">
        <f t="array" ref="S111">INDIRECT("'"&amp;$A111&amp;"'!P11")</f>
        <v/>
      </c>
      <c r="T111" s="3">
        <f t="array" ref="T111">INDIRECT("'"&amp;$A111&amp;"'!Q11")</f>
        <v/>
      </c>
      <c r="U111" s="3">
        <f t="array" ref="U111">INDIRECT("'"&amp;$A111&amp;"'!R11")</f>
        <v/>
      </c>
      <c r="V111" s="3">
        <f t="array" ref="V111">INDIRECT("'"&amp;$A111&amp;"'!S11")</f>
        <v/>
      </c>
      <c r="W111" s="3">
        <f t="array" ref="W111">INDIRECT("'"&amp;$A111&amp;"'!T11")</f>
        <v/>
      </c>
      <c r="X111" s="3">
        <f t="array" ref="X111">INDIRECT("'"&amp;$A111&amp;"'!U11")</f>
        <v/>
      </c>
      <c r="Y111" s="3">
        <f t="array" ref="Y111">INDIRECT("'"&amp;$A111&amp;"'!V11")</f>
        <v/>
      </c>
      <c r="Z111" s="3">
        <f t="array" ref="Z111">INDIRECT("'"&amp;$A111&amp;"'!W11")</f>
        <v/>
      </c>
      <c r="AA111" s="3">
        <f t="array" ref="AA111">INDIRECT("'"&amp;$A111&amp;"'!X11")</f>
        <v/>
      </c>
      <c r="AB111" s="3">
        <f t="array" ref="AB111">INDIRECT("'"&amp;$A111&amp;"'!Y11")</f>
        <v/>
      </c>
      <c r="AC111" s="3">
        <f t="array" ref="AC111">INDIRECT("'"&amp;$A111&amp;"'!Z11")</f>
        <v/>
      </c>
      <c r="AD111" s="32">
        <f t="array" ref="AD111">INDIRECT("'"&amp;$A111&amp;"'!AA11")</f>
        <v/>
      </c>
      <c r="AE111" s="80">
        <f t="array" ref="AE111">INDIRECT("'"&amp;$A111&amp;"'!J3")</f>
        <v/>
      </c>
      <c r="AF111" s="53">
        <f t="array" ref="AF111">INDIRECT("'"&amp;$A111&amp;"'!AC1")</f>
        <v/>
      </c>
    </row>
    <row r="112" ht="15.75" customHeight="1" thickBot="1">
      <c r="A112" s="58" t="n">
        <v>37</v>
      </c>
      <c r="B112" s="106" t="n"/>
      <c r="C112" s="77">
        <f t="array" ref="C112">CONCATENATE("分 ",INDIRECT("'"&amp;$A111&amp;"'!D6"))</f>
        <v/>
      </c>
      <c r="D112" s="56" t="inlineStr">
        <is>
          <t>3队</t>
        </is>
      </c>
      <c r="E112" s="81">
        <f t="array" ref="E112">INDIRECT("'"&amp;$A111&amp;"'!I4")</f>
        <v/>
      </c>
      <c r="F112" s="52">
        <f t="array" ref="F112">INDIRECT("'"&amp;$A112&amp;"'!C14")</f>
        <v/>
      </c>
      <c r="G112" s="3">
        <f t="array" ref="G112">INDIRECT("'"&amp;$A112&amp;"'!D14")</f>
        <v/>
      </c>
      <c r="H112" s="3">
        <f t="array" ref="H112">INDIRECT("'"&amp;$A112&amp;"'!E14")</f>
        <v/>
      </c>
      <c r="I112" s="3">
        <f t="array" ref="I112">INDIRECT("'"&amp;$A112&amp;"'!F14")</f>
        <v/>
      </c>
      <c r="J112" s="3">
        <f t="array" ref="J112">INDIRECT("'"&amp;$A112&amp;"'!G14")</f>
        <v/>
      </c>
      <c r="K112" s="3">
        <f t="array" ref="K112">INDIRECT("'"&amp;$A112&amp;"'!H14")</f>
        <v/>
      </c>
      <c r="L112" s="3">
        <f t="array" ref="L112">INDIRECT("'"&amp;$A112&amp;"'!I14")</f>
        <v/>
      </c>
      <c r="M112" s="3">
        <f t="array" ref="M112">INDIRECT("'"&amp;$A112&amp;"'!J14")</f>
        <v/>
      </c>
      <c r="N112" s="3">
        <f t="array" ref="N112">INDIRECT("'"&amp;$A112&amp;"'!K14")</f>
        <v/>
      </c>
      <c r="O112" s="3">
        <f t="array" ref="O112">INDIRECT("'"&amp;$A112&amp;"'!L14")</f>
        <v/>
      </c>
      <c r="P112" s="3">
        <f t="array" ref="P112">INDIRECT("'"&amp;$A112&amp;"'!M14")</f>
        <v/>
      </c>
      <c r="Q112" s="3">
        <f t="array" ref="Q112">INDIRECT("'"&amp;$A112&amp;"'!N14")</f>
        <v/>
      </c>
      <c r="R112" s="3">
        <f t="array" ref="R112">INDIRECT("'"&amp;$A112&amp;"'!O14")</f>
        <v/>
      </c>
      <c r="S112" s="3">
        <f t="array" ref="S112">INDIRECT("'"&amp;$A112&amp;"'!P14")</f>
        <v/>
      </c>
      <c r="T112" s="3">
        <f t="array" ref="T112">INDIRECT("'"&amp;$A112&amp;"'!Q14")</f>
        <v/>
      </c>
      <c r="U112" s="3">
        <f t="array" ref="U112">INDIRECT("'"&amp;$A112&amp;"'!R14")</f>
        <v/>
      </c>
      <c r="V112" s="3">
        <f t="array" ref="V112">INDIRECT("'"&amp;$A112&amp;"'!S14")</f>
        <v/>
      </c>
      <c r="W112" s="3">
        <f t="array" ref="W112">INDIRECT("'"&amp;$A112&amp;"'!T14")</f>
        <v/>
      </c>
      <c r="X112" s="3">
        <f t="array" ref="X112">INDIRECT("'"&amp;$A112&amp;"'!U14")</f>
        <v/>
      </c>
      <c r="Y112" s="3">
        <f t="array" ref="Y112">INDIRECT("'"&amp;$A112&amp;"'!V14")</f>
        <v/>
      </c>
      <c r="Z112" s="3">
        <f t="array" ref="Z112">INDIRECT("'"&amp;$A112&amp;"'!W14")</f>
        <v/>
      </c>
      <c r="AA112" s="3">
        <f t="array" ref="AA112">INDIRECT("'"&amp;$A112&amp;"'!X14")</f>
        <v/>
      </c>
      <c r="AB112" s="3">
        <f t="array" ref="AB112">INDIRECT("'"&amp;$A112&amp;"'!Y14")</f>
        <v/>
      </c>
      <c r="AC112" s="3">
        <f t="array" ref="AC112">INDIRECT("'"&amp;$A112&amp;"'!Z14")</f>
        <v/>
      </c>
      <c r="AD112" s="32">
        <f t="array" ref="AD112">INDIRECT("'"&amp;$A112&amp;"'!AA14")</f>
        <v/>
      </c>
      <c r="AE112" s="81">
        <f t="array" ref="AE112">INDIRECT("'"&amp;$A111&amp;"'!J4")</f>
        <v/>
      </c>
      <c r="AF112" s="53" t="n"/>
    </row>
    <row r="113">
      <c r="A113" s="58" t="n">
        <v>38</v>
      </c>
      <c r="B113" s="103">
        <f>INDEX(data!$I$2:$I$98,MATCH(A113*1,data!$G$2:$G$98,0))</f>
        <v/>
      </c>
      <c r="C113" s="66">
        <f>HYPERLINK("#'" &amp; A113 &amp; "'!A1", "编辑")</f>
        <v/>
      </c>
      <c r="D113" s="54" t="inlineStr">
        <is>
          <t>1队</t>
        </is>
      </c>
      <c r="E113" s="79">
        <f t="array" ref="E113">INDIRECT("'"&amp;$A114&amp;"'!I2")</f>
        <v/>
      </c>
      <c r="F113" s="29">
        <f t="array" ref="F113">INDIRECT("'"&amp;$A113&amp;"'!C8")</f>
        <v/>
      </c>
      <c r="G113" s="30">
        <f t="array" ref="G113">INDIRECT("'"&amp;$A113&amp;"'!D8")</f>
        <v/>
      </c>
      <c r="H113" s="30">
        <f t="array" ref="H113">INDIRECT("'"&amp;$A113&amp;"'!E8")</f>
        <v/>
      </c>
      <c r="I113" s="30">
        <f t="array" ref="I113">INDIRECT("'"&amp;$A113&amp;"'!F8")</f>
        <v/>
      </c>
      <c r="J113" s="30">
        <f t="array" ref="J113">INDIRECT("'"&amp;$A113&amp;"'!G8")</f>
        <v/>
      </c>
      <c r="K113" s="30">
        <f t="array" ref="K113">INDIRECT("'"&amp;$A113&amp;"'!H8")</f>
        <v/>
      </c>
      <c r="L113" s="30">
        <f t="array" ref="L113">INDIRECT("'"&amp;$A113&amp;"'!I8")</f>
        <v/>
      </c>
      <c r="M113" s="30">
        <f t="array" ref="M113">INDIRECT("'"&amp;$A113&amp;"'!J8")</f>
        <v/>
      </c>
      <c r="N113" s="30">
        <f t="array" ref="N113">INDIRECT("'"&amp;$A113&amp;"'!K8")</f>
        <v/>
      </c>
      <c r="O113" s="30">
        <f t="array" ref="O113">INDIRECT("'"&amp;$A113&amp;"'!L8")</f>
        <v/>
      </c>
      <c r="P113" s="30">
        <f t="array" ref="P113">INDIRECT("'"&amp;$A113&amp;"'!M8")</f>
        <v/>
      </c>
      <c r="Q113" s="30">
        <f t="array" ref="Q113">INDIRECT("'"&amp;$A113&amp;"'!N8")</f>
        <v/>
      </c>
      <c r="R113" s="30">
        <f t="array" ref="R113">INDIRECT("'"&amp;$A113&amp;"'!O8")</f>
        <v/>
      </c>
      <c r="S113" s="30">
        <f t="array" ref="S113">INDIRECT("'"&amp;$A113&amp;"'!P8")</f>
        <v/>
      </c>
      <c r="T113" s="30">
        <f t="array" ref="T113">INDIRECT("'"&amp;$A113&amp;"'!Q8")</f>
        <v/>
      </c>
      <c r="U113" s="30">
        <f t="array" ref="U113">INDIRECT("'"&amp;$A113&amp;"'!R8")</f>
        <v/>
      </c>
      <c r="V113" s="30">
        <f t="array" ref="V113">INDIRECT("'"&amp;$A113&amp;"'!S8")</f>
        <v/>
      </c>
      <c r="W113" s="30">
        <f t="array" ref="W113">INDIRECT("'"&amp;$A113&amp;"'!T8")</f>
        <v/>
      </c>
      <c r="X113" s="30">
        <f t="array" ref="X113">INDIRECT("'"&amp;$A113&amp;"'!U8")</f>
        <v/>
      </c>
      <c r="Y113" s="30">
        <f t="array" ref="Y113">INDIRECT("'"&amp;$A113&amp;"'!V8")</f>
        <v/>
      </c>
      <c r="Z113" s="30">
        <f t="array" ref="Z113">INDIRECT("'"&amp;$A113&amp;"'!W8")</f>
        <v/>
      </c>
      <c r="AA113" s="30">
        <f t="array" ref="AA113">INDIRECT("'"&amp;$A113&amp;"'!X8")</f>
        <v/>
      </c>
      <c r="AB113" s="30">
        <f t="array" ref="AB113">INDIRECT("'"&amp;$A113&amp;"'!Y8")</f>
        <v/>
      </c>
      <c r="AC113" s="30">
        <f t="array" ref="AC113">INDIRECT("'"&amp;$A113&amp;"'!Z8")</f>
        <v/>
      </c>
      <c r="AD113" s="31">
        <f t="array" ref="AD113">INDIRECT("'"&amp;$A113&amp;"'!AA8")</f>
        <v/>
      </c>
      <c r="AE113" s="79">
        <f t="array" ref="AE113">INDIRECT("'"&amp;$A114&amp;"'!J2")</f>
        <v/>
      </c>
      <c r="AF113" s="53">
        <f t="array" ref="AF113">INDIRECT("'"&amp;$A114&amp;"'!AD1")</f>
        <v/>
      </c>
    </row>
    <row r="114">
      <c r="A114" s="58" t="n">
        <v>38</v>
      </c>
      <c r="B114" s="105" t="n"/>
      <c r="C114" s="67">
        <f t="array" ref="C114">CONCATENATE("粮 ",INDIRECT("'"&amp;$A114&amp;"'!D4"))</f>
        <v/>
      </c>
      <c r="D114" s="55" t="inlineStr">
        <is>
          <t>2队</t>
        </is>
      </c>
      <c r="E114" s="80">
        <f t="array" ref="E114">INDIRECT("'"&amp;$A114&amp;"'!I3")</f>
        <v/>
      </c>
      <c r="F114" s="52">
        <f t="array" ref="F114">INDIRECT("'"&amp;$A114&amp;"'!C11")</f>
        <v/>
      </c>
      <c r="G114" s="3">
        <f t="array" ref="G114">INDIRECT("'"&amp;$A114&amp;"'!D11")</f>
        <v/>
      </c>
      <c r="H114" s="3">
        <f t="array" ref="H114">INDIRECT("'"&amp;$A114&amp;"'!E11")</f>
        <v/>
      </c>
      <c r="I114" s="3">
        <f t="array" ref="I114">INDIRECT("'"&amp;$A114&amp;"'!F11")</f>
        <v/>
      </c>
      <c r="J114" s="3">
        <f t="array" ref="J114">INDIRECT("'"&amp;$A114&amp;"'!G11")</f>
        <v/>
      </c>
      <c r="K114" s="3">
        <f t="array" ref="K114">INDIRECT("'"&amp;$A114&amp;"'!H11")</f>
        <v/>
      </c>
      <c r="L114" s="3">
        <f t="array" ref="L114">INDIRECT("'"&amp;$A114&amp;"'!I11")</f>
        <v/>
      </c>
      <c r="M114" s="3">
        <f t="array" ref="M114">INDIRECT("'"&amp;$A114&amp;"'!J11")</f>
        <v/>
      </c>
      <c r="N114" s="3">
        <f t="array" ref="N114">INDIRECT("'"&amp;$A114&amp;"'!K11")</f>
        <v/>
      </c>
      <c r="O114" s="3">
        <f t="array" ref="O114">INDIRECT("'"&amp;$A114&amp;"'!L11")</f>
        <v/>
      </c>
      <c r="P114" s="3">
        <f t="array" ref="P114">INDIRECT("'"&amp;$A114&amp;"'!M11")</f>
        <v/>
      </c>
      <c r="Q114" s="3">
        <f t="array" ref="Q114">INDIRECT("'"&amp;$A114&amp;"'!N11")</f>
        <v/>
      </c>
      <c r="R114" s="3">
        <f t="array" ref="R114">INDIRECT("'"&amp;$A114&amp;"'!O11")</f>
        <v/>
      </c>
      <c r="S114" s="3">
        <f t="array" ref="S114">INDIRECT("'"&amp;$A114&amp;"'!P11")</f>
        <v/>
      </c>
      <c r="T114" s="3">
        <f t="array" ref="T114">INDIRECT("'"&amp;$A114&amp;"'!Q11")</f>
        <v/>
      </c>
      <c r="U114" s="3">
        <f t="array" ref="U114">INDIRECT("'"&amp;$A114&amp;"'!R11")</f>
        <v/>
      </c>
      <c r="V114" s="3">
        <f t="array" ref="V114">INDIRECT("'"&amp;$A114&amp;"'!S11")</f>
        <v/>
      </c>
      <c r="W114" s="3">
        <f t="array" ref="W114">INDIRECT("'"&amp;$A114&amp;"'!T11")</f>
        <v/>
      </c>
      <c r="X114" s="3">
        <f t="array" ref="X114">INDIRECT("'"&amp;$A114&amp;"'!U11")</f>
        <v/>
      </c>
      <c r="Y114" s="3">
        <f t="array" ref="Y114">INDIRECT("'"&amp;$A114&amp;"'!V11")</f>
        <v/>
      </c>
      <c r="Z114" s="3">
        <f t="array" ref="Z114">INDIRECT("'"&amp;$A114&amp;"'!W11")</f>
        <v/>
      </c>
      <c r="AA114" s="3">
        <f t="array" ref="AA114">INDIRECT("'"&amp;$A114&amp;"'!X11")</f>
        <v/>
      </c>
      <c r="AB114" s="3">
        <f t="array" ref="AB114">INDIRECT("'"&amp;$A114&amp;"'!Y11")</f>
        <v/>
      </c>
      <c r="AC114" s="3">
        <f t="array" ref="AC114">INDIRECT("'"&amp;$A114&amp;"'!Z11")</f>
        <v/>
      </c>
      <c r="AD114" s="32">
        <f t="array" ref="AD114">INDIRECT("'"&amp;$A114&amp;"'!AA11")</f>
        <v/>
      </c>
      <c r="AE114" s="80">
        <f t="array" ref="AE114">INDIRECT("'"&amp;$A114&amp;"'!J3")</f>
        <v/>
      </c>
      <c r="AF114" s="53">
        <f t="array" ref="AF114">INDIRECT("'"&amp;$A114&amp;"'!AC1")</f>
        <v/>
      </c>
    </row>
    <row r="115" ht="15.75" customHeight="1" thickBot="1">
      <c r="A115" s="58" t="n">
        <v>38</v>
      </c>
      <c r="B115" s="106" t="n"/>
      <c r="C115" s="77">
        <f t="array" ref="C115">CONCATENATE("分 ",INDIRECT("'"&amp;$A114&amp;"'!D6"))</f>
        <v/>
      </c>
      <c r="D115" s="56" t="inlineStr">
        <is>
          <t>3队</t>
        </is>
      </c>
      <c r="E115" s="81">
        <f t="array" ref="E115">INDIRECT("'"&amp;$A114&amp;"'!I4")</f>
        <v/>
      </c>
      <c r="F115" s="52">
        <f t="array" ref="F115">INDIRECT("'"&amp;$A115&amp;"'!C14")</f>
        <v/>
      </c>
      <c r="G115" s="3">
        <f t="array" ref="G115">INDIRECT("'"&amp;$A115&amp;"'!D14")</f>
        <v/>
      </c>
      <c r="H115" s="3">
        <f t="array" ref="H115">INDIRECT("'"&amp;$A115&amp;"'!E14")</f>
        <v/>
      </c>
      <c r="I115" s="3">
        <f t="array" ref="I115">INDIRECT("'"&amp;$A115&amp;"'!F14")</f>
        <v/>
      </c>
      <c r="J115" s="3">
        <f t="array" ref="J115">INDIRECT("'"&amp;$A115&amp;"'!G14")</f>
        <v/>
      </c>
      <c r="K115" s="3">
        <f t="array" ref="K115">INDIRECT("'"&amp;$A115&amp;"'!H14")</f>
        <v/>
      </c>
      <c r="L115" s="3">
        <f t="array" ref="L115">INDIRECT("'"&amp;$A115&amp;"'!I14")</f>
        <v/>
      </c>
      <c r="M115" s="3">
        <f t="array" ref="M115">INDIRECT("'"&amp;$A115&amp;"'!J14")</f>
        <v/>
      </c>
      <c r="N115" s="3">
        <f t="array" ref="N115">INDIRECT("'"&amp;$A115&amp;"'!K14")</f>
        <v/>
      </c>
      <c r="O115" s="3">
        <f t="array" ref="O115">INDIRECT("'"&amp;$A115&amp;"'!L14")</f>
        <v/>
      </c>
      <c r="P115" s="3">
        <f t="array" ref="P115">INDIRECT("'"&amp;$A115&amp;"'!M14")</f>
        <v/>
      </c>
      <c r="Q115" s="3">
        <f t="array" ref="Q115">INDIRECT("'"&amp;$A115&amp;"'!N14")</f>
        <v/>
      </c>
      <c r="R115" s="3">
        <f t="array" ref="R115">INDIRECT("'"&amp;$A115&amp;"'!O14")</f>
        <v/>
      </c>
      <c r="S115" s="3">
        <f t="array" ref="S115">INDIRECT("'"&amp;$A115&amp;"'!P14")</f>
        <v/>
      </c>
      <c r="T115" s="3">
        <f t="array" ref="T115">INDIRECT("'"&amp;$A115&amp;"'!Q14")</f>
        <v/>
      </c>
      <c r="U115" s="3">
        <f t="array" ref="U115">INDIRECT("'"&amp;$A115&amp;"'!R14")</f>
        <v/>
      </c>
      <c r="V115" s="3">
        <f t="array" ref="V115">INDIRECT("'"&amp;$A115&amp;"'!S14")</f>
        <v/>
      </c>
      <c r="W115" s="3">
        <f t="array" ref="W115">INDIRECT("'"&amp;$A115&amp;"'!T14")</f>
        <v/>
      </c>
      <c r="X115" s="3">
        <f t="array" ref="X115">INDIRECT("'"&amp;$A115&amp;"'!U14")</f>
        <v/>
      </c>
      <c r="Y115" s="3">
        <f t="array" ref="Y115">INDIRECT("'"&amp;$A115&amp;"'!V14")</f>
        <v/>
      </c>
      <c r="Z115" s="3">
        <f t="array" ref="Z115">INDIRECT("'"&amp;$A115&amp;"'!W14")</f>
        <v/>
      </c>
      <c r="AA115" s="3">
        <f t="array" ref="AA115">INDIRECT("'"&amp;$A115&amp;"'!X14")</f>
        <v/>
      </c>
      <c r="AB115" s="3">
        <f t="array" ref="AB115">INDIRECT("'"&amp;$A115&amp;"'!Y14")</f>
        <v/>
      </c>
      <c r="AC115" s="3">
        <f t="array" ref="AC115">INDIRECT("'"&amp;$A115&amp;"'!Z14")</f>
        <v/>
      </c>
      <c r="AD115" s="32">
        <f t="array" ref="AD115">INDIRECT("'"&amp;$A115&amp;"'!AA14")</f>
        <v/>
      </c>
      <c r="AE115" s="81">
        <f t="array" ref="AE115">INDIRECT("'"&amp;$A114&amp;"'!J4")</f>
        <v/>
      </c>
      <c r="AF115" s="53" t="n"/>
    </row>
    <row r="116">
      <c r="A116" s="58" t="n">
        <v>39</v>
      </c>
      <c r="B116" s="103">
        <f>INDEX(data!$I$2:$I$98,MATCH(A116*1,data!$G$2:$G$98,0))</f>
        <v/>
      </c>
      <c r="C116" s="66">
        <f>HYPERLINK("#'" &amp; A116 &amp; "'!A1", "编辑")</f>
        <v/>
      </c>
      <c r="D116" s="54" t="inlineStr">
        <is>
          <t>1队</t>
        </is>
      </c>
      <c r="E116" s="79">
        <f t="array" ref="E116">INDIRECT("'"&amp;$A117&amp;"'!I2")</f>
        <v/>
      </c>
      <c r="F116" s="29">
        <f t="array" ref="F116">INDIRECT("'"&amp;$A116&amp;"'!C8")</f>
        <v/>
      </c>
      <c r="G116" s="30">
        <f t="array" ref="G116">INDIRECT("'"&amp;$A116&amp;"'!D8")</f>
        <v/>
      </c>
      <c r="H116" s="30">
        <f t="array" ref="H116">INDIRECT("'"&amp;$A116&amp;"'!E8")</f>
        <v/>
      </c>
      <c r="I116" s="30">
        <f t="array" ref="I116">INDIRECT("'"&amp;$A116&amp;"'!F8")</f>
        <v/>
      </c>
      <c r="J116" s="30">
        <f t="array" ref="J116">INDIRECT("'"&amp;$A116&amp;"'!G8")</f>
        <v/>
      </c>
      <c r="K116" s="30">
        <f t="array" ref="K116">INDIRECT("'"&amp;$A116&amp;"'!H8")</f>
        <v/>
      </c>
      <c r="L116" s="30">
        <f t="array" ref="L116">INDIRECT("'"&amp;$A116&amp;"'!I8")</f>
        <v/>
      </c>
      <c r="M116" s="30">
        <f t="array" ref="M116">INDIRECT("'"&amp;$A116&amp;"'!J8")</f>
        <v/>
      </c>
      <c r="N116" s="30">
        <f t="array" ref="N116">INDIRECT("'"&amp;$A116&amp;"'!K8")</f>
        <v/>
      </c>
      <c r="O116" s="30">
        <f t="array" ref="O116">INDIRECT("'"&amp;$A116&amp;"'!L8")</f>
        <v/>
      </c>
      <c r="P116" s="30">
        <f t="array" ref="P116">INDIRECT("'"&amp;$A116&amp;"'!M8")</f>
        <v/>
      </c>
      <c r="Q116" s="30">
        <f t="array" ref="Q116">INDIRECT("'"&amp;$A116&amp;"'!N8")</f>
        <v/>
      </c>
      <c r="R116" s="30">
        <f t="array" ref="R116">INDIRECT("'"&amp;$A116&amp;"'!O8")</f>
        <v/>
      </c>
      <c r="S116" s="30">
        <f t="array" ref="S116">INDIRECT("'"&amp;$A116&amp;"'!P8")</f>
        <v/>
      </c>
      <c r="T116" s="30">
        <f t="array" ref="T116">INDIRECT("'"&amp;$A116&amp;"'!Q8")</f>
        <v/>
      </c>
      <c r="U116" s="30">
        <f t="array" ref="U116">INDIRECT("'"&amp;$A116&amp;"'!R8")</f>
        <v/>
      </c>
      <c r="V116" s="30">
        <f t="array" ref="V116">INDIRECT("'"&amp;$A116&amp;"'!S8")</f>
        <v/>
      </c>
      <c r="W116" s="30">
        <f t="array" ref="W116">INDIRECT("'"&amp;$A116&amp;"'!T8")</f>
        <v/>
      </c>
      <c r="X116" s="30">
        <f t="array" ref="X116">INDIRECT("'"&amp;$A116&amp;"'!U8")</f>
        <v/>
      </c>
      <c r="Y116" s="30">
        <f t="array" ref="Y116">INDIRECT("'"&amp;$A116&amp;"'!V8")</f>
        <v/>
      </c>
      <c r="Z116" s="30">
        <f t="array" ref="Z116">INDIRECT("'"&amp;$A116&amp;"'!W8")</f>
        <v/>
      </c>
      <c r="AA116" s="30">
        <f t="array" ref="AA116">INDIRECT("'"&amp;$A116&amp;"'!X8")</f>
        <v/>
      </c>
      <c r="AB116" s="30">
        <f t="array" ref="AB116">INDIRECT("'"&amp;$A116&amp;"'!Y8")</f>
        <v/>
      </c>
      <c r="AC116" s="30">
        <f t="array" ref="AC116">INDIRECT("'"&amp;$A116&amp;"'!Z8")</f>
        <v/>
      </c>
      <c r="AD116" s="31">
        <f t="array" ref="AD116">INDIRECT("'"&amp;$A116&amp;"'!AA8")</f>
        <v/>
      </c>
      <c r="AE116" s="79">
        <f t="array" ref="AE116">INDIRECT("'"&amp;$A117&amp;"'!J2")</f>
        <v/>
      </c>
      <c r="AF116" s="53">
        <f t="array" ref="AF116">INDIRECT("'"&amp;$A117&amp;"'!AD1")</f>
        <v/>
      </c>
    </row>
    <row r="117">
      <c r="A117" s="58" t="n">
        <v>39</v>
      </c>
      <c r="B117" s="105" t="n"/>
      <c r="C117" s="67">
        <f t="array" ref="C117">CONCATENATE("粮 ",INDIRECT("'"&amp;$A117&amp;"'!D4"))</f>
        <v/>
      </c>
      <c r="D117" s="55" t="inlineStr">
        <is>
          <t>2队</t>
        </is>
      </c>
      <c r="E117" s="80">
        <f t="array" ref="E117">INDIRECT("'"&amp;$A117&amp;"'!I3")</f>
        <v/>
      </c>
      <c r="F117" s="52">
        <f t="array" ref="F117">INDIRECT("'"&amp;$A117&amp;"'!C11")</f>
        <v/>
      </c>
      <c r="G117" s="3">
        <f t="array" ref="G117">INDIRECT("'"&amp;$A117&amp;"'!D11")</f>
        <v/>
      </c>
      <c r="H117" s="3">
        <f t="array" ref="H117">INDIRECT("'"&amp;$A117&amp;"'!E11")</f>
        <v/>
      </c>
      <c r="I117" s="3">
        <f t="array" ref="I117">INDIRECT("'"&amp;$A117&amp;"'!F11")</f>
        <v/>
      </c>
      <c r="J117" s="3">
        <f t="array" ref="J117">INDIRECT("'"&amp;$A117&amp;"'!G11")</f>
        <v/>
      </c>
      <c r="K117" s="3">
        <f t="array" ref="K117">INDIRECT("'"&amp;$A117&amp;"'!H11")</f>
        <v/>
      </c>
      <c r="L117" s="3">
        <f t="array" ref="L117">INDIRECT("'"&amp;$A117&amp;"'!I11")</f>
        <v/>
      </c>
      <c r="M117" s="3">
        <f t="array" ref="M117">INDIRECT("'"&amp;$A117&amp;"'!J11")</f>
        <v/>
      </c>
      <c r="N117" s="3">
        <f t="array" ref="N117">INDIRECT("'"&amp;$A117&amp;"'!K11")</f>
        <v/>
      </c>
      <c r="O117" s="3">
        <f t="array" ref="O117">INDIRECT("'"&amp;$A117&amp;"'!L11")</f>
        <v/>
      </c>
      <c r="P117" s="3">
        <f t="array" ref="P117">INDIRECT("'"&amp;$A117&amp;"'!M11")</f>
        <v/>
      </c>
      <c r="Q117" s="3">
        <f t="array" ref="Q117">INDIRECT("'"&amp;$A117&amp;"'!N11")</f>
        <v/>
      </c>
      <c r="R117" s="3">
        <f t="array" ref="R117">INDIRECT("'"&amp;$A117&amp;"'!O11")</f>
        <v/>
      </c>
      <c r="S117" s="3">
        <f t="array" ref="S117">INDIRECT("'"&amp;$A117&amp;"'!P11")</f>
        <v/>
      </c>
      <c r="T117" s="3">
        <f t="array" ref="T117">INDIRECT("'"&amp;$A117&amp;"'!Q11")</f>
        <v/>
      </c>
      <c r="U117" s="3">
        <f t="array" ref="U117">INDIRECT("'"&amp;$A117&amp;"'!R11")</f>
        <v/>
      </c>
      <c r="V117" s="3">
        <f t="array" ref="V117">INDIRECT("'"&amp;$A117&amp;"'!S11")</f>
        <v/>
      </c>
      <c r="W117" s="3">
        <f t="array" ref="W117">INDIRECT("'"&amp;$A117&amp;"'!T11")</f>
        <v/>
      </c>
      <c r="X117" s="3">
        <f t="array" ref="X117">INDIRECT("'"&amp;$A117&amp;"'!U11")</f>
        <v/>
      </c>
      <c r="Y117" s="3">
        <f t="array" ref="Y117">INDIRECT("'"&amp;$A117&amp;"'!V11")</f>
        <v/>
      </c>
      <c r="Z117" s="3">
        <f t="array" ref="Z117">INDIRECT("'"&amp;$A117&amp;"'!W11")</f>
        <v/>
      </c>
      <c r="AA117" s="3">
        <f t="array" ref="AA117">INDIRECT("'"&amp;$A117&amp;"'!X11")</f>
        <v/>
      </c>
      <c r="AB117" s="3">
        <f t="array" ref="AB117">INDIRECT("'"&amp;$A117&amp;"'!Y11")</f>
        <v/>
      </c>
      <c r="AC117" s="3">
        <f t="array" ref="AC117">INDIRECT("'"&amp;$A117&amp;"'!Z11")</f>
        <v/>
      </c>
      <c r="AD117" s="32">
        <f t="array" ref="AD117">INDIRECT("'"&amp;$A117&amp;"'!AA11")</f>
        <v/>
      </c>
      <c r="AE117" s="80">
        <f t="array" ref="AE117">INDIRECT("'"&amp;$A117&amp;"'!J3")</f>
        <v/>
      </c>
      <c r="AF117" s="53">
        <f t="array" ref="AF117">INDIRECT("'"&amp;$A117&amp;"'!AC1")</f>
        <v/>
      </c>
    </row>
    <row r="118" ht="15.75" customHeight="1" thickBot="1">
      <c r="A118" s="58" t="n">
        <v>39</v>
      </c>
      <c r="B118" s="106" t="n"/>
      <c r="C118" s="77">
        <f t="array" ref="C118">CONCATENATE("分 ",INDIRECT("'"&amp;$A117&amp;"'!D6"))</f>
        <v/>
      </c>
      <c r="D118" s="56" t="inlineStr">
        <is>
          <t>3队</t>
        </is>
      </c>
      <c r="E118" s="81">
        <f t="array" ref="E118">INDIRECT("'"&amp;$A117&amp;"'!I4")</f>
        <v/>
      </c>
      <c r="F118" s="52">
        <f t="array" ref="F118">INDIRECT("'"&amp;$A118&amp;"'!C14")</f>
        <v/>
      </c>
      <c r="G118" s="3">
        <f t="array" ref="G118">INDIRECT("'"&amp;$A118&amp;"'!D14")</f>
        <v/>
      </c>
      <c r="H118" s="3">
        <f t="array" ref="H118">INDIRECT("'"&amp;$A118&amp;"'!E14")</f>
        <v/>
      </c>
      <c r="I118" s="3">
        <f t="array" ref="I118">INDIRECT("'"&amp;$A118&amp;"'!F14")</f>
        <v/>
      </c>
      <c r="J118" s="3">
        <f t="array" ref="J118">INDIRECT("'"&amp;$A118&amp;"'!G14")</f>
        <v/>
      </c>
      <c r="K118" s="3">
        <f t="array" ref="K118">INDIRECT("'"&amp;$A118&amp;"'!H14")</f>
        <v/>
      </c>
      <c r="L118" s="3">
        <f t="array" ref="L118">INDIRECT("'"&amp;$A118&amp;"'!I14")</f>
        <v/>
      </c>
      <c r="M118" s="3">
        <f t="array" ref="M118">INDIRECT("'"&amp;$A118&amp;"'!J14")</f>
        <v/>
      </c>
      <c r="N118" s="3">
        <f t="array" ref="N118">INDIRECT("'"&amp;$A118&amp;"'!K14")</f>
        <v/>
      </c>
      <c r="O118" s="3">
        <f t="array" ref="O118">INDIRECT("'"&amp;$A118&amp;"'!L14")</f>
        <v/>
      </c>
      <c r="P118" s="3">
        <f t="array" ref="P118">INDIRECT("'"&amp;$A118&amp;"'!M14")</f>
        <v/>
      </c>
      <c r="Q118" s="3">
        <f t="array" ref="Q118">INDIRECT("'"&amp;$A118&amp;"'!N14")</f>
        <v/>
      </c>
      <c r="R118" s="3">
        <f t="array" ref="R118">INDIRECT("'"&amp;$A118&amp;"'!O14")</f>
        <v/>
      </c>
      <c r="S118" s="3">
        <f t="array" ref="S118">INDIRECT("'"&amp;$A118&amp;"'!P14")</f>
        <v/>
      </c>
      <c r="T118" s="3">
        <f t="array" ref="T118">INDIRECT("'"&amp;$A118&amp;"'!Q14")</f>
        <v/>
      </c>
      <c r="U118" s="3">
        <f t="array" ref="U118">INDIRECT("'"&amp;$A118&amp;"'!R14")</f>
        <v/>
      </c>
      <c r="V118" s="3">
        <f t="array" ref="V118">INDIRECT("'"&amp;$A118&amp;"'!S14")</f>
        <v/>
      </c>
      <c r="W118" s="3">
        <f t="array" ref="W118">INDIRECT("'"&amp;$A118&amp;"'!T14")</f>
        <v/>
      </c>
      <c r="X118" s="3">
        <f t="array" ref="X118">INDIRECT("'"&amp;$A118&amp;"'!U14")</f>
        <v/>
      </c>
      <c r="Y118" s="3">
        <f t="array" ref="Y118">INDIRECT("'"&amp;$A118&amp;"'!V14")</f>
        <v/>
      </c>
      <c r="Z118" s="3">
        <f t="array" ref="Z118">INDIRECT("'"&amp;$A118&amp;"'!W14")</f>
        <v/>
      </c>
      <c r="AA118" s="3">
        <f t="array" ref="AA118">INDIRECT("'"&amp;$A118&amp;"'!X14")</f>
        <v/>
      </c>
      <c r="AB118" s="3">
        <f t="array" ref="AB118">INDIRECT("'"&amp;$A118&amp;"'!Y14")</f>
        <v/>
      </c>
      <c r="AC118" s="3">
        <f t="array" ref="AC118">INDIRECT("'"&amp;$A118&amp;"'!Z14")</f>
        <v/>
      </c>
      <c r="AD118" s="32">
        <f t="array" ref="AD118">INDIRECT("'"&amp;$A118&amp;"'!AA14")</f>
        <v/>
      </c>
      <c r="AE118" s="81">
        <f t="array" ref="AE118">INDIRECT("'"&amp;$A117&amp;"'!J4")</f>
        <v/>
      </c>
      <c r="AF118" s="53" t="n"/>
    </row>
    <row r="119">
      <c r="A119" s="58" t="n">
        <v>40</v>
      </c>
      <c r="B119" s="103">
        <f>INDEX(data!$I$2:$I$98,MATCH(A119*1,data!$G$2:$G$98,0))</f>
        <v/>
      </c>
      <c r="C119" s="66">
        <f>HYPERLINK("#'" &amp; A119 &amp; "'!A1", "编辑")</f>
        <v/>
      </c>
      <c r="D119" s="54" t="inlineStr">
        <is>
          <t>1队</t>
        </is>
      </c>
      <c r="E119" s="79">
        <f t="array" ref="E119">INDIRECT("'"&amp;$A120&amp;"'!I2")</f>
        <v/>
      </c>
      <c r="F119" s="29">
        <f t="array" ref="F119">INDIRECT("'"&amp;$A119&amp;"'!C8")</f>
        <v/>
      </c>
      <c r="G119" s="30">
        <f t="array" ref="G119">INDIRECT("'"&amp;$A119&amp;"'!D8")</f>
        <v/>
      </c>
      <c r="H119" s="30">
        <f t="array" ref="H119">INDIRECT("'"&amp;$A119&amp;"'!E8")</f>
        <v/>
      </c>
      <c r="I119" s="30">
        <f t="array" ref="I119">INDIRECT("'"&amp;$A119&amp;"'!F8")</f>
        <v/>
      </c>
      <c r="J119" s="30">
        <f t="array" ref="J119">INDIRECT("'"&amp;$A119&amp;"'!G8")</f>
        <v/>
      </c>
      <c r="K119" s="30">
        <f t="array" ref="K119">INDIRECT("'"&amp;$A119&amp;"'!H8")</f>
        <v/>
      </c>
      <c r="L119" s="30">
        <f t="array" ref="L119">INDIRECT("'"&amp;$A119&amp;"'!I8")</f>
        <v/>
      </c>
      <c r="M119" s="30">
        <f t="array" ref="M119">INDIRECT("'"&amp;$A119&amp;"'!J8")</f>
        <v/>
      </c>
      <c r="N119" s="30">
        <f t="array" ref="N119">INDIRECT("'"&amp;$A119&amp;"'!K8")</f>
        <v/>
      </c>
      <c r="O119" s="30">
        <f t="array" ref="O119">INDIRECT("'"&amp;$A119&amp;"'!L8")</f>
        <v/>
      </c>
      <c r="P119" s="30">
        <f t="array" ref="P119">INDIRECT("'"&amp;$A119&amp;"'!M8")</f>
        <v/>
      </c>
      <c r="Q119" s="30">
        <f t="array" ref="Q119">INDIRECT("'"&amp;$A119&amp;"'!N8")</f>
        <v/>
      </c>
      <c r="R119" s="30">
        <f t="array" ref="R119">INDIRECT("'"&amp;$A119&amp;"'!O8")</f>
        <v/>
      </c>
      <c r="S119" s="30">
        <f t="array" ref="S119">INDIRECT("'"&amp;$A119&amp;"'!P8")</f>
        <v/>
      </c>
      <c r="T119" s="30">
        <f t="array" ref="T119">INDIRECT("'"&amp;$A119&amp;"'!Q8")</f>
        <v/>
      </c>
      <c r="U119" s="30">
        <f t="array" ref="U119">INDIRECT("'"&amp;$A119&amp;"'!R8")</f>
        <v/>
      </c>
      <c r="V119" s="30">
        <f t="array" ref="V119">INDIRECT("'"&amp;$A119&amp;"'!S8")</f>
        <v/>
      </c>
      <c r="W119" s="30">
        <f t="array" ref="W119">INDIRECT("'"&amp;$A119&amp;"'!T8")</f>
        <v/>
      </c>
      <c r="X119" s="30">
        <f t="array" ref="X119">INDIRECT("'"&amp;$A119&amp;"'!U8")</f>
        <v/>
      </c>
      <c r="Y119" s="30">
        <f t="array" ref="Y119">INDIRECT("'"&amp;$A119&amp;"'!V8")</f>
        <v/>
      </c>
      <c r="Z119" s="30">
        <f t="array" ref="Z119">INDIRECT("'"&amp;$A119&amp;"'!W8")</f>
        <v/>
      </c>
      <c r="AA119" s="30">
        <f t="array" ref="AA119">INDIRECT("'"&amp;$A119&amp;"'!X8")</f>
        <v/>
      </c>
      <c r="AB119" s="30">
        <f t="array" ref="AB119">INDIRECT("'"&amp;$A119&amp;"'!Y8")</f>
        <v/>
      </c>
      <c r="AC119" s="30">
        <f t="array" ref="AC119">INDIRECT("'"&amp;$A119&amp;"'!Z8")</f>
        <v/>
      </c>
      <c r="AD119" s="31">
        <f t="array" ref="AD119">INDIRECT("'"&amp;$A119&amp;"'!AA8")</f>
        <v/>
      </c>
      <c r="AE119" s="79">
        <f t="array" ref="AE119">INDIRECT("'"&amp;$A120&amp;"'!J2")</f>
        <v/>
      </c>
      <c r="AF119" s="53">
        <f t="array" ref="AF119">INDIRECT("'"&amp;$A120&amp;"'!AD1")</f>
        <v/>
      </c>
    </row>
    <row r="120">
      <c r="A120" s="58" t="n">
        <v>40</v>
      </c>
      <c r="B120" s="105" t="n"/>
      <c r="C120" s="67">
        <f t="array" ref="C120">CONCATENATE("粮 ",INDIRECT("'"&amp;$A120&amp;"'!D4"))</f>
        <v/>
      </c>
      <c r="D120" s="55" t="inlineStr">
        <is>
          <t>2队</t>
        </is>
      </c>
      <c r="E120" s="80">
        <f t="array" ref="E120">INDIRECT("'"&amp;$A120&amp;"'!I3")</f>
        <v/>
      </c>
      <c r="F120" s="52">
        <f t="array" ref="F120">INDIRECT("'"&amp;$A120&amp;"'!C11")</f>
        <v/>
      </c>
      <c r="G120" s="3">
        <f t="array" ref="G120">INDIRECT("'"&amp;$A120&amp;"'!D11")</f>
        <v/>
      </c>
      <c r="H120" s="3">
        <f t="array" ref="H120">INDIRECT("'"&amp;$A120&amp;"'!E11")</f>
        <v/>
      </c>
      <c r="I120" s="3">
        <f t="array" ref="I120">INDIRECT("'"&amp;$A120&amp;"'!F11")</f>
        <v/>
      </c>
      <c r="J120" s="3">
        <f t="array" ref="J120">INDIRECT("'"&amp;$A120&amp;"'!G11")</f>
        <v/>
      </c>
      <c r="K120" s="3">
        <f t="array" ref="K120">INDIRECT("'"&amp;$A120&amp;"'!H11")</f>
        <v/>
      </c>
      <c r="L120" s="3">
        <f t="array" ref="L120">INDIRECT("'"&amp;$A120&amp;"'!I11")</f>
        <v/>
      </c>
      <c r="M120" s="3">
        <f t="array" ref="M120">INDIRECT("'"&amp;$A120&amp;"'!J11")</f>
        <v/>
      </c>
      <c r="N120" s="3">
        <f t="array" ref="N120">INDIRECT("'"&amp;$A120&amp;"'!K11")</f>
        <v/>
      </c>
      <c r="O120" s="3">
        <f t="array" ref="O120">INDIRECT("'"&amp;$A120&amp;"'!L11")</f>
        <v/>
      </c>
      <c r="P120" s="3">
        <f t="array" ref="P120">INDIRECT("'"&amp;$A120&amp;"'!M11")</f>
        <v/>
      </c>
      <c r="Q120" s="3">
        <f t="array" ref="Q120">INDIRECT("'"&amp;$A120&amp;"'!N11")</f>
        <v/>
      </c>
      <c r="R120" s="3">
        <f t="array" ref="R120">INDIRECT("'"&amp;$A120&amp;"'!O11")</f>
        <v/>
      </c>
      <c r="S120" s="3">
        <f t="array" ref="S120">INDIRECT("'"&amp;$A120&amp;"'!P11")</f>
        <v/>
      </c>
      <c r="T120" s="3">
        <f t="array" ref="T120">INDIRECT("'"&amp;$A120&amp;"'!Q11")</f>
        <v/>
      </c>
      <c r="U120" s="3">
        <f t="array" ref="U120">INDIRECT("'"&amp;$A120&amp;"'!R11")</f>
        <v/>
      </c>
      <c r="V120" s="3">
        <f t="array" ref="V120">INDIRECT("'"&amp;$A120&amp;"'!S11")</f>
        <v/>
      </c>
      <c r="W120" s="3">
        <f t="array" ref="W120">INDIRECT("'"&amp;$A120&amp;"'!T11")</f>
        <v/>
      </c>
      <c r="X120" s="3">
        <f t="array" ref="X120">INDIRECT("'"&amp;$A120&amp;"'!U11")</f>
        <v/>
      </c>
      <c r="Y120" s="3">
        <f t="array" ref="Y120">INDIRECT("'"&amp;$A120&amp;"'!V11")</f>
        <v/>
      </c>
      <c r="Z120" s="3">
        <f t="array" ref="Z120">INDIRECT("'"&amp;$A120&amp;"'!W11")</f>
        <v/>
      </c>
      <c r="AA120" s="3">
        <f t="array" ref="AA120">INDIRECT("'"&amp;$A120&amp;"'!X11")</f>
        <v/>
      </c>
      <c r="AB120" s="3">
        <f t="array" ref="AB120">INDIRECT("'"&amp;$A120&amp;"'!Y11")</f>
        <v/>
      </c>
      <c r="AC120" s="3">
        <f t="array" ref="AC120">INDIRECT("'"&amp;$A120&amp;"'!Z11")</f>
        <v/>
      </c>
      <c r="AD120" s="32">
        <f t="array" ref="AD120">INDIRECT("'"&amp;$A120&amp;"'!AA11")</f>
        <v/>
      </c>
      <c r="AE120" s="80">
        <f t="array" ref="AE120">INDIRECT("'"&amp;$A120&amp;"'!J3")</f>
        <v/>
      </c>
      <c r="AF120" s="53">
        <f t="array" ref="AF120">INDIRECT("'"&amp;$A120&amp;"'!AC1")</f>
        <v/>
      </c>
    </row>
    <row r="121" ht="15.75" customHeight="1" thickBot="1">
      <c r="A121" s="58" t="n">
        <v>40</v>
      </c>
      <c r="B121" s="106" t="n"/>
      <c r="C121" s="77">
        <f t="array" ref="C121">CONCATENATE("分 ",INDIRECT("'"&amp;$A120&amp;"'!D6"))</f>
        <v/>
      </c>
      <c r="D121" s="56" t="inlineStr">
        <is>
          <t>3队</t>
        </is>
      </c>
      <c r="E121" s="81">
        <f t="array" ref="E121">INDIRECT("'"&amp;$A120&amp;"'!I4")</f>
        <v/>
      </c>
      <c r="F121" s="52">
        <f t="array" ref="F121">INDIRECT("'"&amp;$A121&amp;"'!C14")</f>
        <v/>
      </c>
      <c r="G121" s="3">
        <f t="array" ref="G121">INDIRECT("'"&amp;$A121&amp;"'!D14")</f>
        <v/>
      </c>
      <c r="H121" s="3">
        <f t="array" ref="H121">INDIRECT("'"&amp;$A121&amp;"'!E14")</f>
        <v/>
      </c>
      <c r="I121" s="3">
        <f t="array" ref="I121">INDIRECT("'"&amp;$A121&amp;"'!F14")</f>
        <v/>
      </c>
      <c r="J121" s="3">
        <f t="array" ref="J121">INDIRECT("'"&amp;$A121&amp;"'!G14")</f>
        <v/>
      </c>
      <c r="K121" s="3">
        <f t="array" ref="K121">INDIRECT("'"&amp;$A121&amp;"'!H14")</f>
        <v/>
      </c>
      <c r="L121" s="3">
        <f t="array" ref="L121">INDIRECT("'"&amp;$A121&amp;"'!I14")</f>
        <v/>
      </c>
      <c r="M121" s="3">
        <f t="array" ref="M121">INDIRECT("'"&amp;$A121&amp;"'!J14")</f>
        <v/>
      </c>
      <c r="N121" s="3">
        <f t="array" ref="N121">INDIRECT("'"&amp;$A121&amp;"'!K14")</f>
        <v/>
      </c>
      <c r="O121" s="3">
        <f t="array" ref="O121">INDIRECT("'"&amp;$A121&amp;"'!L14")</f>
        <v/>
      </c>
      <c r="P121" s="3">
        <f t="array" ref="P121">INDIRECT("'"&amp;$A121&amp;"'!M14")</f>
        <v/>
      </c>
      <c r="Q121" s="3">
        <f t="array" ref="Q121">INDIRECT("'"&amp;$A121&amp;"'!N14")</f>
        <v/>
      </c>
      <c r="R121" s="3">
        <f t="array" ref="R121">INDIRECT("'"&amp;$A121&amp;"'!O14")</f>
        <v/>
      </c>
      <c r="S121" s="3">
        <f t="array" ref="S121">INDIRECT("'"&amp;$A121&amp;"'!P14")</f>
        <v/>
      </c>
      <c r="T121" s="3">
        <f t="array" ref="T121">INDIRECT("'"&amp;$A121&amp;"'!Q14")</f>
        <v/>
      </c>
      <c r="U121" s="3">
        <f t="array" ref="U121">INDIRECT("'"&amp;$A121&amp;"'!R14")</f>
        <v/>
      </c>
      <c r="V121" s="3">
        <f t="array" ref="V121">INDIRECT("'"&amp;$A121&amp;"'!S14")</f>
        <v/>
      </c>
      <c r="W121" s="3">
        <f t="array" ref="W121">INDIRECT("'"&amp;$A121&amp;"'!T14")</f>
        <v/>
      </c>
      <c r="X121" s="3">
        <f t="array" ref="X121">INDIRECT("'"&amp;$A121&amp;"'!U14")</f>
        <v/>
      </c>
      <c r="Y121" s="3">
        <f t="array" ref="Y121">INDIRECT("'"&amp;$A121&amp;"'!V14")</f>
        <v/>
      </c>
      <c r="Z121" s="3">
        <f t="array" ref="Z121">INDIRECT("'"&amp;$A121&amp;"'!W14")</f>
        <v/>
      </c>
      <c r="AA121" s="3">
        <f t="array" ref="AA121">INDIRECT("'"&amp;$A121&amp;"'!X14")</f>
        <v/>
      </c>
      <c r="AB121" s="3">
        <f t="array" ref="AB121">INDIRECT("'"&amp;$A121&amp;"'!Y14")</f>
        <v/>
      </c>
      <c r="AC121" s="3">
        <f t="array" ref="AC121">INDIRECT("'"&amp;$A121&amp;"'!Z14")</f>
        <v/>
      </c>
      <c r="AD121" s="32">
        <f t="array" ref="AD121">INDIRECT("'"&amp;$A121&amp;"'!AA14")</f>
        <v/>
      </c>
      <c r="AE121" s="81">
        <f t="array" ref="AE121">INDIRECT("'"&amp;$A120&amp;"'!J4")</f>
        <v/>
      </c>
      <c r="AF121" s="53" t="n"/>
    </row>
    <row r="122">
      <c r="A122" s="58" t="n">
        <v>41</v>
      </c>
      <c r="B122" s="103">
        <f>INDEX(data!$I$2:$I$98,MATCH(A122*1,data!$G$2:$G$98,0))</f>
        <v/>
      </c>
      <c r="C122" s="66">
        <f>HYPERLINK("#'" &amp; A122 &amp; "'!A1", "编辑")</f>
        <v/>
      </c>
      <c r="D122" s="54" t="inlineStr">
        <is>
          <t>1队</t>
        </is>
      </c>
      <c r="E122" s="79">
        <f t="array" ref="E122">INDIRECT("'"&amp;$A123&amp;"'!I2")</f>
        <v/>
      </c>
      <c r="F122" s="29">
        <f t="array" ref="F122">INDIRECT("'"&amp;$A122&amp;"'!C8")</f>
        <v/>
      </c>
      <c r="G122" s="30">
        <f t="array" ref="G122">INDIRECT("'"&amp;$A122&amp;"'!D8")</f>
        <v/>
      </c>
      <c r="H122" s="30">
        <f t="array" ref="H122">INDIRECT("'"&amp;$A122&amp;"'!E8")</f>
        <v/>
      </c>
      <c r="I122" s="30">
        <f t="array" ref="I122">INDIRECT("'"&amp;$A122&amp;"'!F8")</f>
        <v/>
      </c>
      <c r="J122" s="30">
        <f t="array" ref="J122">INDIRECT("'"&amp;$A122&amp;"'!G8")</f>
        <v/>
      </c>
      <c r="K122" s="30">
        <f t="array" ref="K122">INDIRECT("'"&amp;$A122&amp;"'!H8")</f>
        <v/>
      </c>
      <c r="L122" s="30">
        <f t="array" ref="L122">INDIRECT("'"&amp;$A122&amp;"'!I8")</f>
        <v/>
      </c>
      <c r="M122" s="30">
        <f t="array" ref="M122">INDIRECT("'"&amp;$A122&amp;"'!J8")</f>
        <v/>
      </c>
      <c r="N122" s="30">
        <f t="array" ref="N122">INDIRECT("'"&amp;$A122&amp;"'!K8")</f>
        <v/>
      </c>
      <c r="O122" s="30">
        <f t="array" ref="O122">INDIRECT("'"&amp;$A122&amp;"'!L8")</f>
        <v/>
      </c>
      <c r="P122" s="30">
        <f t="array" ref="P122">INDIRECT("'"&amp;$A122&amp;"'!M8")</f>
        <v/>
      </c>
      <c r="Q122" s="30">
        <f t="array" ref="Q122">INDIRECT("'"&amp;$A122&amp;"'!N8")</f>
        <v/>
      </c>
      <c r="R122" s="30">
        <f t="array" ref="R122">INDIRECT("'"&amp;$A122&amp;"'!O8")</f>
        <v/>
      </c>
      <c r="S122" s="30">
        <f t="array" ref="S122">INDIRECT("'"&amp;$A122&amp;"'!P8")</f>
        <v/>
      </c>
      <c r="T122" s="30">
        <f t="array" ref="T122">INDIRECT("'"&amp;$A122&amp;"'!Q8")</f>
        <v/>
      </c>
      <c r="U122" s="30">
        <f t="array" ref="U122">INDIRECT("'"&amp;$A122&amp;"'!R8")</f>
        <v/>
      </c>
      <c r="V122" s="30">
        <f t="array" ref="V122">INDIRECT("'"&amp;$A122&amp;"'!S8")</f>
        <v/>
      </c>
      <c r="W122" s="30">
        <f t="array" ref="W122">INDIRECT("'"&amp;$A122&amp;"'!T8")</f>
        <v/>
      </c>
      <c r="X122" s="30">
        <f t="array" ref="X122">INDIRECT("'"&amp;$A122&amp;"'!U8")</f>
        <v/>
      </c>
      <c r="Y122" s="30">
        <f t="array" ref="Y122">INDIRECT("'"&amp;$A122&amp;"'!V8")</f>
        <v/>
      </c>
      <c r="Z122" s="30">
        <f t="array" ref="Z122">INDIRECT("'"&amp;$A122&amp;"'!W8")</f>
        <v/>
      </c>
      <c r="AA122" s="30">
        <f t="array" ref="AA122">INDIRECT("'"&amp;$A122&amp;"'!X8")</f>
        <v/>
      </c>
      <c r="AB122" s="30">
        <f t="array" ref="AB122">INDIRECT("'"&amp;$A122&amp;"'!Y8")</f>
        <v/>
      </c>
      <c r="AC122" s="30">
        <f t="array" ref="AC122">INDIRECT("'"&amp;$A122&amp;"'!Z8")</f>
        <v/>
      </c>
      <c r="AD122" s="31">
        <f t="array" ref="AD122">INDIRECT("'"&amp;$A122&amp;"'!AA8")</f>
        <v/>
      </c>
      <c r="AE122" s="79">
        <f t="array" ref="AE122">INDIRECT("'"&amp;$A123&amp;"'!J2")</f>
        <v/>
      </c>
      <c r="AF122" s="53">
        <f t="array" ref="AF122">INDIRECT("'"&amp;$A123&amp;"'!AD1")</f>
        <v/>
      </c>
    </row>
    <row r="123">
      <c r="A123" s="58" t="n">
        <v>41</v>
      </c>
      <c r="B123" s="105" t="n"/>
      <c r="C123" s="67">
        <f t="array" ref="C123">CONCATENATE("粮 ",INDIRECT("'"&amp;$A123&amp;"'!D4"))</f>
        <v/>
      </c>
      <c r="D123" s="55" t="inlineStr">
        <is>
          <t>2队</t>
        </is>
      </c>
      <c r="E123" s="80">
        <f t="array" ref="E123">INDIRECT("'"&amp;$A123&amp;"'!I3")</f>
        <v/>
      </c>
      <c r="F123" s="52">
        <f t="array" ref="F123">INDIRECT("'"&amp;$A123&amp;"'!C11")</f>
        <v/>
      </c>
      <c r="G123" s="3">
        <f t="array" ref="G123">INDIRECT("'"&amp;$A123&amp;"'!D11")</f>
        <v/>
      </c>
      <c r="H123" s="3">
        <f t="array" ref="H123">INDIRECT("'"&amp;$A123&amp;"'!E11")</f>
        <v/>
      </c>
      <c r="I123" s="3">
        <f t="array" ref="I123">INDIRECT("'"&amp;$A123&amp;"'!F11")</f>
        <v/>
      </c>
      <c r="J123" s="3">
        <f t="array" ref="J123">INDIRECT("'"&amp;$A123&amp;"'!G11")</f>
        <v/>
      </c>
      <c r="K123" s="3">
        <f t="array" ref="K123">INDIRECT("'"&amp;$A123&amp;"'!H11")</f>
        <v/>
      </c>
      <c r="L123" s="3">
        <f t="array" ref="L123">INDIRECT("'"&amp;$A123&amp;"'!I11")</f>
        <v/>
      </c>
      <c r="M123" s="3">
        <f t="array" ref="M123">INDIRECT("'"&amp;$A123&amp;"'!J11")</f>
        <v/>
      </c>
      <c r="N123" s="3">
        <f t="array" ref="N123">INDIRECT("'"&amp;$A123&amp;"'!K11")</f>
        <v/>
      </c>
      <c r="O123" s="3">
        <f t="array" ref="O123">INDIRECT("'"&amp;$A123&amp;"'!L11")</f>
        <v/>
      </c>
      <c r="P123" s="3">
        <f t="array" ref="P123">INDIRECT("'"&amp;$A123&amp;"'!M11")</f>
        <v/>
      </c>
      <c r="Q123" s="3">
        <f t="array" ref="Q123">INDIRECT("'"&amp;$A123&amp;"'!N11")</f>
        <v/>
      </c>
      <c r="R123" s="3">
        <f t="array" ref="R123">INDIRECT("'"&amp;$A123&amp;"'!O11")</f>
        <v/>
      </c>
      <c r="S123" s="3">
        <f t="array" ref="S123">INDIRECT("'"&amp;$A123&amp;"'!P11")</f>
        <v/>
      </c>
      <c r="T123" s="3">
        <f t="array" ref="T123">INDIRECT("'"&amp;$A123&amp;"'!Q11")</f>
        <v/>
      </c>
      <c r="U123" s="3">
        <f t="array" ref="U123">INDIRECT("'"&amp;$A123&amp;"'!R11")</f>
        <v/>
      </c>
      <c r="V123" s="3">
        <f t="array" ref="V123">INDIRECT("'"&amp;$A123&amp;"'!S11")</f>
        <v/>
      </c>
      <c r="W123" s="3">
        <f t="array" ref="W123">INDIRECT("'"&amp;$A123&amp;"'!T11")</f>
        <v/>
      </c>
      <c r="X123" s="3">
        <f t="array" ref="X123">INDIRECT("'"&amp;$A123&amp;"'!U11")</f>
        <v/>
      </c>
      <c r="Y123" s="3">
        <f t="array" ref="Y123">INDIRECT("'"&amp;$A123&amp;"'!V11")</f>
        <v/>
      </c>
      <c r="Z123" s="3">
        <f t="array" ref="Z123">INDIRECT("'"&amp;$A123&amp;"'!W11")</f>
        <v/>
      </c>
      <c r="AA123" s="3">
        <f t="array" ref="AA123">INDIRECT("'"&amp;$A123&amp;"'!X11")</f>
        <v/>
      </c>
      <c r="AB123" s="3">
        <f t="array" ref="AB123">INDIRECT("'"&amp;$A123&amp;"'!Y11")</f>
        <v/>
      </c>
      <c r="AC123" s="3">
        <f t="array" ref="AC123">INDIRECT("'"&amp;$A123&amp;"'!Z11")</f>
        <v/>
      </c>
      <c r="AD123" s="32">
        <f t="array" ref="AD123">INDIRECT("'"&amp;$A123&amp;"'!AA11")</f>
        <v/>
      </c>
      <c r="AE123" s="80">
        <f t="array" ref="AE123">INDIRECT("'"&amp;$A123&amp;"'!J3")</f>
        <v/>
      </c>
      <c r="AF123" s="53">
        <f t="array" ref="AF123">INDIRECT("'"&amp;$A123&amp;"'!AC1")</f>
        <v/>
      </c>
    </row>
    <row r="124" ht="15.75" customHeight="1" thickBot="1">
      <c r="A124" s="58" t="n">
        <v>41</v>
      </c>
      <c r="B124" s="106" t="n"/>
      <c r="C124" s="77">
        <f t="array" ref="C124">CONCATENATE("分 ",INDIRECT("'"&amp;$A123&amp;"'!D6"))</f>
        <v/>
      </c>
      <c r="D124" s="56" t="inlineStr">
        <is>
          <t>3队</t>
        </is>
      </c>
      <c r="E124" s="81">
        <f t="array" ref="E124">INDIRECT("'"&amp;$A123&amp;"'!I4")</f>
        <v/>
      </c>
      <c r="F124" s="52">
        <f t="array" ref="F124">INDIRECT("'"&amp;$A124&amp;"'!C14")</f>
        <v/>
      </c>
      <c r="G124" s="3">
        <f t="array" ref="G124">INDIRECT("'"&amp;$A124&amp;"'!D14")</f>
        <v/>
      </c>
      <c r="H124" s="3">
        <f t="array" ref="H124">INDIRECT("'"&amp;$A124&amp;"'!E14")</f>
        <v/>
      </c>
      <c r="I124" s="3">
        <f t="array" ref="I124">INDIRECT("'"&amp;$A124&amp;"'!F14")</f>
        <v/>
      </c>
      <c r="J124" s="3">
        <f t="array" ref="J124">INDIRECT("'"&amp;$A124&amp;"'!G14")</f>
        <v/>
      </c>
      <c r="K124" s="3">
        <f t="array" ref="K124">INDIRECT("'"&amp;$A124&amp;"'!H14")</f>
        <v/>
      </c>
      <c r="L124" s="3">
        <f t="array" ref="L124">INDIRECT("'"&amp;$A124&amp;"'!I14")</f>
        <v/>
      </c>
      <c r="M124" s="3">
        <f t="array" ref="M124">INDIRECT("'"&amp;$A124&amp;"'!J14")</f>
        <v/>
      </c>
      <c r="N124" s="3">
        <f t="array" ref="N124">INDIRECT("'"&amp;$A124&amp;"'!K14")</f>
        <v/>
      </c>
      <c r="O124" s="3">
        <f t="array" ref="O124">INDIRECT("'"&amp;$A124&amp;"'!L14")</f>
        <v/>
      </c>
      <c r="P124" s="3">
        <f t="array" ref="P124">INDIRECT("'"&amp;$A124&amp;"'!M14")</f>
        <v/>
      </c>
      <c r="Q124" s="3">
        <f t="array" ref="Q124">INDIRECT("'"&amp;$A124&amp;"'!N14")</f>
        <v/>
      </c>
      <c r="R124" s="3">
        <f t="array" ref="R124">INDIRECT("'"&amp;$A124&amp;"'!O14")</f>
        <v/>
      </c>
      <c r="S124" s="3">
        <f t="array" ref="S124">INDIRECT("'"&amp;$A124&amp;"'!P14")</f>
        <v/>
      </c>
      <c r="T124" s="3">
        <f t="array" ref="T124">INDIRECT("'"&amp;$A124&amp;"'!Q14")</f>
        <v/>
      </c>
      <c r="U124" s="3">
        <f t="array" ref="U124">INDIRECT("'"&amp;$A124&amp;"'!R14")</f>
        <v/>
      </c>
      <c r="V124" s="3">
        <f t="array" ref="V124">INDIRECT("'"&amp;$A124&amp;"'!S14")</f>
        <v/>
      </c>
      <c r="W124" s="3">
        <f t="array" ref="W124">INDIRECT("'"&amp;$A124&amp;"'!T14")</f>
        <v/>
      </c>
      <c r="X124" s="3">
        <f t="array" ref="X124">INDIRECT("'"&amp;$A124&amp;"'!U14")</f>
        <v/>
      </c>
      <c r="Y124" s="3">
        <f t="array" ref="Y124">INDIRECT("'"&amp;$A124&amp;"'!V14")</f>
        <v/>
      </c>
      <c r="Z124" s="3">
        <f t="array" ref="Z124">INDIRECT("'"&amp;$A124&amp;"'!W14")</f>
        <v/>
      </c>
      <c r="AA124" s="3">
        <f t="array" ref="AA124">INDIRECT("'"&amp;$A124&amp;"'!X14")</f>
        <v/>
      </c>
      <c r="AB124" s="3">
        <f t="array" ref="AB124">INDIRECT("'"&amp;$A124&amp;"'!Y14")</f>
        <v/>
      </c>
      <c r="AC124" s="3">
        <f t="array" ref="AC124">INDIRECT("'"&amp;$A124&amp;"'!Z14")</f>
        <v/>
      </c>
      <c r="AD124" s="32">
        <f t="array" ref="AD124">INDIRECT("'"&amp;$A124&amp;"'!AA14")</f>
        <v/>
      </c>
      <c r="AE124" s="81">
        <f t="array" ref="AE124">INDIRECT("'"&amp;$A123&amp;"'!J4")</f>
        <v/>
      </c>
      <c r="AF124" s="53" t="n"/>
    </row>
    <row r="125">
      <c r="A125" s="58" t="n">
        <v>42</v>
      </c>
      <c r="B125" s="103">
        <f>INDEX(data!$I$2:$I$98,MATCH(A125*1,data!$G$2:$G$98,0))</f>
        <v/>
      </c>
      <c r="C125" s="66">
        <f>HYPERLINK("#'" &amp; A125 &amp; "'!A1", "编辑")</f>
        <v/>
      </c>
      <c r="D125" s="54" t="inlineStr">
        <is>
          <t>1队</t>
        </is>
      </c>
      <c r="E125" s="79">
        <f t="array" ref="E125">INDIRECT("'"&amp;$A126&amp;"'!I2")</f>
        <v/>
      </c>
      <c r="F125" s="29">
        <f t="array" ref="F125">INDIRECT("'"&amp;$A125&amp;"'!C8")</f>
        <v/>
      </c>
      <c r="G125" s="30">
        <f t="array" ref="G125">INDIRECT("'"&amp;$A125&amp;"'!D8")</f>
        <v/>
      </c>
      <c r="H125" s="30">
        <f t="array" ref="H125">INDIRECT("'"&amp;$A125&amp;"'!E8")</f>
        <v/>
      </c>
      <c r="I125" s="30">
        <f t="array" ref="I125">INDIRECT("'"&amp;$A125&amp;"'!F8")</f>
        <v/>
      </c>
      <c r="J125" s="30">
        <f t="array" ref="J125">INDIRECT("'"&amp;$A125&amp;"'!G8")</f>
        <v/>
      </c>
      <c r="K125" s="30">
        <f t="array" ref="K125">INDIRECT("'"&amp;$A125&amp;"'!H8")</f>
        <v/>
      </c>
      <c r="L125" s="30">
        <f t="array" ref="L125">INDIRECT("'"&amp;$A125&amp;"'!I8")</f>
        <v/>
      </c>
      <c r="M125" s="30">
        <f t="array" ref="M125">INDIRECT("'"&amp;$A125&amp;"'!J8")</f>
        <v/>
      </c>
      <c r="N125" s="30">
        <f t="array" ref="N125">INDIRECT("'"&amp;$A125&amp;"'!K8")</f>
        <v/>
      </c>
      <c r="O125" s="30">
        <f t="array" ref="O125">INDIRECT("'"&amp;$A125&amp;"'!L8")</f>
        <v/>
      </c>
      <c r="P125" s="30">
        <f t="array" ref="P125">INDIRECT("'"&amp;$A125&amp;"'!M8")</f>
        <v/>
      </c>
      <c r="Q125" s="30">
        <f t="array" ref="Q125">INDIRECT("'"&amp;$A125&amp;"'!N8")</f>
        <v/>
      </c>
      <c r="R125" s="30">
        <f t="array" ref="R125">INDIRECT("'"&amp;$A125&amp;"'!O8")</f>
        <v/>
      </c>
      <c r="S125" s="30">
        <f t="array" ref="S125">INDIRECT("'"&amp;$A125&amp;"'!P8")</f>
        <v/>
      </c>
      <c r="T125" s="30">
        <f t="array" ref="T125">INDIRECT("'"&amp;$A125&amp;"'!Q8")</f>
        <v/>
      </c>
      <c r="U125" s="30">
        <f t="array" ref="U125">INDIRECT("'"&amp;$A125&amp;"'!R8")</f>
        <v/>
      </c>
      <c r="V125" s="30">
        <f t="array" ref="V125">INDIRECT("'"&amp;$A125&amp;"'!S8")</f>
        <v/>
      </c>
      <c r="W125" s="30">
        <f t="array" ref="W125">INDIRECT("'"&amp;$A125&amp;"'!T8")</f>
        <v/>
      </c>
      <c r="X125" s="30">
        <f t="array" ref="X125">INDIRECT("'"&amp;$A125&amp;"'!U8")</f>
        <v/>
      </c>
      <c r="Y125" s="30">
        <f t="array" ref="Y125">INDIRECT("'"&amp;$A125&amp;"'!V8")</f>
        <v/>
      </c>
      <c r="Z125" s="30">
        <f t="array" ref="Z125">INDIRECT("'"&amp;$A125&amp;"'!W8")</f>
        <v/>
      </c>
      <c r="AA125" s="30">
        <f t="array" ref="AA125">INDIRECT("'"&amp;$A125&amp;"'!X8")</f>
        <v/>
      </c>
      <c r="AB125" s="30">
        <f t="array" ref="AB125">INDIRECT("'"&amp;$A125&amp;"'!Y8")</f>
        <v/>
      </c>
      <c r="AC125" s="30">
        <f t="array" ref="AC125">INDIRECT("'"&amp;$A125&amp;"'!Z8")</f>
        <v/>
      </c>
      <c r="AD125" s="31">
        <f t="array" ref="AD125">INDIRECT("'"&amp;$A125&amp;"'!AA8")</f>
        <v/>
      </c>
      <c r="AE125" s="79">
        <f t="array" ref="AE125">INDIRECT("'"&amp;$A126&amp;"'!J2")</f>
        <v/>
      </c>
      <c r="AF125" s="53">
        <f t="array" ref="AF125">INDIRECT("'"&amp;$A126&amp;"'!AD1")</f>
        <v/>
      </c>
    </row>
    <row r="126">
      <c r="A126" s="58" t="n">
        <v>42</v>
      </c>
      <c r="B126" s="105" t="n"/>
      <c r="C126" s="67">
        <f t="array" ref="C126">CONCATENATE("粮 ",INDIRECT("'"&amp;$A126&amp;"'!D4"))</f>
        <v/>
      </c>
      <c r="D126" s="55" t="inlineStr">
        <is>
          <t>2队</t>
        </is>
      </c>
      <c r="E126" s="80">
        <f t="array" ref="E126">INDIRECT("'"&amp;$A126&amp;"'!I3")</f>
        <v/>
      </c>
      <c r="F126" s="52">
        <f t="array" ref="F126">INDIRECT("'"&amp;$A126&amp;"'!C11")</f>
        <v/>
      </c>
      <c r="G126" s="3">
        <f t="array" ref="G126">INDIRECT("'"&amp;$A126&amp;"'!D11")</f>
        <v/>
      </c>
      <c r="H126" s="3">
        <f t="array" ref="H126">INDIRECT("'"&amp;$A126&amp;"'!E11")</f>
        <v/>
      </c>
      <c r="I126" s="3">
        <f t="array" ref="I126">INDIRECT("'"&amp;$A126&amp;"'!F11")</f>
        <v/>
      </c>
      <c r="J126" s="3">
        <f t="array" ref="J126">INDIRECT("'"&amp;$A126&amp;"'!G11")</f>
        <v/>
      </c>
      <c r="K126" s="3">
        <f t="array" ref="K126">INDIRECT("'"&amp;$A126&amp;"'!H11")</f>
        <v/>
      </c>
      <c r="L126" s="3">
        <f t="array" ref="L126">INDIRECT("'"&amp;$A126&amp;"'!I11")</f>
        <v/>
      </c>
      <c r="M126" s="3">
        <f t="array" ref="M126">INDIRECT("'"&amp;$A126&amp;"'!J11")</f>
        <v/>
      </c>
      <c r="N126" s="3">
        <f t="array" ref="N126">INDIRECT("'"&amp;$A126&amp;"'!K11")</f>
        <v/>
      </c>
      <c r="O126" s="3">
        <f t="array" ref="O126">INDIRECT("'"&amp;$A126&amp;"'!L11")</f>
        <v/>
      </c>
      <c r="P126" s="3">
        <f t="array" ref="P126">INDIRECT("'"&amp;$A126&amp;"'!M11")</f>
        <v/>
      </c>
      <c r="Q126" s="3">
        <f t="array" ref="Q126">INDIRECT("'"&amp;$A126&amp;"'!N11")</f>
        <v/>
      </c>
      <c r="R126" s="3">
        <f t="array" ref="R126">INDIRECT("'"&amp;$A126&amp;"'!O11")</f>
        <v/>
      </c>
      <c r="S126" s="3">
        <f t="array" ref="S126">INDIRECT("'"&amp;$A126&amp;"'!P11")</f>
        <v/>
      </c>
      <c r="T126" s="3">
        <f t="array" ref="T126">INDIRECT("'"&amp;$A126&amp;"'!Q11")</f>
        <v/>
      </c>
      <c r="U126" s="3">
        <f t="array" ref="U126">INDIRECT("'"&amp;$A126&amp;"'!R11")</f>
        <v/>
      </c>
      <c r="V126" s="3">
        <f t="array" ref="V126">INDIRECT("'"&amp;$A126&amp;"'!S11")</f>
        <v/>
      </c>
      <c r="W126" s="3">
        <f t="array" ref="W126">INDIRECT("'"&amp;$A126&amp;"'!T11")</f>
        <v/>
      </c>
      <c r="X126" s="3">
        <f t="array" ref="X126">INDIRECT("'"&amp;$A126&amp;"'!U11")</f>
        <v/>
      </c>
      <c r="Y126" s="3">
        <f t="array" ref="Y126">INDIRECT("'"&amp;$A126&amp;"'!V11")</f>
        <v/>
      </c>
      <c r="Z126" s="3">
        <f t="array" ref="Z126">INDIRECT("'"&amp;$A126&amp;"'!W11")</f>
        <v/>
      </c>
      <c r="AA126" s="3">
        <f t="array" ref="AA126">INDIRECT("'"&amp;$A126&amp;"'!X11")</f>
        <v/>
      </c>
      <c r="AB126" s="3">
        <f t="array" ref="AB126">INDIRECT("'"&amp;$A126&amp;"'!Y11")</f>
        <v/>
      </c>
      <c r="AC126" s="3">
        <f t="array" ref="AC126">INDIRECT("'"&amp;$A126&amp;"'!Z11")</f>
        <v/>
      </c>
      <c r="AD126" s="32">
        <f t="array" ref="AD126">INDIRECT("'"&amp;$A126&amp;"'!AA11")</f>
        <v/>
      </c>
      <c r="AE126" s="80">
        <f t="array" ref="AE126">INDIRECT("'"&amp;$A126&amp;"'!J3")</f>
        <v/>
      </c>
      <c r="AF126" s="53">
        <f t="array" ref="AF126">INDIRECT("'"&amp;$A126&amp;"'!AC1")</f>
        <v/>
      </c>
    </row>
    <row r="127" ht="15.75" customHeight="1" thickBot="1">
      <c r="A127" s="58" t="n">
        <v>42</v>
      </c>
      <c r="B127" s="106" t="n"/>
      <c r="C127" s="77">
        <f t="array" ref="C127">CONCATENATE("分 ",INDIRECT("'"&amp;$A126&amp;"'!D6"))</f>
        <v/>
      </c>
      <c r="D127" s="56" t="inlineStr">
        <is>
          <t>3队</t>
        </is>
      </c>
      <c r="E127" s="81">
        <f t="array" ref="E127">INDIRECT("'"&amp;$A126&amp;"'!I4")</f>
        <v/>
      </c>
      <c r="F127" s="52">
        <f t="array" ref="F127">INDIRECT("'"&amp;$A127&amp;"'!C14")</f>
        <v/>
      </c>
      <c r="G127" s="3">
        <f t="array" ref="G127">INDIRECT("'"&amp;$A127&amp;"'!D14")</f>
        <v/>
      </c>
      <c r="H127" s="3">
        <f t="array" ref="H127">INDIRECT("'"&amp;$A127&amp;"'!E14")</f>
        <v/>
      </c>
      <c r="I127" s="3">
        <f t="array" ref="I127">INDIRECT("'"&amp;$A127&amp;"'!F14")</f>
        <v/>
      </c>
      <c r="J127" s="3">
        <f t="array" ref="J127">INDIRECT("'"&amp;$A127&amp;"'!G14")</f>
        <v/>
      </c>
      <c r="K127" s="3">
        <f t="array" ref="K127">INDIRECT("'"&amp;$A127&amp;"'!H14")</f>
        <v/>
      </c>
      <c r="L127" s="3">
        <f t="array" ref="L127">INDIRECT("'"&amp;$A127&amp;"'!I14")</f>
        <v/>
      </c>
      <c r="M127" s="3">
        <f t="array" ref="M127">INDIRECT("'"&amp;$A127&amp;"'!J14")</f>
        <v/>
      </c>
      <c r="N127" s="3">
        <f t="array" ref="N127">INDIRECT("'"&amp;$A127&amp;"'!K14")</f>
        <v/>
      </c>
      <c r="O127" s="3">
        <f t="array" ref="O127">INDIRECT("'"&amp;$A127&amp;"'!L14")</f>
        <v/>
      </c>
      <c r="P127" s="3">
        <f t="array" ref="P127">INDIRECT("'"&amp;$A127&amp;"'!M14")</f>
        <v/>
      </c>
      <c r="Q127" s="3">
        <f t="array" ref="Q127">INDIRECT("'"&amp;$A127&amp;"'!N14")</f>
        <v/>
      </c>
      <c r="R127" s="3">
        <f t="array" ref="R127">INDIRECT("'"&amp;$A127&amp;"'!O14")</f>
        <v/>
      </c>
      <c r="S127" s="3">
        <f t="array" ref="S127">INDIRECT("'"&amp;$A127&amp;"'!P14")</f>
        <v/>
      </c>
      <c r="T127" s="3">
        <f t="array" ref="T127">INDIRECT("'"&amp;$A127&amp;"'!Q14")</f>
        <v/>
      </c>
      <c r="U127" s="3">
        <f t="array" ref="U127">INDIRECT("'"&amp;$A127&amp;"'!R14")</f>
        <v/>
      </c>
      <c r="V127" s="3">
        <f t="array" ref="V127">INDIRECT("'"&amp;$A127&amp;"'!S14")</f>
        <v/>
      </c>
      <c r="W127" s="3">
        <f t="array" ref="W127">INDIRECT("'"&amp;$A127&amp;"'!T14")</f>
        <v/>
      </c>
      <c r="X127" s="3">
        <f t="array" ref="X127">INDIRECT("'"&amp;$A127&amp;"'!U14")</f>
        <v/>
      </c>
      <c r="Y127" s="3">
        <f t="array" ref="Y127">INDIRECT("'"&amp;$A127&amp;"'!V14")</f>
        <v/>
      </c>
      <c r="Z127" s="3">
        <f t="array" ref="Z127">INDIRECT("'"&amp;$A127&amp;"'!W14")</f>
        <v/>
      </c>
      <c r="AA127" s="3">
        <f t="array" ref="AA127">INDIRECT("'"&amp;$A127&amp;"'!X14")</f>
        <v/>
      </c>
      <c r="AB127" s="3">
        <f t="array" ref="AB127">INDIRECT("'"&amp;$A127&amp;"'!Y14")</f>
        <v/>
      </c>
      <c r="AC127" s="3">
        <f t="array" ref="AC127">INDIRECT("'"&amp;$A127&amp;"'!Z14")</f>
        <v/>
      </c>
      <c r="AD127" s="32">
        <f t="array" ref="AD127">INDIRECT("'"&amp;$A127&amp;"'!AA14")</f>
        <v/>
      </c>
      <c r="AE127" s="81">
        <f t="array" ref="AE127">INDIRECT("'"&amp;$A126&amp;"'!J4")</f>
        <v/>
      </c>
      <c r="AF127" s="53" t="n"/>
    </row>
    <row r="128">
      <c r="A128" s="58" t="n">
        <v>43</v>
      </c>
      <c r="B128" s="103">
        <f>INDEX(data!$I$2:$I$98,MATCH(A128*1,data!$G$2:$G$98,0))</f>
        <v/>
      </c>
      <c r="C128" s="66">
        <f>HYPERLINK("#'" &amp; A128 &amp; "'!A1", "编辑")</f>
        <v/>
      </c>
      <c r="D128" s="54" t="inlineStr">
        <is>
          <t>1队</t>
        </is>
      </c>
      <c r="E128" s="79">
        <f t="array" ref="E128">INDIRECT("'"&amp;$A129&amp;"'!I2")</f>
        <v/>
      </c>
      <c r="F128" s="29">
        <f t="array" ref="F128">INDIRECT("'"&amp;$A128&amp;"'!C8")</f>
        <v/>
      </c>
      <c r="G128" s="30">
        <f t="array" ref="G128">INDIRECT("'"&amp;$A128&amp;"'!D8")</f>
        <v/>
      </c>
      <c r="H128" s="30">
        <f t="array" ref="H128">INDIRECT("'"&amp;$A128&amp;"'!E8")</f>
        <v/>
      </c>
      <c r="I128" s="30">
        <f t="array" ref="I128">INDIRECT("'"&amp;$A128&amp;"'!F8")</f>
        <v/>
      </c>
      <c r="J128" s="30">
        <f t="array" ref="J128">INDIRECT("'"&amp;$A128&amp;"'!G8")</f>
        <v/>
      </c>
      <c r="K128" s="30">
        <f t="array" ref="K128">INDIRECT("'"&amp;$A128&amp;"'!H8")</f>
        <v/>
      </c>
      <c r="L128" s="30">
        <f t="array" ref="L128">INDIRECT("'"&amp;$A128&amp;"'!I8")</f>
        <v/>
      </c>
      <c r="M128" s="30">
        <f t="array" ref="M128">INDIRECT("'"&amp;$A128&amp;"'!J8")</f>
        <v/>
      </c>
      <c r="N128" s="30">
        <f t="array" ref="N128">INDIRECT("'"&amp;$A128&amp;"'!K8")</f>
        <v/>
      </c>
      <c r="O128" s="30">
        <f t="array" ref="O128">INDIRECT("'"&amp;$A128&amp;"'!L8")</f>
        <v/>
      </c>
      <c r="P128" s="30">
        <f t="array" ref="P128">INDIRECT("'"&amp;$A128&amp;"'!M8")</f>
        <v/>
      </c>
      <c r="Q128" s="30">
        <f t="array" ref="Q128">INDIRECT("'"&amp;$A128&amp;"'!N8")</f>
        <v/>
      </c>
      <c r="R128" s="30">
        <f t="array" ref="R128">INDIRECT("'"&amp;$A128&amp;"'!O8")</f>
        <v/>
      </c>
      <c r="S128" s="30">
        <f t="array" ref="S128">INDIRECT("'"&amp;$A128&amp;"'!P8")</f>
        <v/>
      </c>
      <c r="T128" s="30">
        <f t="array" ref="T128">INDIRECT("'"&amp;$A128&amp;"'!Q8")</f>
        <v/>
      </c>
      <c r="U128" s="30">
        <f t="array" ref="U128">INDIRECT("'"&amp;$A128&amp;"'!R8")</f>
        <v/>
      </c>
      <c r="V128" s="30">
        <f t="array" ref="V128">INDIRECT("'"&amp;$A128&amp;"'!S8")</f>
        <v/>
      </c>
      <c r="W128" s="30">
        <f t="array" ref="W128">INDIRECT("'"&amp;$A128&amp;"'!T8")</f>
        <v/>
      </c>
      <c r="X128" s="30">
        <f t="array" ref="X128">INDIRECT("'"&amp;$A128&amp;"'!U8")</f>
        <v/>
      </c>
      <c r="Y128" s="30">
        <f t="array" ref="Y128">INDIRECT("'"&amp;$A128&amp;"'!V8")</f>
        <v/>
      </c>
      <c r="Z128" s="30">
        <f t="array" ref="Z128">INDIRECT("'"&amp;$A128&amp;"'!W8")</f>
        <v/>
      </c>
      <c r="AA128" s="30">
        <f t="array" ref="AA128">INDIRECT("'"&amp;$A128&amp;"'!X8")</f>
        <v/>
      </c>
      <c r="AB128" s="30">
        <f t="array" ref="AB128">INDIRECT("'"&amp;$A128&amp;"'!Y8")</f>
        <v/>
      </c>
      <c r="AC128" s="30">
        <f t="array" ref="AC128">INDIRECT("'"&amp;$A128&amp;"'!Z8")</f>
        <v/>
      </c>
      <c r="AD128" s="31">
        <f t="array" ref="AD128">INDIRECT("'"&amp;$A128&amp;"'!AA8")</f>
        <v/>
      </c>
      <c r="AE128" s="79">
        <f t="array" ref="AE128">INDIRECT("'"&amp;$A129&amp;"'!J2")</f>
        <v/>
      </c>
      <c r="AF128" s="53">
        <f t="array" ref="AF128">INDIRECT("'"&amp;$A129&amp;"'!AD1")</f>
        <v/>
      </c>
    </row>
    <row r="129">
      <c r="A129" s="58" t="n">
        <v>43</v>
      </c>
      <c r="B129" s="105" t="n"/>
      <c r="C129" s="67">
        <f t="array" ref="C129">CONCATENATE("粮 ",INDIRECT("'"&amp;$A129&amp;"'!D4"))</f>
        <v/>
      </c>
      <c r="D129" s="55" t="inlineStr">
        <is>
          <t>2队</t>
        </is>
      </c>
      <c r="E129" s="80">
        <f t="array" ref="E129">INDIRECT("'"&amp;$A129&amp;"'!I3")</f>
        <v/>
      </c>
      <c r="F129" s="52">
        <f t="array" ref="F129">INDIRECT("'"&amp;$A129&amp;"'!C11")</f>
        <v/>
      </c>
      <c r="G129" s="3">
        <f t="array" ref="G129">INDIRECT("'"&amp;$A129&amp;"'!D11")</f>
        <v/>
      </c>
      <c r="H129" s="3">
        <f t="array" ref="H129">INDIRECT("'"&amp;$A129&amp;"'!E11")</f>
        <v/>
      </c>
      <c r="I129" s="3">
        <f t="array" ref="I129">INDIRECT("'"&amp;$A129&amp;"'!F11")</f>
        <v/>
      </c>
      <c r="J129" s="3">
        <f t="array" ref="J129">INDIRECT("'"&amp;$A129&amp;"'!G11")</f>
        <v/>
      </c>
      <c r="K129" s="3">
        <f t="array" ref="K129">INDIRECT("'"&amp;$A129&amp;"'!H11")</f>
        <v/>
      </c>
      <c r="L129" s="3">
        <f t="array" ref="L129">INDIRECT("'"&amp;$A129&amp;"'!I11")</f>
        <v/>
      </c>
      <c r="M129" s="3">
        <f t="array" ref="M129">INDIRECT("'"&amp;$A129&amp;"'!J11")</f>
        <v/>
      </c>
      <c r="N129" s="3">
        <f t="array" ref="N129">INDIRECT("'"&amp;$A129&amp;"'!K11")</f>
        <v/>
      </c>
      <c r="O129" s="3">
        <f t="array" ref="O129">INDIRECT("'"&amp;$A129&amp;"'!L11")</f>
        <v/>
      </c>
      <c r="P129" s="3">
        <f t="array" ref="P129">INDIRECT("'"&amp;$A129&amp;"'!M11")</f>
        <v/>
      </c>
      <c r="Q129" s="3">
        <f t="array" ref="Q129">INDIRECT("'"&amp;$A129&amp;"'!N11")</f>
        <v/>
      </c>
      <c r="R129" s="3">
        <f t="array" ref="R129">INDIRECT("'"&amp;$A129&amp;"'!O11")</f>
        <v/>
      </c>
      <c r="S129" s="3">
        <f t="array" ref="S129">INDIRECT("'"&amp;$A129&amp;"'!P11")</f>
        <v/>
      </c>
      <c r="T129" s="3">
        <f t="array" ref="T129">INDIRECT("'"&amp;$A129&amp;"'!Q11")</f>
        <v/>
      </c>
      <c r="U129" s="3">
        <f t="array" ref="U129">INDIRECT("'"&amp;$A129&amp;"'!R11")</f>
        <v/>
      </c>
      <c r="V129" s="3">
        <f t="array" ref="V129">INDIRECT("'"&amp;$A129&amp;"'!S11")</f>
        <v/>
      </c>
      <c r="W129" s="3">
        <f t="array" ref="W129">INDIRECT("'"&amp;$A129&amp;"'!T11")</f>
        <v/>
      </c>
      <c r="X129" s="3">
        <f t="array" ref="X129">INDIRECT("'"&amp;$A129&amp;"'!U11")</f>
        <v/>
      </c>
      <c r="Y129" s="3">
        <f t="array" ref="Y129">INDIRECT("'"&amp;$A129&amp;"'!V11")</f>
        <v/>
      </c>
      <c r="Z129" s="3">
        <f t="array" ref="Z129">INDIRECT("'"&amp;$A129&amp;"'!W11")</f>
        <v/>
      </c>
      <c r="AA129" s="3">
        <f t="array" ref="AA129">INDIRECT("'"&amp;$A129&amp;"'!X11")</f>
        <v/>
      </c>
      <c r="AB129" s="3">
        <f t="array" ref="AB129">INDIRECT("'"&amp;$A129&amp;"'!Y11")</f>
        <v/>
      </c>
      <c r="AC129" s="3">
        <f t="array" ref="AC129">INDIRECT("'"&amp;$A129&amp;"'!Z11")</f>
        <v/>
      </c>
      <c r="AD129" s="32">
        <f t="array" ref="AD129">INDIRECT("'"&amp;$A129&amp;"'!AA11")</f>
        <v/>
      </c>
      <c r="AE129" s="80">
        <f t="array" ref="AE129">INDIRECT("'"&amp;$A129&amp;"'!J3")</f>
        <v/>
      </c>
      <c r="AF129" s="53">
        <f t="array" ref="AF129">INDIRECT("'"&amp;$A129&amp;"'!AC1")</f>
        <v/>
      </c>
    </row>
    <row r="130" ht="15.75" customHeight="1" thickBot="1">
      <c r="A130" s="58" t="n">
        <v>43</v>
      </c>
      <c r="B130" s="106" t="n"/>
      <c r="C130" s="77">
        <f t="array" ref="C130">CONCATENATE("分 ",INDIRECT("'"&amp;$A129&amp;"'!D6"))</f>
        <v/>
      </c>
      <c r="D130" s="56" t="inlineStr">
        <is>
          <t>3队</t>
        </is>
      </c>
      <c r="E130" s="81">
        <f t="array" ref="E130">INDIRECT("'"&amp;$A129&amp;"'!I4")</f>
        <v/>
      </c>
      <c r="F130" s="52">
        <f t="array" ref="F130">INDIRECT("'"&amp;$A130&amp;"'!C14")</f>
        <v/>
      </c>
      <c r="G130" s="3">
        <f t="array" ref="G130">INDIRECT("'"&amp;$A130&amp;"'!D14")</f>
        <v/>
      </c>
      <c r="H130" s="3">
        <f t="array" ref="H130">INDIRECT("'"&amp;$A130&amp;"'!E14")</f>
        <v/>
      </c>
      <c r="I130" s="3">
        <f t="array" ref="I130">INDIRECT("'"&amp;$A130&amp;"'!F14")</f>
        <v/>
      </c>
      <c r="J130" s="3">
        <f t="array" ref="J130">INDIRECT("'"&amp;$A130&amp;"'!G14")</f>
        <v/>
      </c>
      <c r="K130" s="3">
        <f t="array" ref="K130">INDIRECT("'"&amp;$A130&amp;"'!H14")</f>
        <v/>
      </c>
      <c r="L130" s="3">
        <f t="array" ref="L130">INDIRECT("'"&amp;$A130&amp;"'!I14")</f>
        <v/>
      </c>
      <c r="M130" s="3">
        <f t="array" ref="M130">INDIRECT("'"&amp;$A130&amp;"'!J14")</f>
        <v/>
      </c>
      <c r="N130" s="3">
        <f t="array" ref="N130">INDIRECT("'"&amp;$A130&amp;"'!K14")</f>
        <v/>
      </c>
      <c r="O130" s="3">
        <f t="array" ref="O130">INDIRECT("'"&amp;$A130&amp;"'!L14")</f>
        <v/>
      </c>
      <c r="P130" s="3">
        <f t="array" ref="P130">INDIRECT("'"&amp;$A130&amp;"'!M14")</f>
        <v/>
      </c>
      <c r="Q130" s="3">
        <f t="array" ref="Q130">INDIRECT("'"&amp;$A130&amp;"'!N14")</f>
        <v/>
      </c>
      <c r="R130" s="3">
        <f t="array" ref="R130">INDIRECT("'"&amp;$A130&amp;"'!O14")</f>
        <v/>
      </c>
      <c r="S130" s="3">
        <f t="array" ref="S130">INDIRECT("'"&amp;$A130&amp;"'!P14")</f>
        <v/>
      </c>
      <c r="T130" s="3">
        <f t="array" ref="T130">INDIRECT("'"&amp;$A130&amp;"'!Q14")</f>
        <v/>
      </c>
      <c r="U130" s="3">
        <f t="array" ref="U130">INDIRECT("'"&amp;$A130&amp;"'!R14")</f>
        <v/>
      </c>
      <c r="V130" s="3">
        <f t="array" ref="V130">INDIRECT("'"&amp;$A130&amp;"'!S14")</f>
        <v/>
      </c>
      <c r="W130" s="3">
        <f t="array" ref="W130">INDIRECT("'"&amp;$A130&amp;"'!T14")</f>
        <v/>
      </c>
      <c r="X130" s="3">
        <f t="array" ref="X130">INDIRECT("'"&amp;$A130&amp;"'!U14")</f>
        <v/>
      </c>
      <c r="Y130" s="3">
        <f t="array" ref="Y130">INDIRECT("'"&amp;$A130&amp;"'!V14")</f>
        <v/>
      </c>
      <c r="Z130" s="3">
        <f t="array" ref="Z130">INDIRECT("'"&amp;$A130&amp;"'!W14")</f>
        <v/>
      </c>
      <c r="AA130" s="3">
        <f t="array" ref="AA130">INDIRECT("'"&amp;$A130&amp;"'!X14")</f>
        <v/>
      </c>
      <c r="AB130" s="3">
        <f t="array" ref="AB130">INDIRECT("'"&amp;$A130&amp;"'!Y14")</f>
        <v/>
      </c>
      <c r="AC130" s="3">
        <f t="array" ref="AC130">INDIRECT("'"&amp;$A130&amp;"'!Z14")</f>
        <v/>
      </c>
      <c r="AD130" s="32">
        <f t="array" ref="AD130">INDIRECT("'"&amp;$A130&amp;"'!AA14")</f>
        <v/>
      </c>
      <c r="AE130" s="81">
        <f t="array" ref="AE130">INDIRECT("'"&amp;$A129&amp;"'!J4")</f>
        <v/>
      </c>
      <c r="AF130" s="53" t="n"/>
    </row>
    <row r="131">
      <c r="A131" s="58" t="n">
        <v>44</v>
      </c>
      <c r="B131" s="103">
        <f>INDEX(data!$I$2:$I$98,MATCH(A131*1,data!$G$2:$G$98,0))</f>
        <v/>
      </c>
      <c r="C131" s="66">
        <f>HYPERLINK("#'" &amp; A131 &amp; "'!A1", "编辑")</f>
        <v/>
      </c>
      <c r="D131" s="54" t="inlineStr">
        <is>
          <t>1队</t>
        </is>
      </c>
      <c r="E131" s="79">
        <f t="array" ref="E131">INDIRECT("'"&amp;$A132&amp;"'!I2")</f>
        <v/>
      </c>
      <c r="F131" s="29">
        <f t="array" ref="F131">INDIRECT("'"&amp;$A131&amp;"'!C8")</f>
        <v/>
      </c>
      <c r="G131" s="30">
        <f t="array" ref="G131">INDIRECT("'"&amp;$A131&amp;"'!D8")</f>
        <v/>
      </c>
      <c r="H131" s="30">
        <f t="array" ref="H131">INDIRECT("'"&amp;$A131&amp;"'!E8")</f>
        <v/>
      </c>
      <c r="I131" s="30">
        <f t="array" ref="I131">INDIRECT("'"&amp;$A131&amp;"'!F8")</f>
        <v/>
      </c>
      <c r="J131" s="30">
        <f t="array" ref="J131">INDIRECT("'"&amp;$A131&amp;"'!G8")</f>
        <v/>
      </c>
      <c r="K131" s="30">
        <f t="array" ref="K131">INDIRECT("'"&amp;$A131&amp;"'!H8")</f>
        <v/>
      </c>
      <c r="L131" s="30">
        <f t="array" ref="L131">INDIRECT("'"&amp;$A131&amp;"'!I8")</f>
        <v/>
      </c>
      <c r="M131" s="30">
        <f t="array" ref="M131">INDIRECT("'"&amp;$A131&amp;"'!J8")</f>
        <v/>
      </c>
      <c r="N131" s="30">
        <f t="array" ref="N131">INDIRECT("'"&amp;$A131&amp;"'!K8")</f>
        <v/>
      </c>
      <c r="O131" s="30">
        <f t="array" ref="O131">INDIRECT("'"&amp;$A131&amp;"'!L8")</f>
        <v/>
      </c>
      <c r="P131" s="30">
        <f t="array" ref="P131">INDIRECT("'"&amp;$A131&amp;"'!M8")</f>
        <v/>
      </c>
      <c r="Q131" s="30">
        <f t="array" ref="Q131">INDIRECT("'"&amp;$A131&amp;"'!N8")</f>
        <v/>
      </c>
      <c r="R131" s="30">
        <f t="array" ref="R131">INDIRECT("'"&amp;$A131&amp;"'!O8")</f>
        <v/>
      </c>
      <c r="S131" s="30">
        <f t="array" ref="S131">INDIRECT("'"&amp;$A131&amp;"'!P8")</f>
        <v/>
      </c>
      <c r="T131" s="30">
        <f t="array" ref="T131">INDIRECT("'"&amp;$A131&amp;"'!Q8")</f>
        <v/>
      </c>
      <c r="U131" s="30">
        <f t="array" ref="U131">INDIRECT("'"&amp;$A131&amp;"'!R8")</f>
        <v/>
      </c>
      <c r="V131" s="30">
        <f t="array" ref="V131">INDIRECT("'"&amp;$A131&amp;"'!S8")</f>
        <v/>
      </c>
      <c r="W131" s="30">
        <f t="array" ref="W131">INDIRECT("'"&amp;$A131&amp;"'!T8")</f>
        <v/>
      </c>
      <c r="X131" s="30">
        <f t="array" ref="X131">INDIRECT("'"&amp;$A131&amp;"'!U8")</f>
        <v/>
      </c>
      <c r="Y131" s="30">
        <f t="array" ref="Y131">INDIRECT("'"&amp;$A131&amp;"'!V8")</f>
        <v/>
      </c>
      <c r="Z131" s="30">
        <f t="array" ref="Z131">INDIRECT("'"&amp;$A131&amp;"'!W8")</f>
        <v/>
      </c>
      <c r="AA131" s="30">
        <f t="array" ref="AA131">INDIRECT("'"&amp;$A131&amp;"'!X8")</f>
        <v/>
      </c>
      <c r="AB131" s="30">
        <f t="array" ref="AB131">INDIRECT("'"&amp;$A131&amp;"'!Y8")</f>
        <v/>
      </c>
      <c r="AC131" s="30">
        <f t="array" ref="AC131">INDIRECT("'"&amp;$A131&amp;"'!Z8")</f>
        <v/>
      </c>
      <c r="AD131" s="31">
        <f t="array" ref="AD131">INDIRECT("'"&amp;$A131&amp;"'!AA8")</f>
        <v/>
      </c>
      <c r="AE131" s="79">
        <f t="array" ref="AE131">INDIRECT("'"&amp;$A132&amp;"'!J2")</f>
        <v/>
      </c>
      <c r="AF131" s="53">
        <f t="array" ref="AF131">INDIRECT("'"&amp;$A132&amp;"'!AD1")</f>
        <v/>
      </c>
    </row>
    <row r="132">
      <c r="A132" s="58" t="n">
        <v>44</v>
      </c>
      <c r="B132" s="105" t="n"/>
      <c r="C132" s="67">
        <f t="array" ref="C132">CONCATENATE("粮 ",INDIRECT("'"&amp;$A132&amp;"'!D4"))</f>
        <v/>
      </c>
      <c r="D132" s="55" t="inlineStr">
        <is>
          <t>2队</t>
        </is>
      </c>
      <c r="E132" s="80">
        <f t="array" ref="E132">INDIRECT("'"&amp;$A132&amp;"'!I3")</f>
        <v/>
      </c>
      <c r="F132" s="52">
        <f t="array" ref="F132">INDIRECT("'"&amp;$A132&amp;"'!C11")</f>
        <v/>
      </c>
      <c r="G132" s="3">
        <f t="array" ref="G132">INDIRECT("'"&amp;$A132&amp;"'!D11")</f>
        <v/>
      </c>
      <c r="H132" s="3">
        <f t="array" ref="H132">INDIRECT("'"&amp;$A132&amp;"'!E11")</f>
        <v/>
      </c>
      <c r="I132" s="3">
        <f t="array" ref="I132">INDIRECT("'"&amp;$A132&amp;"'!F11")</f>
        <v/>
      </c>
      <c r="J132" s="3">
        <f t="array" ref="J132">INDIRECT("'"&amp;$A132&amp;"'!G11")</f>
        <v/>
      </c>
      <c r="K132" s="3">
        <f t="array" ref="K132">INDIRECT("'"&amp;$A132&amp;"'!H11")</f>
        <v/>
      </c>
      <c r="L132" s="3">
        <f t="array" ref="L132">INDIRECT("'"&amp;$A132&amp;"'!I11")</f>
        <v/>
      </c>
      <c r="M132" s="3">
        <f t="array" ref="M132">INDIRECT("'"&amp;$A132&amp;"'!J11")</f>
        <v/>
      </c>
      <c r="N132" s="3">
        <f t="array" ref="N132">INDIRECT("'"&amp;$A132&amp;"'!K11")</f>
        <v/>
      </c>
      <c r="O132" s="3">
        <f t="array" ref="O132">INDIRECT("'"&amp;$A132&amp;"'!L11")</f>
        <v/>
      </c>
      <c r="P132" s="3">
        <f t="array" ref="P132">INDIRECT("'"&amp;$A132&amp;"'!M11")</f>
        <v/>
      </c>
      <c r="Q132" s="3">
        <f t="array" ref="Q132">INDIRECT("'"&amp;$A132&amp;"'!N11")</f>
        <v/>
      </c>
      <c r="R132" s="3">
        <f t="array" ref="R132">INDIRECT("'"&amp;$A132&amp;"'!O11")</f>
        <v/>
      </c>
      <c r="S132" s="3">
        <f t="array" ref="S132">INDIRECT("'"&amp;$A132&amp;"'!P11")</f>
        <v/>
      </c>
      <c r="T132" s="3">
        <f t="array" ref="T132">INDIRECT("'"&amp;$A132&amp;"'!Q11")</f>
        <v/>
      </c>
      <c r="U132" s="3">
        <f t="array" ref="U132">INDIRECT("'"&amp;$A132&amp;"'!R11")</f>
        <v/>
      </c>
      <c r="V132" s="3">
        <f t="array" ref="V132">INDIRECT("'"&amp;$A132&amp;"'!S11")</f>
        <v/>
      </c>
      <c r="W132" s="3">
        <f t="array" ref="W132">INDIRECT("'"&amp;$A132&amp;"'!T11")</f>
        <v/>
      </c>
      <c r="X132" s="3">
        <f t="array" ref="X132">INDIRECT("'"&amp;$A132&amp;"'!U11")</f>
        <v/>
      </c>
      <c r="Y132" s="3">
        <f t="array" ref="Y132">INDIRECT("'"&amp;$A132&amp;"'!V11")</f>
        <v/>
      </c>
      <c r="Z132" s="3">
        <f t="array" ref="Z132">INDIRECT("'"&amp;$A132&amp;"'!W11")</f>
        <v/>
      </c>
      <c r="AA132" s="3">
        <f t="array" ref="AA132">INDIRECT("'"&amp;$A132&amp;"'!X11")</f>
        <v/>
      </c>
      <c r="AB132" s="3">
        <f t="array" ref="AB132">INDIRECT("'"&amp;$A132&amp;"'!Y11")</f>
        <v/>
      </c>
      <c r="AC132" s="3">
        <f t="array" ref="AC132">INDIRECT("'"&amp;$A132&amp;"'!Z11")</f>
        <v/>
      </c>
      <c r="AD132" s="32">
        <f t="array" ref="AD132">INDIRECT("'"&amp;$A132&amp;"'!AA11")</f>
        <v/>
      </c>
      <c r="AE132" s="80">
        <f t="array" ref="AE132">INDIRECT("'"&amp;$A132&amp;"'!J3")</f>
        <v/>
      </c>
      <c r="AF132" s="53">
        <f t="array" ref="AF132">INDIRECT("'"&amp;$A132&amp;"'!AC1")</f>
        <v/>
      </c>
    </row>
    <row r="133" ht="15.75" customHeight="1" thickBot="1">
      <c r="A133" s="58" t="n">
        <v>44</v>
      </c>
      <c r="B133" s="106" t="n"/>
      <c r="C133" s="77">
        <f t="array" ref="C133">CONCATENATE("分 ",INDIRECT("'"&amp;$A132&amp;"'!D6"))</f>
        <v/>
      </c>
      <c r="D133" s="56" t="inlineStr">
        <is>
          <t>3队</t>
        </is>
      </c>
      <c r="E133" s="81">
        <f t="array" ref="E133">INDIRECT("'"&amp;$A132&amp;"'!I4")</f>
        <v/>
      </c>
      <c r="F133" s="52">
        <f t="array" ref="F133">INDIRECT("'"&amp;$A133&amp;"'!C14")</f>
        <v/>
      </c>
      <c r="G133" s="3">
        <f t="array" ref="G133">INDIRECT("'"&amp;$A133&amp;"'!D14")</f>
        <v/>
      </c>
      <c r="H133" s="3">
        <f t="array" ref="H133">INDIRECT("'"&amp;$A133&amp;"'!E14")</f>
        <v/>
      </c>
      <c r="I133" s="3">
        <f t="array" ref="I133">INDIRECT("'"&amp;$A133&amp;"'!F14")</f>
        <v/>
      </c>
      <c r="J133" s="3">
        <f t="array" ref="J133">INDIRECT("'"&amp;$A133&amp;"'!G14")</f>
        <v/>
      </c>
      <c r="K133" s="3">
        <f t="array" ref="K133">INDIRECT("'"&amp;$A133&amp;"'!H14")</f>
        <v/>
      </c>
      <c r="L133" s="3">
        <f t="array" ref="L133">INDIRECT("'"&amp;$A133&amp;"'!I14")</f>
        <v/>
      </c>
      <c r="M133" s="3">
        <f t="array" ref="M133">INDIRECT("'"&amp;$A133&amp;"'!J14")</f>
        <v/>
      </c>
      <c r="N133" s="3">
        <f t="array" ref="N133">INDIRECT("'"&amp;$A133&amp;"'!K14")</f>
        <v/>
      </c>
      <c r="O133" s="3">
        <f t="array" ref="O133">INDIRECT("'"&amp;$A133&amp;"'!L14")</f>
        <v/>
      </c>
      <c r="P133" s="3">
        <f t="array" ref="P133">INDIRECT("'"&amp;$A133&amp;"'!M14")</f>
        <v/>
      </c>
      <c r="Q133" s="3">
        <f t="array" ref="Q133">INDIRECT("'"&amp;$A133&amp;"'!N14")</f>
        <v/>
      </c>
      <c r="R133" s="3">
        <f t="array" ref="R133">INDIRECT("'"&amp;$A133&amp;"'!O14")</f>
        <v/>
      </c>
      <c r="S133" s="3">
        <f t="array" ref="S133">INDIRECT("'"&amp;$A133&amp;"'!P14")</f>
        <v/>
      </c>
      <c r="T133" s="3">
        <f t="array" ref="T133">INDIRECT("'"&amp;$A133&amp;"'!Q14")</f>
        <v/>
      </c>
      <c r="U133" s="3">
        <f t="array" ref="U133">INDIRECT("'"&amp;$A133&amp;"'!R14")</f>
        <v/>
      </c>
      <c r="V133" s="3">
        <f t="array" ref="V133">INDIRECT("'"&amp;$A133&amp;"'!S14")</f>
        <v/>
      </c>
      <c r="W133" s="3">
        <f t="array" ref="W133">INDIRECT("'"&amp;$A133&amp;"'!T14")</f>
        <v/>
      </c>
      <c r="X133" s="3">
        <f t="array" ref="X133">INDIRECT("'"&amp;$A133&amp;"'!U14")</f>
        <v/>
      </c>
      <c r="Y133" s="3">
        <f t="array" ref="Y133">INDIRECT("'"&amp;$A133&amp;"'!V14")</f>
        <v/>
      </c>
      <c r="Z133" s="3">
        <f t="array" ref="Z133">INDIRECT("'"&amp;$A133&amp;"'!W14")</f>
        <v/>
      </c>
      <c r="AA133" s="3">
        <f t="array" ref="AA133">INDIRECT("'"&amp;$A133&amp;"'!X14")</f>
        <v/>
      </c>
      <c r="AB133" s="3">
        <f t="array" ref="AB133">INDIRECT("'"&amp;$A133&amp;"'!Y14")</f>
        <v/>
      </c>
      <c r="AC133" s="3">
        <f t="array" ref="AC133">INDIRECT("'"&amp;$A133&amp;"'!Z14")</f>
        <v/>
      </c>
      <c r="AD133" s="32">
        <f t="array" ref="AD133">INDIRECT("'"&amp;$A133&amp;"'!AA14")</f>
        <v/>
      </c>
      <c r="AE133" s="81">
        <f t="array" ref="AE133">INDIRECT("'"&amp;$A132&amp;"'!J4")</f>
        <v/>
      </c>
      <c r="AF133" s="53" t="n"/>
    </row>
    <row r="134">
      <c r="A134" s="58" t="n">
        <v>45</v>
      </c>
      <c r="B134" s="103">
        <f>INDEX(data!$I$2:$I$98,MATCH(A134*1,data!$G$2:$G$98,0))</f>
        <v/>
      </c>
      <c r="C134" s="66">
        <f>HYPERLINK("#'" &amp; A134 &amp; "'!A1", "编辑")</f>
        <v/>
      </c>
      <c r="D134" s="54" t="inlineStr">
        <is>
          <t>1队</t>
        </is>
      </c>
      <c r="E134" s="79">
        <f t="array" ref="E134">INDIRECT("'"&amp;$A135&amp;"'!I2")</f>
        <v/>
      </c>
      <c r="F134" s="29">
        <f t="array" ref="F134">INDIRECT("'"&amp;$A134&amp;"'!C8")</f>
        <v/>
      </c>
      <c r="G134" s="30">
        <f t="array" ref="G134">INDIRECT("'"&amp;$A134&amp;"'!D8")</f>
        <v/>
      </c>
      <c r="H134" s="30">
        <f t="array" ref="H134">INDIRECT("'"&amp;$A134&amp;"'!E8")</f>
        <v/>
      </c>
      <c r="I134" s="30">
        <f t="array" ref="I134">INDIRECT("'"&amp;$A134&amp;"'!F8")</f>
        <v/>
      </c>
      <c r="J134" s="30">
        <f t="array" ref="J134">INDIRECT("'"&amp;$A134&amp;"'!G8")</f>
        <v/>
      </c>
      <c r="K134" s="30">
        <f t="array" ref="K134">INDIRECT("'"&amp;$A134&amp;"'!H8")</f>
        <v/>
      </c>
      <c r="L134" s="30">
        <f t="array" ref="L134">INDIRECT("'"&amp;$A134&amp;"'!I8")</f>
        <v/>
      </c>
      <c r="M134" s="30">
        <f t="array" ref="M134">INDIRECT("'"&amp;$A134&amp;"'!J8")</f>
        <v/>
      </c>
      <c r="N134" s="30">
        <f t="array" ref="N134">INDIRECT("'"&amp;$A134&amp;"'!K8")</f>
        <v/>
      </c>
      <c r="O134" s="30">
        <f t="array" ref="O134">INDIRECT("'"&amp;$A134&amp;"'!L8")</f>
        <v/>
      </c>
      <c r="P134" s="30">
        <f t="array" ref="P134">INDIRECT("'"&amp;$A134&amp;"'!M8")</f>
        <v/>
      </c>
      <c r="Q134" s="30">
        <f t="array" ref="Q134">INDIRECT("'"&amp;$A134&amp;"'!N8")</f>
        <v/>
      </c>
      <c r="R134" s="30">
        <f t="array" ref="R134">INDIRECT("'"&amp;$A134&amp;"'!O8")</f>
        <v/>
      </c>
      <c r="S134" s="30">
        <f t="array" ref="S134">INDIRECT("'"&amp;$A134&amp;"'!P8")</f>
        <v/>
      </c>
      <c r="T134" s="30">
        <f t="array" ref="T134">INDIRECT("'"&amp;$A134&amp;"'!Q8")</f>
        <v/>
      </c>
      <c r="U134" s="30">
        <f t="array" ref="U134">INDIRECT("'"&amp;$A134&amp;"'!R8")</f>
        <v/>
      </c>
      <c r="V134" s="30">
        <f t="array" ref="V134">INDIRECT("'"&amp;$A134&amp;"'!S8")</f>
        <v/>
      </c>
      <c r="W134" s="30">
        <f t="array" ref="W134">INDIRECT("'"&amp;$A134&amp;"'!T8")</f>
        <v/>
      </c>
      <c r="X134" s="30">
        <f t="array" ref="X134">INDIRECT("'"&amp;$A134&amp;"'!U8")</f>
        <v/>
      </c>
      <c r="Y134" s="30">
        <f t="array" ref="Y134">INDIRECT("'"&amp;$A134&amp;"'!V8")</f>
        <v/>
      </c>
      <c r="Z134" s="30">
        <f t="array" ref="Z134">INDIRECT("'"&amp;$A134&amp;"'!W8")</f>
        <v/>
      </c>
      <c r="AA134" s="30">
        <f t="array" ref="AA134">INDIRECT("'"&amp;$A134&amp;"'!X8")</f>
        <v/>
      </c>
      <c r="AB134" s="30">
        <f t="array" ref="AB134">INDIRECT("'"&amp;$A134&amp;"'!Y8")</f>
        <v/>
      </c>
      <c r="AC134" s="30">
        <f t="array" ref="AC134">INDIRECT("'"&amp;$A134&amp;"'!Z8")</f>
        <v/>
      </c>
      <c r="AD134" s="31">
        <f t="array" ref="AD134">INDIRECT("'"&amp;$A134&amp;"'!AA8")</f>
        <v/>
      </c>
      <c r="AE134" s="79">
        <f t="array" ref="AE134">INDIRECT("'"&amp;$A135&amp;"'!J2")</f>
        <v/>
      </c>
      <c r="AF134" s="53">
        <f t="array" ref="AF134">INDIRECT("'"&amp;$A135&amp;"'!AD1")</f>
        <v/>
      </c>
    </row>
    <row r="135">
      <c r="A135" s="58" t="n">
        <v>45</v>
      </c>
      <c r="B135" s="105" t="n"/>
      <c r="C135" s="67">
        <f t="array" ref="C135">CONCATENATE("粮 ",INDIRECT("'"&amp;$A135&amp;"'!D4"))</f>
        <v/>
      </c>
      <c r="D135" s="55" t="inlineStr">
        <is>
          <t>2队</t>
        </is>
      </c>
      <c r="E135" s="80">
        <f t="array" ref="E135">INDIRECT("'"&amp;$A135&amp;"'!I3")</f>
        <v/>
      </c>
      <c r="F135" s="52">
        <f t="array" ref="F135">INDIRECT("'"&amp;$A135&amp;"'!C11")</f>
        <v/>
      </c>
      <c r="G135" s="3">
        <f t="array" ref="G135">INDIRECT("'"&amp;$A135&amp;"'!D11")</f>
        <v/>
      </c>
      <c r="H135" s="3">
        <f t="array" ref="H135">INDIRECT("'"&amp;$A135&amp;"'!E11")</f>
        <v/>
      </c>
      <c r="I135" s="3">
        <f t="array" ref="I135">INDIRECT("'"&amp;$A135&amp;"'!F11")</f>
        <v/>
      </c>
      <c r="J135" s="3">
        <f t="array" ref="J135">INDIRECT("'"&amp;$A135&amp;"'!G11")</f>
        <v/>
      </c>
      <c r="K135" s="3">
        <f t="array" ref="K135">INDIRECT("'"&amp;$A135&amp;"'!H11")</f>
        <v/>
      </c>
      <c r="L135" s="3">
        <f t="array" ref="L135">INDIRECT("'"&amp;$A135&amp;"'!I11")</f>
        <v/>
      </c>
      <c r="M135" s="3">
        <f t="array" ref="M135">INDIRECT("'"&amp;$A135&amp;"'!J11")</f>
        <v/>
      </c>
      <c r="N135" s="3">
        <f t="array" ref="N135">INDIRECT("'"&amp;$A135&amp;"'!K11")</f>
        <v/>
      </c>
      <c r="O135" s="3">
        <f t="array" ref="O135">INDIRECT("'"&amp;$A135&amp;"'!L11")</f>
        <v/>
      </c>
      <c r="P135" s="3">
        <f t="array" ref="P135">INDIRECT("'"&amp;$A135&amp;"'!M11")</f>
        <v/>
      </c>
      <c r="Q135" s="3">
        <f t="array" ref="Q135">INDIRECT("'"&amp;$A135&amp;"'!N11")</f>
        <v/>
      </c>
      <c r="R135" s="3">
        <f t="array" ref="R135">INDIRECT("'"&amp;$A135&amp;"'!O11")</f>
        <v/>
      </c>
      <c r="S135" s="3">
        <f t="array" ref="S135">INDIRECT("'"&amp;$A135&amp;"'!P11")</f>
        <v/>
      </c>
      <c r="T135" s="3">
        <f t="array" ref="T135">INDIRECT("'"&amp;$A135&amp;"'!Q11")</f>
        <v/>
      </c>
      <c r="U135" s="3">
        <f t="array" ref="U135">INDIRECT("'"&amp;$A135&amp;"'!R11")</f>
        <v/>
      </c>
      <c r="V135" s="3">
        <f t="array" ref="V135">INDIRECT("'"&amp;$A135&amp;"'!S11")</f>
        <v/>
      </c>
      <c r="W135" s="3">
        <f t="array" ref="W135">INDIRECT("'"&amp;$A135&amp;"'!T11")</f>
        <v/>
      </c>
      <c r="X135" s="3">
        <f t="array" ref="X135">INDIRECT("'"&amp;$A135&amp;"'!U11")</f>
        <v/>
      </c>
      <c r="Y135" s="3">
        <f t="array" ref="Y135">INDIRECT("'"&amp;$A135&amp;"'!V11")</f>
        <v/>
      </c>
      <c r="Z135" s="3">
        <f t="array" ref="Z135">INDIRECT("'"&amp;$A135&amp;"'!W11")</f>
        <v/>
      </c>
      <c r="AA135" s="3">
        <f t="array" ref="AA135">INDIRECT("'"&amp;$A135&amp;"'!X11")</f>
        <v/>
      </c>
      <c r="AB135" s="3">
        <f t="array" ref="AB135">INDIRECT("'"&amp;$A135&amp;"'!Y11")</f>
        <v/>
      </c>
      <c r="AC135" s="3">
        <f t="array" ref="AC135">INDIRECT("'"&amp;$A135&amp;"'!Z11")</f>
        <v/>
      </c>
      <c r="AD135" s="32">
        <f t="array" ref="AD135">INDIRECT("'"&amp;$A135&amp;"'!AA11")</f>
        <v/>
      </c>
      <c r="AE135" s="80">
        <f t="array" ref="AE135">INDIRECT("'"&amp;$A135&amp;"'!J3")</f>
        <v/>
      </c>
      <c r="AF135" s="53">
        <f t="array" ref="AF135">INDIRECT("'"&amp;$A135&amp;"'!AC1")</f>
        <v/>
      </c>
    </row>
    <row r="136" ht="15.75" customHeight="1" thickBot="1">
      <c r="A136" s="58" t="n">
        <v>45</v>
      </c>
      <c r="B136" s="106" t="n"/>
      <c r="C136" s="77">
        <f t="array" ref="C136">CONCATENATE("分 ",INDIRECT("'"&amp;$A135&amp;"'!D6"))</f>
        <v/>
      </c>
      <c r="D136" s="56" t="inlineStr">
        <is>
          <t>3队</t>
        </is>
      </c>
      <c r="E136" s="81">
        <f t="array" ref="E136">INDIRECT("'"&amp;$A135&amp;"'!I4")</f>
        <v/>
      </c>
      <c r="F136" s="52">
        <f t="array" ref="F136">INDIRECT("'"&amp;$A136&amp;"'!C14")</f>
        <v/>
      </c>
      <c r="G136" s="3">
        <f t="array" ref="G136">INDIRECT("'"&amp;$A136&amp;"'!D14")</f>
        <v/>
      </c>
      <c r="H136" s="3">
        <f t="array" ref="H136">INDIRECT("'"&amp;$A136&amp;"'!E14")</f>
        <v/>
      </c>
      <c r="I136" s="3">
        <f t="array" ref="I136">INDIRECT("'"&amp;$A136&amp;"'!F14")</f>
        <v/>
      </c>
      <c r="J136" s="3">
        <f t="array" ref="J136">INDIRECT("'"&amp;$A136&amp;"'!G14")</f>
        <v/>
      </c>
      <c r="K136" s="3">
        <f t="array" ref="K136">INDIRECT("'"&amp;$A136&amp;"'!H14")</f>
        <v/>
      </c>
      <c r="L136" s="3">
        <f t="array" ref="L136">INDIRECT("'"&amp;$A136&amp;"'!I14")</f>
        <v/>
      </c>
      <c r="M136" s="3">
        <f t="array" ref="M136">INDIRECT("'"&amp;$A136&amp;"'!J14")</f>
        <v/>
      </c>
      <c r="N136" s="3">
        <f t="array" ref="N136">INDIRECT("'"&amp;$A136&amp;"'!K14")</f>
        <v/>
      </c>
      <c r="O136" s="3">
        <f t="array" ref="O136">INDIRECT("'"&amp;$A136&amp;"'!L14")</f>
        <v/>
      </c>
      <c r="P136" s="3">
        <f t="array" ref="P136">INDIRECT("'"&amp;$A136&amp;"'!M14")</f>
        <v/>
      </c>
      <c r="Q136" s="3">
        <f t="array" ref="Q136">INDIRECT("'"&amp;$A136&amp;"'!N14")</f>
        <v/>
      </c>
      <c r="R136" s="3">
        <f t="array" ref="R136">INDIRECT("'"&amp;$A136&amp;"'!O14")</f>
        <v/>
      </c>
      <c r="S136" s="3">
        <f t="array" ref="S136">INDIRECT("'"&amp;$A136&amp;"'!P14")</f>
        <v/>
      </c>
      <c r="T136" s="3">
        <f t="array" ref="T136">INDIRECT("'"&amp;$A136&amp;"'!Q14")</f>
        <v/>
      </c>
      <c r="U136" s="3">
        <f t="array" ref="U136">INDIRECT("'"&amp;$A136&amp;"'!R14")</f>
        <v/>
      </c>
      <c r="V136" s="3">
        <f t="array" ref="V136">INDIRECT("'"&amp;$A136&amp;"'!S14")</f>
        <v/>
      </c>
      <c r="W136" s="3">
        <f t="array" ref="W136">INDIRECT("'"&amp;$A136&amp;"'!T14")</f>
        <v/>
      </c>
      <c r="X136" s="3">
        <f t="array" ref="X136">INDIRECT("'"&amp;$A136&amp;"'!U14")</f>
        <v/>
      </c>
      <c r="Y136" s="3">
        <f t="array" ref="Y136">INDIRECT("'"&amp;$A136&amp;"'!V14")</f>
        <v/>
      </c>
      <c r="Z136" s="3">
        <f t="array" ref="Z136">INDIRECT("'"&amp;$A136&amp;"'!W14")</f>
        <v/>
      </c>
      <c r="AA136" s="3">
        <f t="array" ref="AA136">INDIRECT("'"&amp;$A136&amp;"'!X14")</f>
        <v/>
      </c>
      <c r="AB136" s="3">
        <f t="array" ref="AB136">INDIRECT("'"&amp;$A136&amp;"'!Y14")</f>
        <v/>
      </c>
      <c r="AC136" s="3">
        <f t="array" ref="AC136">INDIRECT("'"&amp;$A136&amp;"'!Z14")</f>
        <v/>
      </c>
      <c r="AD136" s="32">
        <f t="array" ref="AD136">INDIRECT("'"&amp;$A136&amp;"'!AA14")</f>
        <v/>
      </c>
      <c r="AE136" s="81">
        <f t="array" ref="AE136">INDIRECT("'"&amp;$A135&amp;"'!J4")</f>
        <v/>
      </c>
      <c r="AF136" s="53" t="n"/>
    </row>
    <row r="137">
      <c r="A137" s="58" t="n">
        <v>46</v>
      </c>
      <c r="B137" s="103">
        <f>INDEX(data!$I$2:$I$98,MATCH(A137*1,data!$G$2:$G$98,0))</f>
        <v/>
      </c>
      <c r="C137" s="66">
        <f>HYPERLINK("#'" &amp; A137 &amp; "'!A1", "编辑")</f>
        <v/>
      </c>
      <c r="D137" s="54" t="inlineStr">
        <is>
          <t>1队</t>
        </is>
      </c>
      <c r="E137" s="79">
        <f t="array" ref="E137">INDIRECT("'"&amp;$A138&amp;"'!I2")</f>
        <v/>
      </c>
      <c r="F137" s="29">
        <f t="array" ref="F137">INDIRECT("'"&amp;$A137&amp;"'!C8")</f>
        <v/>
      </c>
      <c r="G137" s="30">
        <f t="array" ref="G137">INDIRECT("'"&amp;$A137&amp;"'!D8")</f>
        <v/>
      </c>
      <c r="H137" s="30">
        <f t="array" ref="H137">INDIRECT("'"&amp;$A137&amp;"'!E8")</f>
        <v/>
      </c>
      <c r="I137" s="30">
        <f t="array" ref="I137">INDIRECT("'"&amp;$A137&amp;"'!F8")</f>
        <v/>
      </c>
      <c r="J137" s="30">
        <f t="array" ref="J137">INDIRECT("'"&amp;$A137&amp;"'!G8")</f>
        <v/>
      </c>
      <c r="K137" s="30">
        <f t="array" ref="K137">INDIRECT("'"&amp;$A137&amp;"'!H8")</f>
        <v/>
      </c>
      <c r="L137" s="30">
        <f t="array" ref="L137">INDIRECT("'"&amp;$A137&amp;"'!I8")</f>
        <v/>
      </c>
      <c r="M137" s="30">
        <f t="array" ref="M137">INDIRECT("'"&amp;$A137&amp;"'!J8")</f>
        <v/>
      </c>
      <c r="N137" s="30">
        <f t="array" ref="N137">INDIRECT("'"&amp;$A137&amp;"'!K8")</f>
        <v/>
      </c>
      <c r="O137" s="30">
        <f t="array" ref="O137">INDIRECT("'"&amp;$A137&amp;"'!L8")</f>
        <v/>
      </c>
      <c r="P137" s="30">
        <f t="array" ref="P137">INDIRECT("'"&amp;$A137&amp;"'!M8")</f>
        <v/>
      </c>
      <c r="Q137" s="30">
        <f t="array" ref="Q137">INDIRECT("'"&amp;$A137&amp;"'!N8")</f>
        <v/>
      </c>
      <c r="R137" s="30">
        <f t="array" ref="R137">INDIRECT("'"&amp;$A137&amp;"'!O8")</f>
        <v/>
      </c>
      <c r="S137" s="30">
        <f t="array" ref="S137">INDIRECT("'"&amp;$A137&amp;"'!P8")</f>
        <v/>
      </c>
      <c r="T137" s="30">
        <f t="array" ref="T137">INDIRECT("'"&amp;$A137&amp;"'!Q8")</f>
        <v/>
      </c>
      <c r="U137" s="30">
        <f t="array" ref="U137">INDIRECT("'"&amp;$A137&amp;"'!R8")</f>
        <v/>
      </c>
      <c r="V137" s="30">
        <f t="array" ref="V137">INDIRECT("'"&amp;$A137&amp;"'!S8")</f>
        <v/>
      </c>
      <c r="W137" s="30">
        <f t="array" ref="W137">INDIRECT("'"&amp;$A137&amp;"'!T8")</f>
        <v/>
      </c>
      <c r="X137" s="30">
        <f t="array" ref="X137">INDIRECT("'"&amp;$A137&amp;"'!U8")</f>
        <v/>
      </c>
      <c r="Y137" s="30">
        <f t="array" ref="Y137">INDIRECT("'"&amp;$A137&amp;"'!V8")</f>
        <v/>
      </c>
      <c r="Z137" s="30">
        <f t="array" ref="Z137">INDIRECT("'"&amp;$A137&amp;"'!W8")</f>
        <v/>
      </c>
      <c r="AA137" s="30">
        <f t="array" ref="AA137">INDIRECT("'"&amp;$A137&amp;"'!X8")</f>
        <v/>
      </c>
      <c r="AB137" s="30">
        <f t="array" ref="AB137">INDIRECT("'"&amp;$A137&amp;"'!Y8")</f>
        <v/>
      </c>
      <c r="AC137" s="30">
        <f t="array" ref="AC137">INDIRECT("'"&amp;$A137&amp;"'!Z8")</f>
        <v/>
      </c>
      <c r="AD137" s="31">
        <f t="array" ref="AD137">INDIRECT("'"&amp;$A137&amp;"'!AA8")</f>
        <v/>
      </c>
      <c r="AE137" s="79">
        <f t="array" ref="AE137">INDIRECT("'"&amp;$A138&amp;"'!J2")</f>
        <v/>
      </c>
      <c r="AF137" s="53">
        <f t="array" ref="AF137">INDIRECT("'"&amp;$A138&amp;"'!AD1")</f>
        <v/>
      </c>
    </row>
    <row r="138">
      <c r="A138" s="58" t="n">
        <v>46</v>
      </c>
      <c r="B138" s="105" t="n"/>
      <c r="C138" s="67">
        <f t="array" ref="C138">CONCATENATE("粮 ",INDIRECT("'"&amp;$A138&amp;"'!D4"))</f>
        <v/>
      </c>
      <c r="D138" s="55" t="inlineStr">
        <is>
          <t>2队</t>
        </is>
      </c>
      <c r="E138" s="80">
        <f t="array" ref="E138">INDIRECT("'"&amp;$A138&amp;"'!I3")</f>
        <v/>
      </c>
      <c r="F138" s="52">
        <f t="array" ref="F138">INDIRECT("'"&amp;$A138&amp;"'!C11")</f>
        <v/>
      </c>
      <c r="G138" s="3">
        <f t="array" ref="G138">INDIRECT("'"&amp;$A138&amp;"'!D11")</f>
        <v/>
      </c>
      <c r="H138" s="3">
        <f t="array" ref="H138">INDIRECT("'"&amp;$A138&amp;"'!E11")</f>
        <v/>
      </c>
      <c r="I138" s="3">
        <f t="array" ref="I138">INDIRECT("'"&amp;$A138&amp;"'!F11")</f>
        <v/>
      </c>
      <c r="J138" s="3">
        <f t="array" ref="J138">INDIRECT("'"&amp;$A138&amp;"'!G11")</f>
        <v/>
      </c>
      <c r="K138" s="3">
        <f t="array" ref="K138">INDIRECT("'"&amp;$A138&amp;"'!H11")</f>
        <v/>
      </c>
      <c r="L138" s="3">
        <f t="array" ref="L138">INDIRECT("'"&amp;$A138&amp;"'!I11")</f>
        <v/>
      </c>
      <c r="M138" s="3">
        <f t="array" ref="M138">INDIRECT("'"&amp;$A138&amp;"'!J11")</f>
        <v/>
      </c>
      <c r="N138" s="3">
        <f t="array" ref="N138">INDIRECT("'"&amp;$A138&amp;"'!K11")</f>
        <v/>
      </c>
      <c r="O138" s="3">
        <f t="array" ref="O138">INDIRECT("'"&amp;$A138&amp;"'!L11")</f>
        <v/>
      </c>
      <c r="P138" s="3">
        <f t="array" ref="P138">INDIRECT("'"&amp;$A138&amp;"'!M11")</f>
        <v/>
      </c>
      <c r="Q138" s="3">
        <f t="array" ref="Q138">INDIRECT("'"&amp;$A138&amp;"'!N11")</f>
        <v/>
      </c>
      <c r="R138" s="3">
        <f t="array" ref="R138">INDIRECT("'"&amp;$A138&amp;"'!O11")</f>
        <v/>
      </c>
      <c r="S138" s="3">
        <f t="array" ref="S138">INDIRECT("'"&amp;$A138&amp;"'!P11")</f>
        <v/>
      </c>
      <c r="T138" s="3">
        <f t="array" ref="T138">INDIRECT("'"&amp;$A138&amp;"'!Q11")</f>
        <v/>
      </c>
      <c r="U138" s="3">
        <f t="array" ref="U138">INDIRECT("'"&amp;$A138&amp;"'!R11")</f>
        <v/>
      </c>
      <c r="V138" s="3">
        <f t="array" ref="V138">INDIRECT("'"&amp;$A138&amp;"'!S11")</f>
        <v/>
      </c>
      <c r="W138" s="3">
        <f t="array" ref="W138">INDIRECT("'"&amp;$A138&amp;"'!T11")</f>
        <v/>
      </c>
      <c r="X138" s="3">
        <f t="array" ref="X138">INDIRECT("'"&amp;$A138&amp;"'!U11")</f>
        <v/>
      </c>
      <c r="Y138" s="3">
        <f t="array" ref="Y138">INDIRECT("'"&amp;$A138&amp;"'!V11")</f>
        <v/>
      </c>
      <c r="Z138" s="3">
        <f t="array" ref="Z138">INDIRECT("'"&amp;$A138&amp;"'!W11")</f>
        <v/>
      </c>
      <c r="AA138" s="3">
        <f t="array" ref="AA138">INDIRECT("'"&amp;$A138&amp;"'!X11")</f>
        <v/>
      </c>
      <c r="AB138" s="3">
        <f t="array" ref="AB138">INDIRECT("'"&amp;$A138&amp;"'!Y11")</f>
        <v/>
      </c>
      <c r="AC138" s="3">
        <f t="array" ref="AC138">INDIRECT("'"&amp;$A138&amp;"'!Z11")</f>
        <v/>
      </c>
      <c r="AD138" s="32">
        <f t="array" ref="AD138">INDIRECT("'"&amp;$A138&amp;"'!AA11")</f>
        <v/>
      </c>
      <c r="AE138" s="80">
        <f t="array" ref="AE138">INDIRECT("'"&amp;$A138&amp;"'!J3")</f>
        <v/>
      </c>
      <c r="AF138" s="53">
        <f t="array" ref="AF138">INDIRECT("'"&amp;$A138&amp;"'!AC1")</f>
        <v/>
      </c>
    </row>
    <row r="139" ht="15.75" customHeight="1" thickBot="1">
      <c r="A139" s="58" t="n">
        <v>46</v>
      </c>
      <c r="B139" s="106" t="n"/>
      <c r="C139" s="77">
        <f t="array" ref="C139">CONCATENATE("分 ",INDIRECT("'"&amp;$A138&amp;"'!D6"))</f>
        <v/>
      </c>
      <c r="D139" s="56" t="inlineStr">
        <is>
          <t>3队</t>
        </is>
      </c>
      <c r="E139" s="81">
        <f t="array" ref="E139">INDIRECT("'"&amp;$A138&amp;"'!I4")</f>
        <v/>
      </c>
      <c r="F139" s="52">
        <f t="array" ref="F139">INDIRECT("'"&amp;$A139&amp;"'!C14")</f>
        <v/>
      </c>
      <c r="G139" s="3">
        <f t="array" ref="G139">INDIRECT("'"&amp;$A139&amp;"'!D14")</f>
        <v/>
      </c>
      <c r="H139" s="3">
        <f t="array" ref="H139">INDIRECT("'"&amp;$A139&amp;"'!E14")</f>
        <v/>
      </c>
      <c r="I139" s="3">
        <f t="array" ref="I139">INDIRECT("'"&amp;$A139&amp;"'!F14")</f>
        <v/>
      </c>
      <c r="J139" s="3">
        <f t="array" ref="J139">INDIRECT("'"&amp;$A139&amp;"'!G14")</f>
        <v/>
      </c>
      <c r="K139" s="3">
        <f t="array" ref="K139">INDIRECT("'"&amp;$A139&amp;"'!H14")</f>
        <v/>
      </c>
      <c r="L139" s="3">
        <f t="array" ref="L139">INDIRECT("'"&amp;$A139&amp;"'!I14")</f>
        <v/>
      </c>
      <c r="M139" s="3">
        <f t="array" ref="M139">INDIRECT("'"&amp;$A139&amp;"'!J14")</f>
        <v/>
      </c>
      <c r="N139" s="3">
        <f t="array" ref="N139">INDIRECT("'"&amp;$A139&amp;"'!K14")</f>
        <v/>
      </c>
      <c r="O139" s="3">
        <f t="array" ref="O139">INDIRECT("'"&amp;$A139&amp;"'!L14")</f>
        <v/>
      </c>
      <c r="P139" s="3">
        <f t="array" ref="P139">INDIRECT("'"&amp;$A139&amp;"'!M14")</f>
        <v/>
      </c>
      <c r="Q139" s="3">
        <f t="array" ref="Q139">INDIRECT("'"&amp;$A139&amp;"'!N14")</f>
        <v/>
      </c>
      <c r="R139" s="3">
        <f t="array" ref="R139">INDIRECT("'"&amp;$A139&amp;"'!O14")</f>
        <v/>
      </c>
      <c r="S139" s="3">
        <f t="array" ref="S139">INDIRECT("'"&amp;$A139&amp;"'!P14")</f>
        <v/>
      </c>
      <c r="T139" s="3">
        <f t="array" ref="T139">INDIRECT("'"&amp;$A139&amp;"'!Q14")</f>
        <v/>
      </c>
      <c r="U139" s="3">
        <f t="array" ref="U139">INDIRECT("'"&amp;$A139&amp;"'!R14")</f>
        <v/>
      </c>
      <c r="V139" s="3">
        <f t="array" ref="V139">INDIRECT("'"&amp;$A139&amp;"'!S14")</f>
        <v/>
      </c>
      <c r="W139" s="3">
        <f t="array" ref="W139">INDIRECT("'"&amp;$A139&amp;"'!T14")</f>
        <v/>
      </c>
      <c r="X139" s="3">
        <f t="array" ref="X139">INDIRECT("'"&amp;$A139&amp;"'!U14")</f>
        <v/>
      </c>
      <c r="Y139" s="3">
        <f t="array" ref="Y139">INDIRECT("'"&amp;$A139&amp;"'!V14")</f>
        <v/>
      </c>
      <c r="Z139" s="3">
        <f t="array" ref="Z139">INDIRECT("'"&amp;$A139&amp;"'!W14")</f>
        <v/>
      </c>
      <c r="AA139" s="3">
        <f t="array" ref="AA139">INDIRECT("'"&amp;$A139&amp;"'!X14")</f>
        <v/>
      </c>
      <c r="AB139" s="3">
        <f t="array" ref="AB139">INDIRECT("'"&amp;$A139&amp;"'!Y14")</f>
        <v/>
      </c>
      <c r="AC139" s="3">
        <f t="array" ref="AC139">INDIRECT("'"&amp;$A139&amp;"'!Z14")</f>
        <v/>
      </c>
      <c r="AD139" s="32">
        <f t="array" ref="AD139">INDIRECT("'"&amp;$A139&amp;"'!AA14")</f>
        <v/>
      </c>
      <c r="AE139" s="81">
        <f t="array" ref="AE139">INDIRECT("'"&amp;$A138&amp;"'!J4")</f>
        <v/>
      </c>
      <c r="AF139" s="53" t="n"/>
    </row>
    <row r="140">
      <c r="A140" s="58" t="n">
        <v>47</v>
      </c>
      <c r="B140" s="103">
        <f>INDEX(data!$I$2:$I$98,MATCH(A140*1,data!$G$2:$G$98,0))</f>
        <v/>
      </c>
      <c r="C140" s="66">
        <f>HYPERLINK("#'" &amp; A140 &amp; "'!A1", "编辑")</f>
        <v/>
      </c>
      <c r="D140" s="54" t="inlineStr">
        <is>
          <t>1队</t>
        </is>
      </c>
      <c r="E140" s="79">
        <f t="array" ref="E140">INDIRECT("'"&amp;$A141&amp;"'!I2")</f>
        <v/>
      </c>
      <c r="F140" s="29">
        <f t="array" ref="F140">INDIRECT("'"&amp;$A140&amp;"'!C8")</f>
        <v/>
      </c>
      <c r="G140" s="30">
        <f t="array" ref="G140">INDIRECT("'"&amp;$A140&amp;"'!D8")</f>
        <v/>
      </c>
      <c r="H140" s="30">
        <f t="array" ref="H140">INDIRECT("'"&amp;$A140&amp;"'!E8")</f>
        <v/>
      </c>
      <c r="I140" s="30">
        <f t="array" ref="I140">INDIRECT("'"&amp;$A140&amp;"'!F8")</f>
        <v/>
      </c>
      <c r="J140" s="30">
        <f t="array" ref="J140">INDIRECT("'"&amp;$A140&amp;"'!G8")</f>
        <v/>
      </c>
      <c r="K140" s="30">
        <f t="array" ref="K140">INDIRECT("'"&amp;$A140&amp;"'!H8")</f>
        <v/>
      </c>
      <c r="L140" s="30">
        <f t="array" ref="L140">INDIRECT("'"&amp;$A140&amp;"'!I8")</f>
        <v/>
      </c>
      <c r="M140" s="30">
        <f t="array" ref="M140">INDIRECT("'"&amp;$A140&amp;"'!J8")</f>
        <v/>
      </c>
      <c r="N140" s="30">
        <f t="array" ref="N140">INDIRECT("'"&amp;$A140&amp;"'!K8")</f>
        <v/>
      </c>
      <c r="O140" s="30">
        <f t="array" ref="O140">INDIRECT("'"&amp;$A140&amp;"'!L8")</f>
        <v/>
      </c>
      <c r="P140" s="30">
        <f t="array" ref="P140">INDIRECT("'"&amp;$A140&amp;"'!M8")</f>
        <v/>
      </c>
      <c r="Q140" s="30">
        <f t="array" ref="Q140">INDIRECT("'"&amp;$A140&amp;"'!N8")</f>
        <v/>
      </c>
      <c r="R140" s="30">
        <f t="array" ref="R140">INDIRECT("'"&amp;$A140&amp;"'!O8")</f>
        <v/>
      </c>
      <c r="S140" s="30">
        <f t="array" ref="S140">INDIRECT("'"&amp;$A140&amp;"'!P8")</f>
        <v/>
      </c>
      <c r="T140" s="30">
        <f t="array" ref="T140">INDIRECT("'"&amp;$A140&amp;"'!Q8")</f>
        <v/>
      </c>
      <c r="U140" s="30">
        <f t="array" ref="U140">INDIRECT("'"&amp;$A140&amp;"'!R8")</f>
        <v/>
      </c>
      <c r="V140" s="30">
        <f t="array" ref="V140">INDIRECT("'"&amp;$A140&amp;"'!S8")</f>
        <v/>
      </c>
      <c r="W140" s="30">
        <f t="array" ref="W140">INDIRECT("'"&amp;$A140&amp;"'!T8")</f>
        <v/>
      </c>
      <c r="X140" s="30">
        <f t="array" ref="X140">INDIRECT("'"&amp;$A140&amp;"'!U8")</f>
        <v/>
      </c>
      <c r="Y140" s="30">
        <f t="array" ref="Y140">INDIRECT("'"&amp;$A140&amp;"'!V8")</f>
        <v/>
      </c>
      <c r="Z140" s="30">
        <f t="array" ref="Z140">INDIRECT("'"&amp;$A140&amp;"'!W8")</f>
        <v/>
      </c>
      <c r="AA140" s="30">
        <f t="array" ref="AA140">INDIRECT("'"&amp;$A140&amp;"'!X8")</f>
        <v/>
      </c>
      <c r="AB140" s="30">
        <f t="array" ref="AB140">INDIRECT("'"&amp;$A140&amp;"'!Y8")</f>
        <v/>
      </c>
      <c r="AC140" s="30">
        <f t="array" ref="AC140">INDIRECT("'"&amp;$A140&amp;"'!Z8")</f>
        <v/>
      </c>
      <c r="AD140" s="31">
        <f t="array" ref="AD140">INDIRECT("'"&amp;$A140&amp;"'!AA8")</f>
        <v/>
      </c>
      <c r="AE140" s="79">
        <f t="array" ref="AE140">INDIRECT("'"&amp;$A141&amp;"'!J2")</f>
        <v/>
      </c>
      <c r="AF140" s="53">
        <f t="array" ref="AF140">INDIRECT("'"&amp;$A141&amp;"'!AD1")</f>
        <v/>
      </c>
    </row>
    <row r="141">
      <c r="A141" s="58" t="n">
        <v>47</v>
      </c>
      <c r="B141" s="105" t="n"/>
      <c r="C141" s="67">
        <f t="array" ref="C141">CONCATENATE("粮 ",INDIRECT("'"&amp;$A141&amp;"'!D4"))</f>
        <v/>
      </c>
      <c r="D141" s="55" t="inlineStr">
        <is>
          <t>2队</t>
        </is>
      </c>
      <c r="E141" s="80">
        <f t="array" ref="E141">INDIRECT("'"&amp;$A141&amp;"'!I3")</f>
        <v/>
      </c>
      <c r="F141" s="52">
        <f t="array" ref="F141">INDIRECT("'"&amp;$A141&amp;"'!C11")</f>
        <v/>
      </c>
      <c r="G141" s="3">
        <f t="array" ref="G141">INDIRECT("'"&amp;$A141&amp;"'!D11")</f>
        <v/>
      </c>
      <c r="H141" s="3">
        <f t="array" ref="H141">INDIRECT("'"&amp;$A141&amp;"'!E11")</f>
        <v/>
      </c>
      <c r="I141" s="3">
        <f t="array" ref="I141">INDIRECT("'"&amp;$A141&amp;"'!F11")</f>
        <v/>
      </c>
      <c r="J141" s="3">
        <f t="array" ref="J141">INDIRECT("'"&amp;$A141&amp;"'!G11")</f>
        <v/>
      </c>
      <c r="K141" s="3">
        <f t="array" ref="K141">INDIRECT("'"&amp;$A141&amp;"'!H11")</f>
        <v/>
      </c>
      <c r="L141" s="3">
        <f t="array" ref="L141">INDIRECT("'"&amp;$A141&amp;"'!I11")</f>
        <v/>
      </c>
      <c r="M141" s="3">
        <f t="array" ref="M141">INDIRECT("'"&amp;$A141&amp;"'!J11")</f>
        <v/>
      </c>
      <c r="N141" s="3">
        <f t="array" ref="N141">INDIRECT("'"&amp;$A141&amp;"'!K11")</f>
        <v/>
      </c>
      <c r="O141" s="3">
        <f t="array" ref="O141">INDIRECT("'"&amp;$A141&amp;"'!L11")</f>
        <v/>
      </c>
      <c r="P141" s="3">
        <f t="array" ref="P141">INDIRECT("'"&amp;$A141&amp;"'!M11")</f>
        <v/>
      </c>
      <c r="Q141" s="3">
        <f t="array" ref="Q141">INDIRECT("'"&amp;$A141&amp;"'!N11")</f>
        <v/>
      </c>
      <c r="R141" s="3">
        <f t="array" ref="R141">INDIRECT("'"&amp;$A141&amp;"'!O11")</f>
        <v/>
      </c>
      <c r="S141" s="3">
        <f t="array" ref="S141">INDIRECT("'"&amp;$A141&amp;"'!P11")</f>
        <v/>
      </c>
      <c r="T141" s="3">
        <f t="array" ref="T141">INDIRECT("'"&amp;$A141&amp;"'!Q11")</f>
        <v/>
      </c>
      <c r="U141" s="3">
        <f t="array" ref="U141">INDIRECT("'"&amp;$A141&amp;"'!R11")</f>
        <v/>
      </c>
      <c r="V141" s="3">
        <f t="array" ref="V141">INDIRECT("'"&amp;$A141&amp;"'!S11")</f>
        <v/>
      </c>
      <c r="W141" s="3">
        <f t="array" ref="W141">INDIRECT("'"&amp;$A141&amp;"'!T11")</f>
        <v/>
      </c>
      <c r="X141" s="3">
        <f t="array" ref="X141">INDIRECT("'"&amp;$A141&amp;"'!U11")</f>
        <v/>
      </c>
      <c r="Y141" s="3">
        <f t="array" ref="Y141">INDIRECT("'"&amp;$A141&amp;"'!V11")</f>
        <v/>
      </c>
      <c r="Z141" s="3">
        <f t="array" ref="Z141">INDIRECT("'"&amp;$A141&amp;"'!W11")</f>
        <v/>
      </c>
      <c r="AA141" s="3">
        <f t="array" ref="AA141">INDIRECT("'"&amp;$A141&amp;"'!X11")</f>
        <v/>
      </c>
      <c r="AB141" s="3">
        <f t="array" ref="AB141">INDIRECT("'"&amp;$A141&amp;"'!Y11")</f>
        <v/>
      </c>
      <c r="AC141" s="3">
        <f t="array" ref="AC141">INDIRECT("'"&amp;$A141&amp;"'!Z11")</f>
        <v/>
      </c>
      <c r="AD141" s="32">
        <f t="array" ref="AD141">INDIRECT("'"&amp;$A141&amp;"'!AA11")</f>
        <v/>
      </c>
      <c r="AE141" s="80">
        <f t="array" ref="AE141">INDIRECT("'"&amp;$A141&amp;"'!J3")</f>
        <v/>
      </c>
      <c r="AF141" s="53">
        <f t="array" ref="AF141">INDIRECT("'"&amp;$A141&amp;"'!AC1")</f>
        <v/>
      </c>
    </row>
    <row r="142" ht="15.75" customHeight="1" thickBot="1">
      <c r="A142" s="58" t="n">
        <v>47</v>
      </c>
      <c r="B142" s="106" t="n"/>
      <c r="C142" s="77">
        <f t="array" ref="C142">CONCATENATE("分 ",INDIRECT("'"&amp;$A141&amp;"'!D6"))</f>
        <v/>
      </c>
      <c r="D142" s="56" t="inlineStr">
        <is>
          <t>3队</t>
        </is>
      </c>
      <c r="E142" s="81">
        <f t="array" ref="E142">INDIRECT("'"&amp;$A141&amp;"'!I4")</f>
        <v/>
      </c>
      <c r="F142" s="52">
        <f t="array" ref="F142">INDIRECT("'"&amp;$A142&amp;"'!C14")</f>
        <v/>
      </c>
      <c r="G142" s="3">
        <f t="array" ref="G142">INDIRECT("'"&amp;$A142&amp;"'!D14")</f>
        <v/>
      </c>
      <c r="H142" s="3">
        <f t="array" ref="H142">INDIRECT("'"&amp;$A142&amp;"'!E14")</f>
        <v/>
      </c>
      <c r="I142" s="3">
        <f t="array" ref="I142">INDIRECT("'"&amp;$A142&amp;"'!F14")</f>
        <v/>
      </c>
      <c r="J142" s="3">
        <f t="array" ref="J142">INDIRECT("'"&amp;$A142&amp;"'!G14")</f>
        <v/>
      </c>
      <c r="K142" s="3">
        <f t="array" ref="K142">INDIRECT("'"&amp;$A142&amp;"'!H14")</f>
        <v/>
      </c>
      <c r="L142" s="3">
        <f t="array" ref="L142">INDIRECT("'"&amp;$A142&amp;"'!I14")</f>
        <v/>
      </c>
      <c r="M142" s="3">
        <f t="array" ref="M142">INDIRECT("'"&amp;$A142&amp;"'!J14")</f>
        <v/>
      </c>
      <c r="N142" s="3">
        <f t="array" ref="N142">INDIRECT("'"&amp;$A142&amp;"'!K14")</f>
        <v/>
      </c>
      <c r="O142" s="3">
        <f t="array" ref="O142">INDIRECT("'"&amp;$A142&amp;"'!L14")</f>
        <v/>
      </c>
      <c r="P142" s="3">
        <f t="array" ref="P142">INDIRECT("'"&amp;$A142&amp;"'!M14")</f>
        <v/>
      </c>
      <c r="Q142" s="3">
        <f t="array" ref="Q142">INDIRECT("'"&amp;$A142&amp;"'!N14")</f>
        <v/>
      </c>
      <c r="R142" s="3">
        <f t="array" ref="R142">INDIRECT("'"&amp;$A142&amp;"'!O14")</f>
        <v/>
      </c>
      <c r="S142" s="3">
        <f t="array" ref="S142">INDIRECT("'"&amp;$A142&amp;"'!P14")</f>
        <v/>
      </c>
      <c r="T142" s="3">
        <f t="array" ref="T142">INDIRECT("'"&amp;$A142&amp;"'!Q14")</f>
        <v/>
      </c>
      <c r="U142" s="3">
        <f t="array" ref="U142">INDIRECT("'"&amp;$A142&amp;"'!R14")</f>
        <v/>
      </c>
      <c r="V142" s="3">
        <f t="array" ref="V142">INDIRECT("'"&amp;$A142&amp;"'!S14")</f>
        <v/>
      </c>
      <c r="W142" s="3">
        <f t="array" ref="W142">INDIRECT("'"&amp;$A142&amp;"'!T14")</f>
        <v/>
      </c>
      <c r="X142" s="3">
        <f t="array" ref="X142">INDIRECT("'"&amp;$A142&amp;"'!U14")</f>
        <v/>
      </c>
      <c r="Y142" s="3">
        <f t="array" ref="Y142">INDIRECT("'"&amp;$A142&amp;"'!V14")</f>
        <v/>
      </c>
      <c r="Z142" s="3">
        <f t="array" ref="Z142">INDIRECT("'"&amp;$A142&amp;"'!W14")</f>
        <v/>
      </c>
      <c r="AA142" s="3">
        <f t="array" ref="AA142">INDIRECT("'"&amp;$A142&amp;"'!X14")</f>
        <v/>
      </c>
      <c r="AB142" s="3">
        <f t="array" ref="AB142">INDIRECT("'"&amp;$A142&amp;"'!Y14")</f>
        <v/>
      </c>
      <c r="AC142" s="3">
        <f t="array" ref="AC142">INDIRECT("'"&amp;$A142&amp;"'!Z14")</f>
        <v/>
      </c>
      <c r="AD142" s="32">
        <f t="array" ref="AD142">INDIRECT("'"&amp;$A142&amp;"'!AA14")</f>
        <v/>
      </c>
      <c r="AE142" s="81">
        <f t="array" ref="AE142">INDIRECT("'"&amp;$A141&amp;"'!J4")</f>
        <v/>
      </c>
      <c r="AF142" s="53" t="n"/>
    </row>
    <row r="143">
      <c r="A143" s="58" t="n">
        <v>48</v>
      </c>
      <c r="B143" s="103">
        <f>INDEX(data!$I$2:$I$98,MATCH(A143*1,data!$G$2:$G$98,0))</f>
        <v/>
      </c>
      <c r="C143" s="66">
        <f>HYPERLINK("#'" &amp; A143 &amp; "'!A1", "编辑")</f>
        <v/>
      </c>
      <c r="D143" s="54" t="inlineStr">
        <is>
          <t>1队</t>
        </is>
      </c>
      <c r="E143" s="79">
        <f t="array" ref="E143">INDIRECT("'"&amp;$A144&amp;"'!I2")</f>
        <v/>
      </c>
      <c r="F143" s="29">
        <f t="array" ref="F143">INDIRECT("'"&amp;$A143&amp;"'!C8")</f>
        <v/>
      </c>
      <c r="G143" s="30">
        <f t="array" ref="G143">INDIRECT("'"&amp;$A143&amp;"'!D8")</f>
        <v/>
      </c>
      <c r="H143" s="30">
        <f t="array" ref="H143">INDIRECT("'"&amp;$A143&amp;"'!E8")</f>
        <v/>
      </c>
      <c r="I143" s="30">
        <f t="array" ref="I143">INDIRECT("'"&amp;$A143&amp;"'!F8")</f>
        <v/>
      </c>
      <c r="J143" s="30">
        <f t="array" ref="J143">INDIRECT("'"&amp;$A143&amp;"'!G8")</f>
        <v/>
      </c>
      <c r="K143" s="30">
        <f t="array" ref="K143">INDIRECT("'"&amp;$A143&amp;"'!H8")</f>
        <v/>
      </c>
      <c r="L143" s="30">
        <f t="array" ref="L143">INDIRECT("'"&amp;$A143&amp;"'!I8")</f>
        <v/>
      </c>
      <c r="M143" s="30">
        <f t="array" ref="M143">INDIRECT("'"&amp;$A143&amp;"'!J8")</f>
        <v/>
      </c>
      <c r="N143" s="30">
        <f t="array" ref="N143">INDIRECT("'"&amp;$A143&amp;"'!K8")</f>
        <v/>
      </c>
      <c r="O143" s="30">
        <f t="array" ref="O143">INDIRECT("'"&amp;$A143&amp;"'!L8")</f>
        <v/>
      </c>
      <c r="P143" s="30">
        <f t="array" ref="P143">INDIRECT("'"&amp;$A143&amp;"'!M8")</f>
        <v/>
      </c>
      <c r="Q143" s="30">
        <f t="array" ref="Q143">INDIRECT("'"&amp;$A143&amp;"'!N8")</f>
        <v/>
      </c>
      <c r="R143" s="30">
        <f t="array" ref="R143">INDIRECT("'"&amp;$A143&amp;"'!O8")</f>
        <v/>
      </c>
      <c r="S143" s="30">
        <f t="array" ref="S143">INDIRECT("'"&amp;$A143&amp;"'!P8")</f>
        <v/>
      </c>
      <c r="T143" s="30">
        <f t="array" ref="T143">INDIRECT("'"&amp;$A143&amp;"'!Q8")</f>
        <v/>
      </c>
      <c r="U143" s="30">
        <f t="array" ref="U143">INDIRECT("'"&amp;$A143&amp;"'!R8")</f>
        <v/>
      </c>
      <c r="V143" s="30">
        <f t="array" ref="V143">INDIRECT("'"&amp;$A143&amp;"'!S8")</f>
        <v/>
      </c>
      <c r="W143" s="30">
        <f t="array" ref="W143">INDIRECT("'"&amp;$A143&amp;"'!T8")</f>
        <v/>
      </c>
      <c r="X143" s="30">
        <f t="array" ref="X143">INDIRECT("'"&amp;$A143&amp;"'!U8")</f>
        <v/>
      </c>
      <c r="Y143" s="30">
        <f t="array" ref="Y143">INDIRECT("'"&amp;$A143&amp;"'!V8")</f>
        <v/>
      </c>
      <c r="Z143" s="30">
        <f t="array" ref="Z143">INDIRECT("'"&amp;$A143&amp;"'!W8")</f>
        <v/>
      </c>
      <c r="AA143" s="30">
        <f t="array" ref="AA143">INDIRECT("'"&amp;$A143&amp;"'!X8")</f>
        <v/>
      </c>
      <c r="AB143" s="30">
        <f t="array" ref="AB143">INDIRECT("'"&amp;$A143&amp;"'!Y8")</f>
        <v/>
      </c>
      <c r="AC143" s="30">
        <f t="array" ref="AC143">INDIRECT("'"&amp;$A143&amp;"'!Z8")</f>
        <v/>
      </c>
      <c r="AD143" s="31">
        <f t="array" ref="AD143">INDIRECT("'"&amp;$A143&amp;"'!AA8")</f>
        <v/>
      </c>
      <c r="AE143" s="79">
        <f t="array" ref="AE143">INDIRECT("'"&amp;$A144&amp;"'!J2")</f>
        <v/>
      </c>
      <c r="AF143" s="53">
        <f t="array" ref="AF143">INDIRECT("'"&amp;$A144&amp;"'!AD1")</f>
        <v/>
      </c>
    </row>
    <row r="144">
      <c r="A144" s="58" t="n">
        <v>48</v>
      </c>
      <c r="B144" s="105" t="n"/>
      <c r="C144" s="67">
        <f t="array" ref="C144">CONCATENATE("粮 ",INDIRECT("'"&amp;$A144&amp;"'!D4"))</f>
        <v/>
      </c>
      <c r="D144" s="55" t="inlineStr">
        <is>
          <t>2队</t>
        </is>
      </c>
      <c r="E144" s="80">
        <f t="array" ref="E144">INDIRECT("'"&amp;$A144&amp;"'!I3")</f>
        <v/>
      </c>
      <c r="F144" s="52">
        <f t="array" ref="F144">INDIRECT("'"&amp;$A144&amp;"'!C11")</f>
        <v/>
      </c>
      <c r="G144" s="3">
        <f t="array" ref="G144">INDIRECT("'"&amp;$A144&amp;"'!D11")</f>
        <v/>
      </c>
      <c r="H144" s="3">
        <f t="array" ref="H144">INDIRECT("'"&amp;$A144&amp;"'!E11")</f>
        <v/>
      </c>
      <c r="I144" s="3">
        <f t="array" ref="I144">INDIRECT("'"&amp;$A144&amp;"'!F11")</f>
        <v/>
      </c>
      <c r="J144" s="3">
        <f t="array" ref="J144">INDIRECT("'"&amp;$A144&amp;"'!G11")</f>
        <v/>
      </c>
      <c r="K144" s="3">
        <f t="array" ref="K144">INDIRECT("'"&amp;$A144&amp;"'!H11")</f>
        <v/>
      </c>
      <c r="L144" s="3">
        <f t="array" ref="L144">INDIRECT("'"&amp;$A144&amp;"'!I11")</f>
        <v/>
      </c>
      <c r="M144" s="3">
        <f t="array" ref="M144">INDIRECT("'"&amp;$A144&amp;"'!J11")</f>
        <v/>
      </c>
      <c r="N144" s="3">
        <f t="array" ref="N144">INDIRECT("'"&amp;$A144&amp;"'!K11")</f>
        <v/>
      </c>
      <c r="O144" s="3">
        <f t="array" ref="O144">INDIRECT("'"&amp;$A144&amp;"'!L11")</f>
        <v/>
      </c>
      <c r="P144" s="3">
        <f t="array" ref="P144">INDIRECT("'"&amp;$A144&amp;"'!M11")</f>
        <v/>
      </c>
      <c r="Q144" s="3">
        <f t="array" ref="Q144">INDIRECT("'"&amp;$A144&amp;"'!N11")</f>
        <v/>
      </c>
      <c r="R144" s="3">
        <f t="array" ref="R144">INDIRECT("'"&amp;$A144&amp;"'!O11")</f>
        <v/>
      </c>
      <c r="S144" s="3">
        <f t="array" ref="S144">INDIRECT("'"&amp;$A144&amp;"'!P11")</f>
        <v/>
      </c>
      <c r="T144" s="3">
        <f t="array" ref="T144">INDIRECT("'"&amp;$A144&amp;"'!Q11")</f>
        <v/>
      </c>
      <c r="U144" s="3">
        <f t="array" ref="U144">INDIRECT("'"&amp;$A144&amp;"'!R11")</f>
        <v/>
      </c>
      <c r="V144" s="3">
        <f t="array" ref="V144">INDIRECT("'"&amp;$A144&amp;"'!S11")</f>
        <v/>
      </c>
      <c r="W144" s="3">
        <f t="array" ref="W144">INDIRECT("'"&amp;$A144&amp;"'!T11")</f>
        <v/>
      </c>
      <c r="X144" s="3">
        <f t="array" ref="X144">INDIRECT("'"&amp;$A144&amp;"'!U11")</f>
        <v/>
      </c>
      <c r="Y144" s="3">
        <f t="array" ref="Y144">INDIRECT("'"&amp;$A144&amp;"'!V11")</f>
        <v/>
      </c>
      <c r="Z144" s="3">
        <f t="array" ref="Z144">INDIRECT("'"&amp;$A144&amp;"'!W11")</f>
        <v/>
      </c>
      <c r="AA144" s="3">
        <f t="array" ref="AA144">INDIRECT("'"&amp;$A144&amp;"'!X11")</f>
        <v/>
      </c>
      <c r="AB144" s="3">
        <f t="array" ref="AB144">INDIRECT("'"&amp;$A144&amp;"'!Y11")</f>
        <v/>
      </c>
      <c r="AC144" s="3">
        <f t="array" ref="AC144">INDIRECT("'"&amp;$A144&amp;"'!Z11")</f>
        <v/>
      </c>
      <c r="AD144" s="32">
        <f t="array" ref="AD144">INDIRECT("'"&amp;$A144&amp;"'!AA11")</f>
        <v/>
      </c>
      <c r="AE144" s="80">
        <f t="array" ref="AE144">INDIRECT("'"&amp;$A144&amp;"'!J3")</f>
        <v/>
      </c>
      <c r="AF144" s="53">
        <f t="array" ref="AF144">INDIRECT("'"&amp;$A144&amp;"'!AC1")</f>
        <v/>
      </c>
    </row>
    <row r="145" ht="15.75" customHeight="1" thickBot="1">
      <c r="A145" s="58" t="n">
        <v>48</v>
      </c>
      <c r="B145" s="106" t="n"/>
      <c r="C145" s="77">
        <f t="array" ref="C145">CONCATENATE("分 ",INDIRECT("'"&amp;$A144&amp;"'!D6"))</f>
        <v/>
      </c>
      <c r="D145" s="56" t="inlineStr">
        <is>
          <t>3队</t>
        </is>
      </c>
      <c r="E145" s="81">
        <f t="array" ref="E145">INDIRECT("'"&amp;$A144&amp;"'!I4")</f>
        <v/>
      </c>
      <c r="F145" s="52">
        <f t="array" ref="F145">INDIRECT("'"&amp;$A145&amp;"'!C14")</f>
        <v/>
      </c>
      <c r="G145" s="3">
        <f t="array" ref="G145">INDIRECT("'"&amp;$A145&amp;"'!D14")</f>
        <v/>
      </c>
      <c r="H145" s="3">
        <f t="array" ref="H145">INDIRECT("'"&amp;$A145&amp;"'!E14")</f>
        <v/>
      </c>
      <c r="I145" s="3">
        <f t="array" ref="I145">INDIRECT("'"&amp;$A145&amp;"'!F14")</f>
        <v/>
      </c>
      <c r="J145" s="3">
        <f t="array" ref="J145">INDIRECT("'"&amp;$A145&amp;"'!G14")</f>
        <v/>
      </c>
      <c r="K145" s="3">
        <f t="array" ref="K145">INDIRECT("'"&amp;$A145&amp;"'!H14")</f>
        <v/>
      </c>
      <c r="L145" s="3">
        <f t="array" ref="L145">INDIRECT("'"&amp;$A145&amp;"'!I14")</f>
        <v/>
      </c>
      <c r="M145" s="3">
        <f t="array" ref="M145">INDIRECT("'"&amp;$A145&amp;"'!J14")</f>
        <v/>
      </c>
      <c r="N145" s="3">
        <f t="array" ref="N145">INDIRECT("'"&amp;$A145&amp;"'!K14")</f>
        <v/>
      </c>
      <c r="O145" s="3">
        <f t="array" ref="O145">INDIRECT("'"&amp;$A145&amp;"'!L14")</f>
        <v/>
      </c>
      <c r="P145" s="3">
        <f t="array" ref="P145">INDIRECT("'"&amp;$A145&amp;"'!M14")</f>
        <v/>
      </c>
      <c r="Q145" s="3">
        <f t="array" ref="Q145">INDIRECT("'"&amp;$A145&amp;"'!N14")</f>
        <v/>
      </c>
      <c r="R145" s="3">
        <f t="array" ref="R145">INDIRECT("'"&amp;$A145&amp;"'!O14")</f>
        <v/>
      </c>
      <c r="S145" s="3">
        <f t="array" ref="S145">INDIRECT("'"&amp;$A145&amp;"'!P14")</f>
        <v/>
      </c>
      <c r="T145" s="3">
        <f t="array" ref="T145">INDIRECT("'"&amp;$A145&amp;"'!Q14")</f>
        <v/>
      </c>
      <c r="U145" s="3">
        <f t="array" ref="U145">INDIRECT("'"&amp;$A145&amp;"'!R14")</f>
        <v/>
      </c>
      <c r="V145" s="3">
        <f t="array" ref="V145">INDIRECT("'"&amp;$A145&amp;"'!S14")</f>
        <v/>
      </c>
      <c r="W145" s="3">
        <f t="array" ref="W145">INDIRECT("'"&amp;$A145&amp;"'!T14")</f>
        <v/>
      </c>
      <c r="X145" s="3">
        <f t="array" ref="X145">INDIRECT("'"&amp;$A145&amp;"'!U14")</f>
        <v/>
      </c>
      <c r="Y145" s="3">
        <f t="array" ref="Y145">INDIRECT("'"&amp;$A145&amp;"'!V14")</f>
        <v/>
      </c>
      <c r="Z145" s="3">
        <f t="array" ref="Z145">INDIRECT("'"&amp;$A145&amp;"'!W14")</f>
        <v/>
      </c>
      <c r="AA145" s="3">
        <f t="array" ref="AA145">INDIRECT("'"&amp;$A145&amp;"'!X14")</f>
        <v/>
      </c>
      <c r="AB145" s="3">
        <f t="array" ref="AB145">INDIRECT("'"&amp;$A145&amp;"'!Y14")</f>
        <v/>
      </c>
      <c r="AC145" s="3">
        <f t="array" ref="AC145">INDIRECT("'"&amp;$A145&amp;"'!Z14")</f>
        <v/>
      </c>
      <c r="AD145" s="32">
        <f t="array" ref="AD145">INDIRECT("'"&amp;$A145&amp;"'!AA14")</f>
        <v/>
      </c>
      <c r="AE145" s="81">
        <f t="array" ref="AE145">INDIRECT("'"&amp;$A144&amp;"'!J4")</f>
        <v/>
      </c>
      <c r="AF145" s="53" t="n"/>
    </row>
    <row r="146">
      <c r="A146" s="58" t="n">
        <v>49</v>
      </c>
      <c r="B146" s="103">
        <f>INDEX(data!$I$2:$I$98,MATCH(A146*1,data!$G$2:$G$98,0))</f>
        <v/>
      </c>
      <c r="C146" s="66">
        <f>HYPERLINK("#'" &amp; A146 &amp; "'!A1", "编辑")</f>
        <v/>
      </c>
      <c r="D146" s="54" t="inlineStr">
        <is>
          <t>1队</t>
        </is>
      </c>
      <c r="E146" s="79">
        <f t="array" ref="E146">INDIRECT("'"&amp;$A147&amp;"'!I2")</f>
        <v/>
      </c>
      <c r="F146" s="29">
        <f t="array" ref="F146">INDIRECT("'"&amp;$A146&amp;"'!C8")</f>
        <v/>
      </c>
      <c r="G146" s="30">
        <f t="array" ref="G146">INDIRECT("'"&amp;$A146&amp;"'!D8")</f>
        <v/>
      </c>
      <c r="H146" s="30">
        <f t="array" ref="H146">INDIRECT("'"&amp;$A146&amp;"'!E8")</f>
        <v/>
      </c>
      <c r="I146" s="30">
        <f t="array" ref="I146">INDIRECT("'"&amp;$A146&amp;"'!F8")</f>
        <v/>
      </c>
      <c r="J146" s="30">
        <f t="array" ref="J146">INDIRECT("'"&amp;$A146&amp;"'!G8")</f>
        <v/>
      </c>
      <c r="K146" s="30">
        <f t="array" ref="K146">INDIRECT("'"&amp;$A146&amp;"'!H8")</f>
        <v/>
      </c>
      <c r="L146" s="30">
        <f t="array" ref="L146">INDIRECT("'"&amp;$A146&amp;"'!I8")</f>
        <v/>
      </c>
      <c r="M146" s="30">
        <f t="array" ref="M146">INDIRECT("'"&amp;$A146&amp;"'!J8")</f>
        <v/>
      </c>
      <c r="N146" s="30">
        <f t="array" ref="N146">INDIRECT("'"&amp;$A146&amp;"'!K8")</f>
        <v/>
      </c>
      <c r="O146" s="30">
        <f t="array" ref="O146">INDIRECT("'"&amp;$A146&amp;"'!L8")</f>
        <v/>
      </c>
      <c r="P146" s="30">
        <f t="array" ref="P146">INDIRECT("'"&amp;$A146&amp;"'!M8")</f>
        <v/>
      </c>
      <c r="Q146" s="30">
        <f t="array" ref="Q146">INDIRECT("'"&amp;$A146&amp;"'!N8")</f>
        <v/>
      </c>
      <c r="R146" s="30">
        <f t="array" ref="R146">INDIRECT("'"&amp;$A146&amp;"'!O8")</f>
        <v/>
      </c>
      <c r="S146" s="30">
        <f t="array" ref="S146">INDIRECT("'"&amp;$A146&amp;"'!P8")</f>
        <v/>
      </c>
      <c r="T146" s="30">
        <f t="array" ref="T146">INDIRECT("'"&amp;$A146&amp;"'!Q8")</f>
        <v/>
      </c>
      <c r="U146" s="30">
        <f t="array" ref="U146">INDIRECT("'"&amp;$A146&amp;"'!R8")</f>
        <v/>
      </c>
      <c r="V146" s="30">
        <f t="array" ref="V146">INDIRECT("'"&amp;$A146&amp;"'!S8")</f>
        <v/>
      </c>
      <c r="W146" s="30">
        <f t="array" ref="W146">INDIRECT("'"&amp;$A146&amp;"'!T8")</f>
        <v/>
      </c>
      <c r="X146" s="30">
        <f t="array" ref="X146">INDIRECT("'"&amp;$A146&amp;"'!U8")</f>
        <v/>
      </c>
      <c r="Y146" s="30">
        <f t="array" ref="Y146">INDIRECT("'"&amp;$A146&amp;"'!V8")</f>
        <v/>
      </c>
      <c r="Z146" s="30">
        <f t="array" ref="Z146">INDIRECT("'"&amp;$A146&amp;"'!W8")</f>
        <v/>
      </c>
      <c r="AA146" s="30">
        <f t="array" ref="AA146">INDIRECT("'"&amp;$A146&amp;"'!X8")</f>
        <v/>
      </c>
      <c r="AB146" s="30">
        <f t="array" ref="AB146">INDIRECT("'"&amp;$A146&amp;"'!Y8")</f>
        <v/>
      </c>
      <c r="AC146" s="30">
        <f t="array" ref="AC146">INDIRECT("'"&amp;$A146&amp;"'!Z8")</f>
        <v/>
      </c>
      <c r="AD146" s="31">
        <f t="array" ref="AD146">INDIRECT("'"&amp;$A146&amp;"'!AA8")</f>
        <v/>
      </c>
      <c r="AE146" s="79">
        <f t="array" ref="AE146">INDIRECT("'"&amp;$A147&amp;"'!J2")</f>
        <v/>
      </c>
      <c r="AF146" s="53">
        <f t="array" ref="AF146">INDIRECT("'"&amp;$A147&amp;"'!AD1")</f>
        <v/>
      </c>
    </row>
    <row r="147">
      <c r="A147" s="58" t="n">
        <v>49</v>
      </c>
      <c r="B147" s="105" t="n"/>
      <c r="C147" s="67">
        <f t="array" ref="C147">CONCATENATE("粮 ",INDIRECT("'"&amp;$A147&amp;"'!D4"))</f>
        <v/>
      </c>
      <c r="D147" s="55" t="inlineStr">
        <is>
          <t>2队</t>
        </is>
      </c>
      <c r="E147" s="80">
        <f t="array" ref="E147">INDIRECT("'"&amp;$A147&amp;"'!I3")</f>
        <v/>
      </c>
      <c r="F147" s="52">
        <f t="array" ref="F147">INDIRECT("'"&amp;$A147&amp;"'!C11")</f>
        <v/>
      </c>
      <c r="G147" s="3">
        <f t="array" ref="G147">INDIRECT("'"&amp;$A147&amp;"'!D11")</f>
        <v/>
      </c>
      <c r="H147" s="3">
        <f t="array" ref="H147">INDIRECT("'"&amp;$A147&amp;"'!E11")</f>
        <v/>
      </c>
      <c r="I147" s="3">
        <f t="array" ref="I147">INDIRECT("'"&amp;$A147&amp;"'!F11")</f>
        <v/>
      </c>
      <c r="J147" s="3">
        <f t="array" ref="J147">INDIRECT("'"&amp;$A147&amp;"'!G11")</f>
        <v/>
      </c>
      <c r="K147" s="3">
        <f t="array" ref="K147">INDIRECT("'"&amp;$A147&amp;"'!H11")</f>
        <v/>
      </c>
      <c r="L147" s="3">
        <f t="array" ref="L147">INDIRECT("'"&amp;$A147&amp;"'!I11")</f>
        <v/>
      </c>
      <c r="M147" s="3">
        <f t="array" ref="M147">INDIRECT("'"&amp;$A147&amp;"'!J11")</f>
        <v/>
      </c>
      <c r="N147" s="3">
        <f t="array" ref="N147">INDIRECT("'"&amp;$A147&amp;"'!K11")</f>
        <v/>
      </c>
      <c r="O147" s="3">
        <f t="array" ref="O147">INDIRECT("'"&amp;$A147&amp;"'!L11")</f>
        <v/>
      </c>
      <c r="P147" s="3">
        <f t="array" ref="P147">INDIRECT("'"&amp;$A147&amp;"'!M11")</f>
        <v/>
      </c>
      <c r="Q147" s="3">
        <f t="array" ref="Q147">INDIRECT("'"&amp;$A147&amp;"'!N11")</f>
        <v/>
      </c>
      <c r="R147" s="3">
        <f t="array" ref="R147">INDIRECT("'"&amp;$A147&amp;"'!O11")</f>
        <v/>
      </c>
      <c r="S147" s="3">
        <f t="array" ref="S147">INDIRECT("'"&amp;$A147&amp;"'!P11")</f>
        <v/>
      </c>
      <c r="T147" s="3">
        <f t="array" ref="T147">INDIRECT("'"&amp;$A147&amp;"'!Q11")</f>
        <v/>
      </c>
      <c r="U147" s="3">
        <f t="array" ref="U147">INDIRECT("'"&amp;$A147&amp;"'!R11")</f>
        <v/>
      </c>
      <c r="V147" s="3">
        <f t="array" ref="V147">INDIRECT("'"&amp;$A147&amp;"'!S11")</f>
        <v/>
      </c>
      <c r="W147" s="3">
        <f t="array" ref="W147">INDIRECT("'"&amp;$A147&amp;"'!T11")</f>
        <v/>
      </c>
      <c r="X147" s="3">
        <f t="array" ref="X147">INDIRECT("'"&amp;$A147&amp;"'!U11")</f>
        <v/>
      </c>
      <c r="Y147" s="3">
        <f t="array" ref="Y147">INDIRECT("'"&amp;$A147&amp;"'!V11")</f>
        <v/>
      </c>
      <c r="Z147" s="3">
        <f t="array" ref="Z147">INDIRECT("'"&amp;$A147&amp;"'!W11")</f>
        <v/>
      </c>
      <c r="AA147" s="3">
        <f t="array" ref="AA147">INDIRECT("'"&amp;$A147&amp;"'!X11")</f>
        <v/>
      </c>
      <c r="AB147" s="3">
        <f t="array" ref="AB147">INDIRECT("'"&amp;$A147&amp;"'!Y11")</f>
        <v/>
      </c>
      <c r="AC147" s="3">
        <f t="array" ref="AC147">INDIRECT("'"&amp;$A147&amp;"'!Z11")</f>
        <v/>
      </c>
      <c r="AD147" s="32">
        <f t="array" ref="AD147">INDIRECT("'"&amp;$A147&amp;"'!AA11")</f>
        <v/>
      </c>
      <c r="AE147" s="80">
        <f t="array" ref="AE147">INDIRECT("'"&amp;$A147&amp;"'!J3")</f>
        <v/>
      </c>
      <c r="AF147" s="53">
        <f t="array" ref="AF147">INDIRECT("'"&amp;$A147&amp;"'!AC1")</f>
        <v/>
      </c>
    </row>
    <row r="148" ht="15.75" customHeight="1" thickBot="1">
      <c r="A148" s="58" t="n">
        <v>49</v>
      </c>
      <c r="B148" s="106" t="n"/>
      <c r="C148" s="77">
        <f t="array" ref="C148">CONCATENATE("分 ",INDIRECT("'"&amp;$A147&amp;"'!D6"))</f>
        <v/>
      </c>
      <c r="D148" s="56" t="inlineStr">
        <is>
          <t>3队</t>
        </is>
      </c>
      <c r="E148" s="81">
        <f t="array" ref="E148">INDIRECT("'"&amp;$A147&amp;"'!I4")</f>
        <v/>
      </c>
      <c r="F148" s="52">
        <f t="array" ref="F148">INDIRECT("'"&amp;$A148&amp;"'!C14")</f>
        <v/>
      </c>
      <c r="G148" s="3">
        <f t="array" ref="G148">INDIRECT("'"&amp;$A148&amp;"'!D14")</f>
        <v/>
      </c>
      <c r="H148" s="3">
        <f t="array" ref="H148">INDIRECT("'"&amp;$A148&amp;"'!E14")</f>
        <v/>
      </c>
      <c r="I148" s="3">
        <f t="array" ref="I148">INDIRECT("'"&amp;$A148&amp;"'!F14")</f>
        <v/>
      </c>
      <c r="J148" s="3">
        <f t="array" ref="J148">INDIRECT("'"&amp;$A148&amp;"'!G14")</f>
        <v/>
      </c>
      <c r="K148" s="3">
        <f t="array" ref="K148">INDIRECT("'"&amp;$A148&amp;"'!H14")</f>
        <v/>
      </c>
      <c r="L148" s="3">
        <f t="array" ref="L148">INDIRECT("'"&amp;$A148&amp;"'!I14")</f>
        <v/>
      </c>
      <c r="M148" s="3">
        <f t="array" ref="M148">INDIRECT("'"&amp;$A148&amp;"'!J14")</f>
        <v/>
      </c>
      <c r="N148" s="3">
        <f t="array" ref="N148">INDIRECT("'"&amp;$A148&amp;"'!K14")</f>
        <v/>
      </c>
      <c r="O148" s="3">
        <f t="array" ref="O148">INDIRECT("'"&amp;$A148&amp;"'!L14")</f>
        <v/>
      </c>
      <c r="P148" s="3">
        <f t="array" ref="P148">INDIRECT("'"&amp;$A148&amp;"'!M14")</f>
        <v/>
      </c>
      <c r="Q148" s="3">
        <f t="array" ref="Q148">INDIRECT("'"&amp;$A148&amp;"'!N14")</f>
        <v/>
      </c>
      <c r="R148" s="3">
        <f t="array" ref="R148">INDIRECT("'"&amp;$A148&amp;"'!O14")</f>
        <v/>
      </c>
      <c r="S148" s="3">
        <f t="array" ref="S148">INDIRECT("'"&amp;$A148&amp;"'!P14")</f>
        <v/>
      </c>
      <c r="T148" s="3">
        <f t="array" ref="T148">INDIRECT("'"&amp;$A148&amp;"'!Q14")</f>
        <v/>
      </c>
      <c r="U148" s="3">
        <f t="array" ref="U148">INDIRECT("'"&amp;$A148&amp;"'!R14")</f>
        <v/>
      </c>
      <c r="V148" s="3">
        <f t="array" ref="V148">INDIRECT("'"&amp;$A148&amp;"'!S14")</f>
        <v/>
      </c>
      <c r="W148" s="3">
        <f t="array" ref="W148">INDIRECT("'"&amp;$A148&amp;"'!T14")</f>
        <v/>
      </c>
      <c r="X148" s="3">
        <f t="array" ref="X148">INDIRECT("'"&amp;$A148&amp;"'!U14")</f>
        <v/>
      </c>
      <c r="Y148" s="3">
        <f t="array" ref="Y148">INDIRECT("'"&amp;$A148&amp;"'!V14")</f>
        <v/>
      </c>
      <c r="Z148" s="3">
        <f t="array" ref="Z148">INDIRECT("'"&amp;$A148&amp;"'!W14")</f>
        <v/>
      </c>
      <c r="AA148" s="3">
        <f t="array" ref="AA148">INDIRECT("'"&amp;$A148&amp;"'!X14")</f>
        <v/>
      </c>
      <c r="AB148" s="3">
        <f t="array" ref="AB148">INDIRECT("'"&amp;$A148&amp;"'!Y14")</f>
        <v/>
      </c>
      <c r="AC148" s="3">
        <f t="array" ref="AC148">INDIRECT("'"&amp;$A148&amp;"'!Z14")</f>
        <v/>
      </c>
      <c r="AD148" s="32">
        <f t="array" ref="AD148">INDIRECT("'"&amp;$A148&amp;"'!AA14")</f>
        <v/>
      </c>
      <c r="AE148" s="81">
        <f t="array" ref="AE148">INDIRECT("'"&amp;$A147&amp;"'!J4")</f>
        <v/>
      </c>
      <c r="AF148" s="53" t="n"/>
    </row>
    <row r="149">
      <c r="A149" s="58" t="n">
        <v>50</v>
      </c>
      <c r="B149" s="103">
        <f>INDEX(data!$I$2:$I$98,MATCH(A149*1,data!$G$2:$G$98,0))</f>
        <v/>
      </c>
      <c r="C149" s="66">
        <f>HYPERLINK("#'" &amp; A149 &amp; "'!A1", "编辑")</f>
        <v/>
      </c>
      <c r="D149" s="54" t="inlineStr">
        <is>
          <t>1队</t>
        </is>
      </c>
      <c r="E149" s="79">
        <f t="array" ref="E149">INDIRECT("'"&amp;$A150&amp;"'!I2")</f>
        <v/>
      </c>
      <c r="F149" s="29">
        <f t="array" ref="F149">INDIRECT("'"&amp;$A149&amp;"'!C8")</f>
        <v/>
      </c>
      <c r="G149" s="30">
        <f t="array" ref="G149">INDIRECT("'"&amp;$A149&amp;"'!D8")</f>
        <v/>
      </c>
      <c r="H149" s="30">
        <f t="array" ref="H149">INDIRECT("'"&amp;$A149&amp;"'!E8")</f>
        <v/>
      </c>
      <c r="I149" s="30">
        <f t="array" ref="I149">INDIRECT("'"&amp;$A149&amp;"'!F8")</f>
        <v/>
      </c>
      <c r="J149" s="30">
        <f t="array" ref="J149">INDIRECT("'"&amp;$A149&amp;"'!G8")</f>
        <v/>
      </c>
      <c r="K149" s="30">
        <f t="array" ref="K149">INDIRECT("'"&amp;$A149&amp;"'!H8")</f>
        <v/>
      </c>
      <c r="L149" s="30">
        <f t="array" ref="L149">INDIRECT("'"&amp;$A149&amp;"'!I8")</f>
        <v/>
      </c>
      <c r="M149" s="30">
        <f t="array" ref="M149">INDIRECT("'"&amp;$A149&amp;"'!J8")</f>
        <v/>
      </c>
      <c r="N149" s="30">
        <f t="array" ref="N149">INDIRECT("'"&amp;$A149&amp;"'!K8")</f>
        <v/>
      </c>
      <c r="O149" s="30">
        <f t="array" ref="O149">INDIRECT("'"&amp;$A149&amp;"'!L8")</f>
        <v/>
      </c>
      <c r="P149" s="30">
        <f t="array" ref="P149">INDIRECT("'"&amp;$A149&amp;"'!M8")</f>
        <v/>
      </c>
      <c r="Q149" s="30">
        <f t="array" ref="Q149">INDIRECT("'"&amp;$A149&amp;"'!N8")</f>
        <v/>
      </c>
      <c r="R149" s="30">
        <f t="array" ref="R149">INDIRECT("'"&amp;$A149&amp;"'!O8")</f>
        <v/>
      </c>
      <c r="S149" s="30">
        <f t="array" ref="S149">INDIRECT("'"&amp;$A149&amp;"'!P8")</f>
        <v/>
      </c>
      <c r="T149" s="30">
        <f t="array" ref="T149">INDIRECT("'"&amp;$A149&amp;"'!Q8")</f>
        <v/>
      </c>
      <c r="U149" s="30">
        <f t="array" ref="U149">INDIRECT("'"&amp;$A149&amp;"'!R8")</f>
        <v/>
      </c>
      <c r="V149" s="30">
        <f t="array" ref="V149">INDIRECT("'"&amp;$A149&amp;"'!S8")</f>
        <v/>
      </c>
      <c r="W149" s="30">
        <f t="array" ref="W149">INDIRECT("'"&amp;$A149&amp;"'!T8")</f>
        <v/>
      </c>
      <c r="X149" s="30">
        <f t="array" ref="X149">INDIRECT("'"&amp;$A149&amp;"'!U8")</f>
        <v/>
      </c>
      <c r="Y149" s="30">
        <f t="array" ref="Y149">INDIRECT("'"&amp;$A149&amp;"'!V8")</f>
        <v/>
      </c>
      <c r="Z149" s="30">
        <f t="array" ref="Z149">INDIRECT("'"&amp;$A149&amp;"'!W8")</f>
        <v/>
      </c>
      <c r="AA149" s="30">
        <f t="array" ref="AA149">INDIRECT("'"&amp;$A149&amp;"'!X8")</f>
        <v/>
      </c>
      <c r="AB149" s="30">
        <f t="array" ref="AB149">INDIRECT("'"&amp;$A149&amp;"'!Y8")</f>
        <v/>
      </c>
      <c r="AC149" s="30">
        <f t="array" ref="AC149">INDIRECT("'"&amp;$A149&amp;"'!Z8")</f>
        <v/>
      </c>
      <c r="AD149" s="31">
        <f t="array" ref="AD149">INDIRECT("'"&amp;$A149&amp;"'!AA8")</f>
        <v/>
      </c>
      <c r="AE149" s="79">
        <f t="array" ref="AE149">INDIRECT("'"&amp;$A150&amp;"'!J2")</f>
        <v/>
      </c>
      <c r="AF149" s="53">
        <f t="array" ref="AF149">INDIRECT("'"&amp;$A150&amp;"'!AD1")</f>
        <v/>
      </c>
    </row>
    <row r="150">
      <c r="A150" s="58" t="n">
        <v>50</v>
      </c>
      <c r="B150" s="105" t="n"/>
      <c r="C150" s="67">
        <f t="array" ref="C150">CONCATENATE("粮 ",INDIRECT("'"&amp;$A150&amp;"'!D4"))</f>
        <v/>
      </c>
      <c r="D150" s="55" t="inlineStr">
        <is>
          <t>2队</t>
        </is>
      </c>
      <c r="E150" s="80">
        <f t="array" ref="E150">INDIRECT("'"&amp;$A150&amp;"'!I3")</f>
        <v/>
      </c>
      <c r="F150" s="52">
        <f t="array" ref="F150">INDIRECT("'"&amp;$A150&amp;"'!C11")</f>
        <v/>
      </c>
      <c r="G150" s="3">
        <f t="array" ref="G150">INDIRECT("'"&amp;$A150&amp;"'!D11")</f>
        <v/>
      </c>
      <c r="H150" s="3">
        <f t="array" ref="H150">INDIRECT("'"&amp;$A150&amp;"'!E11")</f>
        <v/>
      </c>
      <c r="I150" s="3">
        <f t="array" ref="I150">INDIRECT("'"&amp;$A150&amp;"'!F11")</f>
        <v/>
      </c>
      <c r="J150" s="3">
        <f t="array" ref="J150">INDIRECT("'"&amp;$A150&amp;"'!G11")</f>
        <v/>
      </c>
      <c r="K150" s="3">
        <f t="array" ref="K150">INDIRECT("'"&amp;$A150&amp;"'!H11")</f>
        <v/>
      </c>
      <c r="L150" s="3">
        <f t="array" ref="L150">INDIRECT("'"&amp;$A150&amp;"'!I11")</f>
        <v/>
      </c>
      <c r="M150" s="3">
        <f t="array" ref="M150">INDIRECT("'"&amp;$A150&amp;"'!J11")</f>
        <v/>
      </c>
      <c r="N150" s="3">
        <f t="array" ref="N150">INDIRECT("'"&amp;$A150&amp;"'!K11")</f>
        <v/>
      </c>
      <c r="O150" s="3">
        <f t="array" ref="O150">INDIRECT("'"&amp;$A150&amp;"'!L11")</f>
        <v/>
      </c>
      <c r="P150" s="3">
        <f t="array" ref="P150">INDIRECT("'"&amp;$A150&amp;"'!M11")</f>
        <v/>
      </c>
      <c r="Q150" s="3">
        <f t="array" ref="Q150">INDIRECT("'"&amp;$A150&amp;"'!N11")</f>
        <v/>
      </c>
      <c r="R150" s="3">
        <f t="array" ref="R150">INDIRECT("'"&amp;$A150&amp;"'!O11")</f>
        <v/>
      </c>
      <c r="S150" s="3">
        <f t="array" ref="S150">INDIRECT("'"&amp;$A150&amp;"'!P11")</f>
        <v/>
      </c>
      <c r="T150" s="3">
        <f t="array" ref="T150">INDIRECT("'"&amp;$A150&amp;"'!Q11")</f>
        <v/>
      </c>
      <c r="U150" s="3">
        <f t="array" ref="U150">INDIRECT("'"&amp;$A150&amp;"'!R11")</f>
        <v/>
      </c>
      <c r="V150" s="3">
        <f t="array" ref="V150">INDIRECT("'"&amp;$A150&amp;"'!S11")</f>
        <v/>
      </c>
      <c r="W150" s="3">
        <f t="array" ref="W150">INDIRECT("'"&amp;$A150&amp;"'!T11")</f>
        <v/>
      </c>
      <c r="X150" s="3">
        <f t="array" ref="X150">INDIRECT("'"&amp;$A150&amp;"'!U11")</f>
        <v/>
      </c>
      <c r="Y150" s="3">
        <f t="array" ref="Y150">INDIRECT("'"&amp;$A150&amp;"'!V11")</f>
        <v/>
      </c>
      <c r="Z150" s="3">
        <f t="array" ref="Z150">INDIRECT("'"&amp;$A150&amp;"'!W11")</f>
        <v/>
      </c>
      <c r="AA150" s="3">
        <f t="array" ref="AA150">INDIRECT("'"&amp;$A150&amp;"'!X11")</f>
        <v/>
      </c>
      <c r="AB150" s="3">
        <f t="array" ref="AB150">INDIRECT("'"&amp;$A150&amp;"'!Y11")</f>
        <v/>
      </c>
      <c r="AC150" s="3">
        <f t="array" ref="AC150">INDIRECT("'"&amp;$A150&amp;"'!Z11")</f>
        <v/>
      </c>
      <c r="AD150" s="32">
        <f t="array" ref="AD150">INDIRECT("'"&amp;$A150&amp;"'!AA11")</f>
        <v/>
      </c>
      <c r="AE150" s="80">
        <f t="array" ref="AE150">INDIRECT("'"&amp;$A150&amp;"'!J3")</f>
        <v/>
      </c>
      <c r="AF150" s="53">
        <f t="array" ref="AF150">INDIRECT("'"&amp;$A150&amp;"'!AC1")</f>
        <v/>
      </c>
    </row>
    <row r="151" ht="15.75" customHeight="1" thickBot="1">
      <c r="A151" s="58" t="n">
        <v>50</v>
      </c>
      <c r="B151" s="106" t="n"/>
      <c r="C151" s="77">
        <f t="array" ref="C151">CONCATENATE("分 ",INDIRECT("'"&amp;$A150&amp;"'!D6"))</f>
        <v/>
      </c>
      <c r="D151" s="56" t="inlineStr">
        <is>
          <t>3队</t>
        </is>
      </c>
      <c r="E151" s="81">
        <f t="array" ref="E151">INDIRECT("'"&amp;$A150&amp;"'!I4")</f>
        <v/>
      </c>
      <c r="F151" s="52">
        <f t="array" ref="F151">INDIRECT("'"&amp;$A151&amp;"'!C14")</f>
        <v/>
      </c>
      <c r="G151" s="3">
        <f t="array" ref="G151">INDIRECT("'"&amp;$A151&amp;"'!D14")</f>
        <v/>
      </c>
      <c r="H151" s="3">
        <f t="array" ref="H151">INDIRECT("'"&amp;$A151&amp;"'!E14")</f>
        <v/>
      </c>
      <c r="I151" s="3">
        <f t="array" ref="I151">INDIRECT("'"&amp;$A151&amp;"'!F14")</f>
        <v/>
      </c>
      <c r="J151" s="3">
        <f t="array" ref="J151">INDIRECT("'"&amp;$A151&amp;"'!G14")</f>
        <v/>
      </c>
      <c r="K151" s="3">
        <f t="array" ref="K151">INDIRECT("'"&amp;$A151&amp;"'!H14")</f>
        <v/>
      </c>
      <c r="L151" s="3">
        <f t="array" ref="L151">INDIRECT("'"&amp;$A151&amp;"'!I14")</f>
        <v/>
      </c>
      <c r="M151" s="3">
        <f t="array" ref="M151">INDIRECT("'"&amp;$A151&amp;"'!J14")</f>
        <v/>
      </c>
      <c r="N151" s="3">
        <f t="array" ref="N151">INDIRECT("'"&amp;$A151&amp;"'!K14")</f>
        <v/>
      </c>
      <c r="O151" s="3">
        <f t="array" ref="O151">INDIRECT("'"&amp;$A151&amp;"'!L14")</f>
        <v/>
      </c>
      <c r="P151" s="3">
        <f t="array" ref="P151">INDIRECT("'"&amp;$A151&amp;"'!M14")</f>
        <v/>
      </c>
      <c r="Q151" s="3">
        <f t="array" ref="Q151">INDIRECT("'"&amp;$A151&amp;"'!N14")</f>
        <v/>
      </c>
      <c r="R151" s="3">
        <f t="array" ref="R151">INDIRECT("'"&amp;$A151&amp;"'!O14")</f>
        <v/>
      </c>
      <c r="S151" s="3">
        <f t="array" ref="S151">INDIRECT("'"&amp;$A151&amp;"'!P14")</f>
        <v/>
      </c>
      <c r="T151" s="3">
        <f t="array" ref="T151">INDIRECT("'"&amp;$A151&amp;"'!Q14")</f>
        <v/>
      </c>
      <c r="U151" s="3">
        <f t="array" ref="U151">INDIRECT("'"&amp;$A151&amp;"'!R14")</f>
        <v/>
      </c>
      <c r="V151" s="3">
        <f t="array" ref="V151">INDIRECT("'"&amp;$A151&amp;"'!S14")</f>
        <v/>
      </c>
      <c r="W151" s="3">
        <f t="array" ref="W151">INDIRECT("'"&amp;$A151&amp;"'!T14")</f>
        <v/>
      </c>
      <c r="X151" s="3">
        <f t="array" ref="X151">INDIRECT("'"&amp;$A151&amp;"'!U14")</f>
        <v/>
      </c>
      <c r="Y151" s="3">
        <f t="array" ref="Y151">INDIRECT("'"&amp;$A151&amp;"'!V14")</f>
        <v/>
      </c>
      <c r="Z151" s="3">
        <f t="array" ref="Z151">INDIRECT("'"&amp;$A151&amp;"'!W14")</f>
        <v/>
      </c>
      <c r="AA151" s="3">
        <f t="array" ref="AA151">INDIRECT("'"&amp;$A151&amp;"'!X14")</f>
        <v/>
      </c>
      <c r="AB151" s="3">
        <f t="array" ref="AB151">INDIRECT("'"&amp;$A151&amp;"'!Y14")</f>
        <v/>
      </c>
      <c r="AC151" s="3">
        <f t="array" ref="AC151">INDIRECT("'"&amp;$A151&amp;"'!Z14")</f>
        <v/>
      </c>
      <c r="AD151" s="32">
        <f t="array" ref="AD151">INDIRECT("'"&amp;$A151&amp;"'!AA14")</f>
        <v/>
      </c>
      <c r="AE151" s="81">
        <f t="array" ref="AE151">INDIRECT("'"&amp;$A150&amp;"'!J4")</f>
        <v/>
      </c>
      <c r="AF151" s="53" t="n"/>
    </row>
    <row r="152">
      <c r="A152" s="58" t="n">
        <v>51</v>
      </c>
      <c r="B152" s="103">
        <f>INDEX(data!$I$2:$I$98,MATCH(A152*1,data!$G$2:$G$98,0))</f>
        <v/>
      </c>
      <c r="C152" s="66">
        <f>HYPERLINK("#'" &amp; A152 &amp; "'!A1", "编辑")</f>
        <v/>
      </c>
      <c r="D152" s="54" t="inlineStr">
        <is>
          <t>1队</t>
        </is>
      </c>
      <c r="E152" s="79">
        <f t="array" ref="E152">INDIRECT("'"&amp;$A153&amp;"'!I2")</f>
        <v/>
      </c>
      <c r="F152" s="29">
        <f t="array" ref="F152">INDIRECT("'"&amp;$A152&amp;"'!C8")</f>
        <v/>
      </c>
      <c r="G152" s="30">
        <f t="array" ref="G152">INDIRECT("'"&amp;$A152&amp;"'!D8")</f>
        <v/>
      </c>
      <c r="H152" s="30">
        <f t="array" ref="H152">INDIRECT("'"&amp;$A152&amp;"'!E8")</f>
        <v/>
      </c>
      <c r="I152" s="30">
        <f t="array" ref="I152">INDIRECT("'"&amp;$A152&amp;"'!F8")</f>
        <v/>
      </c>
      <c r="J152" s="30">
        <f t="array" ref="J152">INDIRECT("'"&amp;$A152&amp;"'!G8")</f>
        <v/>
      </c>
      <c r="K152" s="30">
        <f t="array" ref="K152">INDIRECT("'"&amp;$A152&amp;"'!H8")</f>
        <v/>
      </c>
      <c r="L152" s="30">
        <f t="array" ref="L152">INDIRECT("'"&amp;$A152&amp;"'!I8")</f>
        <v/>
      </c>
      <c r="M152" s="30">
        <f t="array" ref="M152">INDIRECT("'"&amp;$A152&amp;"'!J8")</f>
        <v/>
      </c>
      <c r="N152" s="30">
        <f t="array" ref="N152">INDIRECT("'"&amp;$A152&amp;"'!K8")</f>
        <v/>
      </c>
      <c r="O152" s="30">
        <f t="array" ref="O152">INDIRECT("'"&amp;$A152&amp;"'!L8")</f>
        <v/>
      </c>
      <c r="P152" s="30">
        <f t="array" ref="P152">INDIRECT("'"&amp;$A152&amp;"'!M8")</f>
        <v/>
      </c>
      <c r="Q152" s="30">
        <f t="array" ref="Q152">INDIRECT("'"&amp;$A152&amp;"'!N8")</f>
        <v/>
      </c>
      <c r="R152" s="30">
        <f t="array" ref="R152">INDIRECT("'"&amp;$A152&amp;"'!O8")</f>
        <v/>
      </c>
      <c r="S152" s="30">
        <f t="array" ref="S152">INDIRECT("'"&amp;$A152&amp;"'!P8")</f>
        <v/>
      </c>
      <c r="T152" s="30">
        <f t="array" ref="T152">INDIRECT("'"&amp;$A152&amp;"'!Q8")</f>
        <v/>
      </c>
      <c r="U152" s="30">
        <f t="array" ref="U152">INDIRECT("'"&amp;$A152&amp;"'!R8")</f>
        <v/>
      </c>
      <c r="V152" s="30">
        <f t="array" ref="V152">INDIRECT("'"&amp;$A152&amp;"'!S8")</f>
        <v/>
      </c>
      <c r="W152" s="30">
        <f t="array" ref="W152">INDIRECT("'"&amp;$A152&amp;"'!T8")</f>
        <v/>
      </c>
      <c r="X152" s="30">
        <f t="array" ref="X152">INDIRECT("'"&amp;$A152&amp;"'!U8")</f>
        <v/>
      </c>
      <c r="Y152" s="30">
        <f t="array" ref="Y152">INDIRECT("'"&amp;$A152&amp;"'!V8")</f>
        <v/>
      </c>
      <c r="Z152" s="30">
        <f t="array" ref="Z152">INDIRECT("'"&amp;$A152&amp;"'!W8")</f>
        <v/>
      </c>
      <c r="AA152" s="30">
        <f t="array" ref="AA152">INDIRECT("'"&amp;$A152&amp;"'!X8")</f>
        <v/>
      </c>
      <c r="AB152" s="30">
        <f t="array" ref="AB152">INDIRECT("'"&amp;$A152&amp;"'!Y8")</f>
        <v/>
      </c>
      <c r="AC152" s="30">
        <f t="array" ref="AC152">INDIRECT("'"&amp;$A152&amp;"'!Z8")</f>
        <v/>
      </c>
      <c r="AD152" s="31">
        <f t="array" ref="AD152">INDIRECT("'"&amp;$A152&amp;"'!AA8")</f>
        <v/>
      </c>
      <c r="AE152" s="79">
        <f t="array" ref="AE152">INDIRECT("'"&amp;$A153&amp;"'!J2")</f>
        <v/>
      </c>
      <c r="AF152" s="53">
        <f t="array" ref="AF152">INDIRECT("'"&amp;$A153&amp;"'!AD1")</f>
        <v/>
      </c>
    </row>
    <row r="153">
      <c r="A153" s="58" t="n">
        <v>51</v>
      </c>
      <c r="B153" s="105" t="n"/>
      <c r="C153" s="67">
        <f t="array" ref="C153">CONCATENATE("粮 ",INDIRECT("'"&amp;$A153&amp;"'!D4"))</f>
        <v/>
      </c>
      <c r="D153" s="55" t="inlineStr">
        <is>
          <t>2队</t>
        </is>
      </c>
      <c r="E153" s="80">
        <f t="array" ref="E153">INDIRECT("'"&amp;$A153&amp;"'!I3")</f>
        <v/>
      </c>
      <c r="F153" s="52">
        <f t="array" ref="F153">INDIRECT("'"&amp;$A153&amp;"'!C11")</f>
        <v/>
      </c>
      <c r="G153" s="3">
        <f t="array" ref="G153">INDIRECT("'"&amp;$A153&amp;"'!D11")</f>
        <v/>
      </c>
      <c r="H153" s="3">
        <f t="array" ref="H153">INDIRECT("'"&amp;$A153&amp;"'!E11")</f>
        <v/>
      </c>
      <c r="I153" s="3">
        <f t="array" ref="I153">INDIRECT("'"&amp;$A153&amp;"'!F11")</f>
        <v/>
      </c>
      <c r="J153" s="3">
        <f t="array" ref="J153">INDIRECT("'"&amp;$A153&amp;"'!G11")</f>
        <v/>
      </c>
      <c r="K153" s="3">
        <f t="array" ref="K153">INDIRECT("'"&amp;$A153&amp;"'!H11")</f>
        <v/>
      </c>
      <c r="L153" s="3">
        <f t="array" ref="L153">INDIRECT("'"&amp;$A153&amp;"'!I11")</f>
        <v/>
      </c>
      <c r="M153" s="3">
        <f t="array" ref="M153">INDIRECT("'"&amp;$A153&amp;"'!J11")</f>
        <v/>
      </c>
      <c r="N153" s="3">
        <f t="array" ref="N153">INDIRECT("'"&amp;$A153&amp;"'!K11")</f>
        <v/>
      </c>
      <c r="O153" s="3">
        <f t="array" ref="O153">INDIRECT("'"&amp;$A153&amp;"'!L11")</f>
        <v/>
      </c>
      <c r="P153" s="3">
        <f t="array" ref="P153">INDIRECT("'"&amp;$A153&amp;"'!M11")</f>
        <v/>
      </c>
      <c r="Q153" s="3">
        <f t="array" ref="Q153">INDIRECT("'"&amp;$A153&amp;"'!N11")</f>
        <v/>
      </c>
      <c r="R153" s="3">
        <f t="array" ref="R153">INDIRECT("'"&amp;$A153&amp;"'!O11")</f>
        <v/>
      </c>
      <c r="S153" s="3">
        <f t="array" ref="S153">INDIRECT("'"&amp;$A153&amp;"'!P11")</f>
        <v/>
      </c>
      <c r="T153" s="3">
        <f t="array" ref="T153">INDIRECT("'"&amp;$A153&amp;"'!Q11")</f>
        <v/>
      </c>
      <c r="U153" s="3">
        <f t="array" ref="U153">INDIRECT("'"&amp;$A153&amp;"'!R11")</f>
        <v/>
      </c>
      <c r="V153" s="3">
        <f t="array" ref="V153">INDIRECT("'"&amp;$A153&amp;"'!S11")</f>
        <v/>
      </c>
      <c r="W153" s="3">
        <f t="array" ref="W153">INDIRECT("'"&amp;$A153&amp;"'!T11")</f>
        <v/>
      </c>
      <c r="X153" s="3">
        <f t="array" ref="X153">INDIRECT("'"&amp;$A153&amp;"'!U11")</f>
        <v/>
      </c>
      <c r="Y153" s="3">
        <f t="array" ref="Y153">INDIRECT("'"&amp;$A153&amp;"'!V11")</f>
        <v/>
      </c>
      <c r="Z153" s="3">
        <f t="array" ref="Z153">INDIRECT("'"&amp;$A153&amp;"'!W11")</f>
        <v/>
      </c>
      <c r="AA153" s="3">
        <f t="array" ref="AA153">INDIRECT("'"&amp;$A153&amp;"'!X11")</f>
        <v/>
      </c>
      <c r="AB153" s="3">
        <f t="array" ref="AB153">INDIRECT("'"&amp;$A153&amp;"'!Y11")</f>
        <v/>
      </c>
      <c r="AC153" s="3">
        <f t="array" ref="AC153">INDIRECT("'"&amp;$A153&amp;"'!Z11")</f>
        <v/>
      </c>
      <c r="AD153" s="32">
        <f t="array" ref="AD153">INDIRECT("'"&amp;$A153&amp;"'!AA11")</f>
        <v/>
      </c>
      <c r="AE153" s="80">
        <f t="array" ref="AE153">INDIRECT("'"&amp;$A153&amp;"'!J3")</f>
        <v/>
      </c>
      <c r="AF153" s="53">
        <f t="array" ref="AF153">INDIRECT("'"&amp;$A153&amp;"'!AC1")</f>
        <v/>
      </c>
    </row>
    <row r="154" ht="15.75" customHeight="1" thickBot="1">
      <c r="A154" s="58" t="n">
        <v>51</v>
      </c>
      <c r="B154" s="106" t="n"/>
      <c r="C154" s="77">
        <f t="array" ref="C154">CONCATENATE("分 ",INDIRECT("'"&amp;$A153&amp;"'!D6"))</f>
        <v/>
      </c>
      <c r="D154" s="56" t="inlineStr">
        <is>
          <t>3队</t>
        </is>
      </c>
      <c r="E154" s="81">
        <f t="array" ref="E154">INDIRECT("'"&amp;$A153&amp;"'!I4")</f>
        <v/>
      </c>
      <c r="F154" s="52">
        <f t="array" ref="F154">INDIRECT("'"&amp;$A154&amp;"'!C14")</f>
        <v/>
      </c>
      <c r="G154" s="3">
        <f t="array" ref="G154">INDIRECT("'"&amp;$A154&amp;"'!D14")</f>
        <v/>
      </c>
      <c r="H154" s="3">
        <f t="array" ref="H154">INDIRECT("'"&amp;$A154&amp;"'!E14")</f>
        <v/>
      </c>
      <c r="I154" s="3">
        <f t="array" ref="I154">INDIRECT("'"&amp;$A154&amp;"'!F14")</f>
        <v/>
      </c>
      <c r="J154" s="3">
        <f t="array" ref="J154">INDIRECT("'"&amp;$A154&amp;"'!G14")</f>
        <v/>
      </c>
      <c r="K154" s="3">
        <f t="array" ref="K154">INDIRECT("'"&amp;$A154&amp;"'!H14")</f>
        <v/>
      </c>
      <c r="L154" s="3">
        <f t="array" ref="L154">INDIRECT("'"&amp;$A154&amp;"'!I14")</f>
        <v/>
      </c>
      <c r="M154" s="3">
        <f t="array" ref="M154">INDIRECT("'"&amp;$A154&amp;"'!J14")</f>
        <v/>
      </c>
      <c r="N154" s="3">
        <f t="array" ref="N154">INDIRECT("'"&amp;$A154&amp;"'!K14")</f>
        <v/>
      </c>
      <c r="O154" s="3">
        <f t="array" ref="O154">INDIRECT("'"&amp;$A154&amp;"'!L14")</f>
        <v/>
      </c>
      <c r="P154" s="3">
        <f t="array" ref="P154">INDIRECT("'"&amp;$A154&amp;"'!M14")</f>
        <v/>
      </c>
      <c r="Q154" s="3">
        <f t="array" ref="Q154">INDIRECT("'"&amp;$A154&amp;"'!N14")</f>
        <v/>
      </c>
      <c r="R154" s="3">
        <f t="array" ref="R154">INDIRECT("'"&amp;$A154&amp;"'!O14")</f>
        <v/>
      </c>
      <c r="S154" s="3">
        <f t="array" ref="S154">INDIRECT("'"&amp;$A154&amp;"'!P14")</f>
        <v/>
      </c>
      <c r="T154" s="3">
        <f t="array" ref="T154">INDIRECT("'"&amp;$A154&amp;"'!Q14")</f>
        <v/>
      </c>
      <c r="U154" s="3">
        <f t="array" ref="U154">INDIRECT("'"&amp;$A154&amp;"'!R14")</f>
        <v/>
      </c>
      <c r="V154" s="3">
        <f t="array" ref="V154">INDIRECT("'"&amp;$A154&amp;"'!S14")</f>
        <v/>
      </c>
      <c r="W154" s="3">
        <f t="array" ref="W154">INDIRECT("'"&amp;$A154&amp;"'!T14")</f>
        <v/>
      </c>
      <c r="X154" s="3">
        <f t="array" ref="X154">INDIRECT("'"&amp;$A154&amp;"'!U14")</f>
        <v/>
      </c>
      <c r="Y154" s="3">
        <f t="array" ref="Y154">INDIRECT("'"&amp;$A154&amp;"'!V14")</f>
        <v/>
      </c>
      <c r="Z154" s="3">
        <f t="array" ref="Z154">INDIRECT("'"&amp;$A154&amp;"'!W14")</f>
        <v/>
      </c>
      <c r="AA154" s="3">
        <f t="array" ref="AA154">INDIRECT("'"&amp;$A154&amp;"'!X14")</f>
        <v/>
      </c>
      <c r="AB154" s="3">
        <f t="array" ref="AB154">INDIRECT("'"&amp;$A154&amp;"'!Y14")</f>
        <v/>
      </c>
      <c r="AC154" s="3">
        <f t="array" ref="AC154">INDIRECT("'"&amp;$A154&amp;"'!Z14")</f>
        <v/>
      </c>
      <c r="AD154" s="32">
        <f t="array" ref="AD154">INDIRECT("'"&amp;$A154&amp;"'!AA14")</f>
        <v/>
      </c>
      <c r="AE154" s="81">
        <f t="array" ref="AE154">INDIRECT("'"&amp;$A153&amp;"'!J4")</f>
        <v/>
      </c>
      <c r="AF154" s="53" t="n"/>
    </row>
    <row r="155">
      <c r="A155" s="58" t="n">
        <v>52</v>
      </c>
      <c r="B155" s="103">
        <f>INDEX(data!$I$2:$I$98,MATCH(A155*1,data!$G$2:$G$98,0))</f>
        <v/>
      </c>
      <c r="C155" s="66">
        <f>HYPERLINK("#'" &amp; A155 &amp; "'!A1", "编辑")</f>
        <v/>
      </c>
      <c r="D155" s="54" t="inlineStr">
        <is>
          <t>1队</t>
        </is>
      </c>
      <c r="E155" s="79">
        <f t="array" ref="E155">INDIRECT("'"&amp;$A156&amp;"'!I2")</f>
        <v/>
      </c>
      <c r="F155" s="29">
        <f t="array" ref="F155">INDIRECT("'"&amp;$A155&amp;"'!C8")</f>
        <v/>
      </c>
      <c r="G155" s="30">
        <f t="array" ref="G155">INDIRECT("'"&amp;$A155&amp;"'!D8")</f>
        <v/>
      </c>
      <c r="H155" s="30">
        <f t="array" ref="H155">INDIRECT("'"&amp;$A155&amp;"'!E8")</f>
        <v/>
      </c>
      <c r="I155" s="30">
        <f t="array" ref="I155">INDIRECT("'"&amp;$A155&amp;"'!F8")</f>
        <v/>
      </c>
      <c r="J155" s="30">
        <f t="array" ref="J155">INDIRECT("'"&amp;$A155&amp;"'!G8")</f>
        <v/>
      </c>
      <c r="K155" s="30">
        <f t="array" ref="K155">INDIRECT("'"&amp;$A155&amp;"'!H8")</f>
        <v/>
      </c>
      <c r="L155" s="30">
        <f t="array" ref="L155">INDIRECT("'"&amp;$A155&amp;"'!I8")</f>
        <v/>
      </c>
      <c r="M155" s="30">
        <f t="array" ref="M155">INDIRECT("'"&amp;$A155&amp;"'!J8")</f>
        <v/>
      </c>
      <c r="N155" s="30">
        <f t="array" ref="N155">INDIRECT("'"&amp;$A155&amp;"'!K8")</f>
        <v/>
      </c>
      <c r="O155" s="30">
        <f t="array" ref="O155">INDIRECT("'"&amp;$A155&amp;"'!L8")</f>
        <v/>
      </c>
      <c r="P155" s="30">
        <f t="array" ref="P155">INDIRECT("'"&amp;$A155&amp;"'!M8")</f>
        <v/>
      </c>
      <c r="Q155" s="30">
        <f t="array" ref="Q155">INDIRECT("'"&amp;$A155&amp;"'!N8")</f>
        <v/>
      </c>
      <c r="R155" s="30">
        <f t="array" ref="R155">INDIRECT("'"&amp;$A155&amp;"'!O8")</f>
        <v/>
      </c>
      <c r="S155" s="30">
        <f t="array" ref="S155">INDIRECT("'"&amp;$A155&amp;"'!P8")</f>
        <v/>
      </c>
      <c r="T155" s="30">
        <f t="array" ref="T155">INDIRECT("'"&amp;$A155&amp;"'!Q8")</f>
        <v/>
      </c>
      <c r="U155" s="30">
        <f t="array" ref="U155">INDIRECT("'"&amp;$A155&amp;"'!R8")</f>
        <v/>
      </c>
      <c r="V155" s="30">
        <f t="array" ref="V155">INDIRECT("'"&amp;$A155&amp;"'!S8")</f>
        <v/>
      </c>
      <c r="W155" s="30">
        <f t="array" ref="W155">INDIRECT("'"&amp;$A155&amp;"'!T8")</f>
        <v/>
      </c>
      <c r="X155" s="30">
        <f t="array" ref="X155">INDIRECT("'"&amp;$A155&amp;"'!U8")</f>
        <v/>
      </c>
      <c r="Y155" s="30">
        <f t="array" ref="Y155">INDIRECT("'"&amp;$A155&amp;"'!V8")</f>
        <v/>
      </c>
      <c r="Z155" s="30">
        <f t="array" ref="Z155">INDIRECT("'"&amp;$A155&amp;"'!W8")</f>
        <v/>
      </c>
      <c r="AA155" s="30">
        <f t="array" ref="AA155">INDIRECT("'"&amp;$A155&amp;"'!X8")</f>
        <v/>
      </c>
      <c r="AB155" s="30">
        <f t="array" ref="AB155">INDIRECT("'"&amp;$A155&amp;"'!Y8")</f>
        <v/>
      </c>
      <c r="AC155" s="30">
        <f t="array" ref="AC155">INDIRECT("'"&amp;$A155&amp;"'!Z8")</f>
        <v/>
      </c>
      <c r="AD155" s="31">
        <f t="array" ref="AD155">INDIRECT("'"&amp;$A155&amp;"'!AA8")</f>
        <v/>
      </c>
      <c r="AE155" s="79">
        <f t="array" ref="AE155">INDIRECT("'"&amp;$A156&amp;"'!J2")</f>
        <v/>
      </c>
      <c r="AF155" s="53">
        <f t="array" ref="AF155">INDIRECT("'"&amp;$A156&amp;"'!AD1")</f>
        <v/>
      </c>
    </row>
    <row r="156">
      <c r="A156" s="58" t="n">
        <v>52</v>
      </c>
      <c r="B156" s="105" t="n"/>
      <c r="C156" s="67">
        <f t="array" ref="C156">CONCATENATE("粮 ",INDIRECT("'"&amp;$A156&amp;"'!D4"))</f>
        <v/>
      </c>
      <c r="D156" s="55" t="inlineStr">
        <is>
          <t>2队</t>
        </is>
      </c>
      <c r="E156" s="80">
        <f t="array" ref="E156">INDIRECT("'"&amp;$A156&amp;"'!I3")</f>
        <v/>
      </c>
      <c r="F156" s="52">
        <f t="array" ref="F156">INDIRECT("'"&amp;$A156&amp;"'!C11")</f>
        <v/>
      </c>
      <c r="G156" s="3">
        <f t="array" ref="G156">INDIRECT("'"&amp;$A156&amp;"'!D11")</f>
        <v/>
      </c>
      <c r="H156" s="3">
        <f t="array" ref="H156">INDIRECT("'"&amp;$A156&amp;"'!E11")</f>
        <v/>
      </c>
      <c r="I156" s="3">
        <f t="array" ref="I156">INDIRECT("'"&amp;$A156&amp;"'!F11")</f>
        <v/>
      </c>
      <c r="J156" s="3">
        <f t="array" ref="J156">INDIRECT("'"&amp;$A156&amp;"'!G11")</f>
        <v/>
      </c>
      <c r="K156" s="3">
        <f t="array" ref="K156">INDIRECT("'"&amp;$A156&amp;"'!H11")</f>
        <v/>
      </c>
      <c r="L156" s="3">
        <f t="array" ref="L156">INDIRECT("'"&amp;$A156&amp;"'!I11")</f>
        <v/>
      </c>
      <c r="M156" s="3">
        <f t="array" ref="M156">INDIRECT("'"&amp;$A156&amp;"'!J11")</f>
        <v/>
      </c>
      <c r="N156" s="3">
        <f t="array" ref="N156">INDIRECT("'"&amp;$A156&amp;"'!K11")</f>
        <v/>
      </c>
      <c r="O156" s="3">
        <f t="array" ref="O156">INDIRECT("'"&amp;$A156&amp;"'!L11")</f>
        <v/>
      </c>
      <c r="P156" s="3">
        <f t="array" ref="P156">INDIRECT("'"&amp;$A156&amp;"'!M11")</f>
        <v/>
      </c>
      <c r="Q156" s="3">
        <f t="array" ref="Q156">INDIRECT("'"&amp;$A156&amp;"'!N11")</f>
        <v/>
      </c>
      <c r="R156" s="3">
        <f t="array" ref="R156">INDIRECT("'"&amp;$A156&amp;"'!O11")</f>
        <v/>
      </c>
      <c r="S156" s="3">
        <f t="array" ref="S156">INDIRECT("'"&amp;$A156&amp;"'!P11")</f>
        <v/>
      </c>
      <c r="T156" s="3">
        <f t="array" ref="T156">INDIRECT("'"&amp;$A156&amp;"'!Q11")</f>
        <v/>
      </c>
      <c r="U156" s="3">
        <f t="array" ref="U156">INDIRECT("'"&amp;$A156&amp;"'!R11")</f>
        <v/>
      </c>
      <c r="V156" s="3">
        <f t="array" ref="V156">INDIRECT("'"&amp;$A156&amp;"'!S11")</f>
        <v/>
      </c>
      <c r="W156" s="3">
        <f t="array" ref="W156">INDIRECT("'"&amp;$A156&amp;"'!T11")</f>
        <v/>
      </c>
      <c r="X156" s="3">
        <f t="array" ref="X156">INDIRECT("'"&amp;$A156&amp;"'!U11")</f>
        <v/>
      </c>
      <c r="Y156" s="3">
        <f t="array" ref="Y156">INDIRECT("'"&amp;$A156&amp;"'!V11")</f>
        <v/>
      </c>
      <c r="Z156" s="3">
        <f t="array" ref="Z156">INDIRECT("'"&amp;$A156&amp;"'!W11")</f>
        <v/>
      </c>
      <c r="AA156" s="3">
        <f t="array" ref="AA156">INDIRECT("'"&amp;$A156&amp;"'!X11")</f>
        <v/>
      </c>
      <c r="AB156" s="3">
        <f t="array" ref="AB156">INDIRECT("'"&amp;$A156&amp;"'!Y11")</f>
        <v/>
      </c>
      <c r="AC156" s="3">
        <f t="array" ref="AC156">INDIRECT("'"&amp;$A156&amp;"'!Z11")</f>
        <v/>
      </c>
      <c r="AD156" s="32">
        <f t="array" ref="AD156">INDIRECT("'"&amp;$A156&amp;"'!AA11")</f>
        <v/>
      </c>
      <c r="AE156" s="80">
        <f t="array" ref="AE156">INDIRECT("'"&amp;$A156&amp;"'!J3")</f>
        <v/>
      </c>
      <c r="AF156" s="53">
        <f t="array" ref="AF156">INDIRECT("'"&amp;$A156&amp;"'!AC1")</f>
        <v/>
      </c>
    </row>
    <row r="157" ht="15.75" customHeight="1" thickBot="1">
      <c r="A157" s="58" t="n">
        <v>52</v>
      </c>
      <c r="B157" s="106" t="n"/>
      <c r="C157" s="77">
        <f t="array" ref="C157">CONCATENATE("分 ",INDIRECT("'"&amp;$A156&amp;"'!D6"))</f>
        <v/>
      </c>
      <c r="D157" s="56" t="inlineStr">
        <is>
          <t>3队</t>
        </is>
      </c>
      <c r="E157" s="81">
        <f t="array" ref="E157">INDIRECT("'"&amp;$A156&amp;"'!I4")</f>
        <v/>
      </c>
      <c r="F157" s="52">
        <f t="array" ref="F157">INDIRECT("'"&amp;$A157&amp;"'!C14")</f>
        <v/>
      </c>
      <c r="G157" s="3">
        <f t="array" ref="G157">INDIRECT("'"&amp;$A157&amp;"'!D14")</f>
        <v/>
      </c>
      <c r="H157" s="3">
        <f t="array" ref="H157">INDIRECT("'"&amp;$A157&amp;"'!E14")</f>
        <v/>
      </c>
      <c r="I157" s="3">
        <f t="array" ref="I157">INDIRECT("'"&amp;$A157&amp;"'!F14")</f>
        <v/>
      </c>
      <c r="J157" s="3">
        <f t="array" ref="J157">INDIRECT("'"&amp;$A157&amp;"'!G14")</f>
        <v/>
      </c>
      <c r="K157" s="3">
        <f t="array" ref="K157">INDIRECT("'"&amp;$A157&amp;"'!H14")</f>
        <v/>
      </c>
      <c r="L157" s="3">
        <f t="array" ref="L157">INDIRECT("'"&amp;$A157&amp;"'!I14")</f>
        <v/>
      </c>
      <c r="M157" s="3">
        <f t="array" ref="M157">INDIRECT("'"&amp;$A157&amp;"'!J14")</f>
        <v/>
      </c>
      <c r="N157" s="3">
        <f t="array" ref="N157">INDIRECT("'"&amp;$A157&amp;"'!K14")</f>
        <v/>
      </c>
      <c r="O157" s="3">
        <f t="array" ref="O157">INDIRECT("'"&amp;$A157&amp;"'!L14")</f>
        <v/>
      </c>
      <c r="P157" s="3">
        <f t="array" ref="P157">INDIRECT("'"&amp;$A157&amp;"'!M14")</f>
        <v/>
      </c>
      <c r="Q157" s="3">
        <f t="array" ref="Q157">INDIRECT("'"&amp;$A157&amp;"'!N14")</f>
        <v/>
      </c>
      <c r="R157" s="3">
        <f t="array" ref="R157">INDIRECT("'"&amp;$A157&amp;"'!O14")</f>
        <v/>
      </c>
      <c r="S157" s="3">
        <f t="array" ref="S157">INDIRECT("'"&amp;$A157&amp;"'!P14")</f>
        <v/>
      </c>
      <c r="T157" s="3">
        <f t="array" ref="T157">INDIRECT("'"&amp;$A157&amp;"'!Q14")</f>
        <v/>
      </c>
      <c r="U157" s="3">
        <f t="array" ref="U157">INDIRECT("'"&amp;$A157&amp;"'!R14")</f>
        <v/>
      </c>
      <c r="V157" s="3">
        <f t="array" ref="V157">INDIRECT("'"&amp;$A157&amp;"'!S14")</f>
        <v/>
      </c>
      <c r="W157" s="3">
        <f t="array" ref="W157">INDIRECT("'"&amp;$A157&amp;"'!T14")</f>
        <v/>
      </c>
      <c r="X157" s="3">
        <f t="array" ref="X157">INDIRECT("'"&amp;$A157&amp;"'!U14")</f>
        <v/>
      </c>
      <c r="Y157" s="3">
        <f t="array" ref="Y157">INDIRECT("'"&amp;$A157&amp;"'!V14")</f>
        <v/>
      </c>
      <c r="Z157" s="3">
        <f t="array" ref="Z157">INDIRECT("'"&amp;$A157&amp;"'!W14")</f>
        <v/>
      </c>
      <c r="AA157" s="3">
        <f t="array" ref="AA157">INDIRECT("'"&amp;$A157&amp;"'!X14")</f>
        <v/>
      </c>
      <c r="AB157" s="3">
        <f t="array" ref="AB157">INDIRECT("'"&amp;$A157&amp;"'!Y14")</f>
        <v/>
      </c>
      <c r="AC157" s="3">
        <f t="array" ref="AC157">INDIRECT("'"&amp;$A157&amp;"'!Z14")</f>
        <v/>
      </c>
      <c r="AD157" s="32">
        <f t="array" ref="AD157">INDIRECT("'"&amp;$A157&amp;"'!AA14")</f>
        <v/>
      </c>
      <c r="AE157" s="81">
        <f t="array" ref="AE157">INDIRECT("'"&amp;$A156&amp;"'!J4")</f>
        <v/>
      </c>
      <c r="AF157" s="53" t="n"/>
    </row>
    <row r="158">
      <c r="A158" s="58" t="n">
        <v>53</v>
      </c>
      <c r="B158" s="103">
        <f>INDEX(data!$I$2:$I$98,MATCH(A158*1,data!$G$2:$G$98,0))</f>
        <v/>
      </c>
      <c r="C158" s="66">
        <f>HYPERLINK("#'" &amp; A158 &amp; "'!A1", "编辑")</f>
        <v/>
      </c>
      <c r="D158" s="54" t="inlineStr">
        <is>
          <t>1队</t>
        </is>
      </c>
      <c r="E158" s="79">
        <f t="array" ref="E158">INDIRECT("'"&amp;$A159&amp;"'!I2")</f>
        <v/>
      </c>
      <c r="F158" s="29">
        <f t="array" ref="F158">INDIRECT("'"&amp;$A158&amp;"'!C8")</f>
        <v/>
      </c>
      <c r="G158" s="30">
        <f t="array" ref="G158">INDIRECT("'"&amp;$A158&amp;"'!D8")</f>
        <v/>
      </c>
      <c r="H158" s="30">
        <f t="array" ref="H158">INDIRECT("'"&amp;$A158&amp;"'!E8")</f>
        <v/>
      </c>
      <c r="I158" s="30">
        <f t="array" ref="I158">INDIRECT("'"&amp;$A158&amp;"'!F8")</f>
        <v/>
      </c>
      <c r="J158" s="30">
        <f t="array" ref="J158">INDIRECT("'"&amp;$A158&amp;"'!G8")</f>
        <v/>
      </c>
      <c r="K158" s="30">
        <f t="array" ref="K158">INDIRECT("'"&amp;$A158&amp;"'!H8")</f>
        <v/>
      </c>
      <c r="L158" s="30">
        <f t="array" ref="L158">INDIRECT("'"&amp;$A158&amp;"'!I8")</f>
        <v/>
      </c>
      <c r="M158" s="30">
        <f t="array" ref="M158">INDIRECT("'"&amp;$A158&amp;"'!J8")</f>
        <v/>
      </c>
      <c r="N158" s="30">
        <f t="array" ref="N158">INDIRECT("'"&amp;$A158&amp;"'!K8")</f>
        <v/>
      </c>
      <c r="O158" s="30">
        <f t="array" ref="O158">INDIRECT("'"&amp;$A158&amp;"'!L8")</f>
        <v/>
      </c>
      <c r="P158" s="30">
        <f t="array" ref="P158">INDIRECT("'"&amp;$A158&amp;"'!M8")</f>
        <v/>
      </c>
      <c r="Q158" s="30">
        <f t="array" ref="Q158">INDIRECT("'"&amp;$A158&amp;"'!N8")</f>
        <v/>
      </c>
      <c r="R158" s="30">
        <f t="array" ref="R158">INDIRECT("'"&amp;$A158&amp;"'!O8")</f>
        <v/>
      </c>
      <c r="S158" s="30">
        <f t="array" ref="S158">INDIRECT("'"&amp;$A158&amp;"'!P8")</f>
        <v/>
      </c>
      <c r="T158" s="30">
        <f t="array" ref="T158">INDIRECT("'"&amp;$A158&amp;"'!Q8")</f>
        <v/>
      </c>
      <c r="U158" s="30">
        <f t="array" ref="U158">INDIRECT("'"&amp;$A158&amp;"'!R8")</f>
        <v/>
      </c>
      <c r="V158" s="30">
        <f t="array" ref="V158">INDIRECT("'"&amp;$A158&amp;"'!S8")</f>
        <v/>
      </c>
      <c r="W158" s="30">
        <f t="array" ref="W158">INDIRECT("'"&amp;$A158&amp;"'!T8")</f>
        <v/>
      </c>
      <c r="X158" s="30">
        <f t="array" ref="X158">INDIRECT("'"&amp;$A158&amp;"'!U8")</f>
        <v/>
      </c>
      <c r="Y158" s="30">
        <f t="array" ref="Y158">INDIRECT("'"&amp;$A158&amp;"'!V8")</f>
        <v/>
      </c>
      <c r="Z158" s="30">
        <f t="array" ref="Z158">INDIRECT("'"&amp;$A158&amp;"'!W8")</f>
        <v/>
      </c>
      <c r="AA158" s="30">
        <f t="array" ref="AA158">INDIRECT("'"&amp;$A158&amp;"'!X8")</f>
        <v/>
      </c>
      <c r="AB158" s="30">
        <f t="array" ref="AB158">INDIRECT("'"&amp;$A158&amp;"'!Y8")</f>
        <v/>
      </c>
      <c r="AC158" s="30">
        <f t="array" ref="AC158">INDIRECT("'"&amp;$A158&amp;"'!Z8")</f>
        <v/>
      </c>
      <c r="AD158" s="31">
        <f t="array" ref="AD158">INDIRECT("'"&amp;$A158&amp;"'!AA8")</f>
        <v/>
      </c>
      <c r="AE158" s="79">
        <f t="array" ref="AE158">INDIRECT("'"&amp;$A159&amp;"'!J2")</f>
        <v/>
      </c>
      <c r="AF158" s="53">
        <f t="array" ref="AF158">INDIRECT("'"&amp;$A159&amp;"'!AD1")</f>
        <v/>
      </c>
    </row>
    <row r="159">
      <c r="A159" s="58" t="n">
        <v>53</v>
      </c>
      <c r="B159" s="105" t="n"/>
      <c r="C159" s="67">
        <f t="array" ref="C159">CONCATENATE("粮 ",INDIRECT("'"&amp;$A159&amp;"'!D4"))</f>
        <v/>
      </c>
      <c r="D159" s="55" t="inlineStr">
        <is>
          <t>2队</t>
        </is>
      </c>
      <c r="E159" s="80">
        <f t="array" ref="E159">INDIRECT("'"&amp;$A159&amp;"'!I3")</f>
        <v/>
      </c>
      <c r="F159" s="52">
        <f t="array" ref="F159">INDIRECT("'"&amp;$A159&amp;"'!C11")</f>
        <v/>
      </c>
      <c r="G159" s="3">
        <f t="array" ref="G159">INDIRECT("'"&amp;$A159&amp;"'!D11")</f>
        <v/>
      </c>
      <c r="H159" s="3">
        <f t="array" ref="H159">INDIRECT("'"&amp;$A159&amp;"'!E11")</f>
        <v/>
      </c>
      <c r="I159" s="3">
        <f t="array" ref="I159">INDIRECT("'"&amp;$A159&amp;"'!F11")</f>
        <v/>
      </c>
      <c r="J159" s="3">
        <f t="array" ref="J159">INDIRECT("'"&amp;$A159&amp;"'!G11")</f>
        <v/>
      </c>
      <c r="K159" s="3">
        <f t="array" ref="K159">INDIRECT("'"&amp;$A159&amp;"'!H11")</f>
        <v/>
      </c>
      <c r="L159" s="3">
        <f t="array" ref="L159">INDIRECT("'"&amp;$A159&amp;"'!I11")</f>
        <v/>
      </c>
      <c r="M159" s="3">
        <f t="array" ref="M159">INDIRECT("'"&amp;$A159&amp;"'!J11")</f>
        <v/>
      </c>
      <c r="N159" s="3">
        <f t="array" ref="N159">INDIRECT("'"&amp;$A159&amp;"'!K11")</f>
        <v/>
      </c>
      <c r="O159" s="3">
        <f t="array" ref="O159">INDIRECT("'"&amp;$A159&amp;"'!L11")</f>
        <v/>
      </c>
      <c r="P159" s="3">
        <f t="array" ref="P159">INDIRECT("'"&amp;$A159&amp;"'!M11")</f>
        <v/>
      </c>
      <c r="Q159" s="3">
        <f t="array" ref="Q159">INDIRECT("'"&amp;$A159&amp;"'!N11")</f>
        <v/>
      </c>
      <c r="R159" s="3">
        <f t="array" ref="R159">INDIRECT("'"&amp;$A159&amp;"'!O11")</f>
        <v/>
      </c>
      <c r="S159" s="3">
        <f t="array" ref="S159">INDIRECT("'"&amp;$A159&amp;"'!P11")</f>
        <v/>
      </c>
      <c r="T159" s="3">
        <f t="array" ref="T159">INDIRECT("'"&amp;$A159&amp;"'!Q11")</f>
        <v/>
      </c>
      <c r="U159" s="3">
        <f t="array" ref="U159">INDIRECT("'"&amp;$A159&amp;"'!R11")</f>
        <v/>
      </c>
      <c r="V159" s="3">
        <f t="array" ref="V159">INDIRECT("'"&amp;$A159&amp;"'!S11")</f>
        <v/>
      </c>
      <c r="W159" s="3">
        <f t="array" ref="W159">INDIRECT("'"&amp;$A159&amp;"'!T11")</f>
        <v/>
      </c>
      <c r="X159" s="3">
        <f t="array" ref="X159">INDIRECT("'"&amp;$A159&amp;"'!U11")</f>
        <v/>
      </c>
      <c r="Y159" s="3">
        <f t="array" ref="Y159">INDIRECT("'"&amp;$A159&amp;"'!V11")</f>
        <v/>
      </c>
      <c r="Z159" s="3">
        <f t="array" ref="Z159">INDIRECT("'"&amp;$A159&amp;"'!W11")</f>
        <v/>
      </c>
      <c r="AA159" s="3">
        <f t="array" ref="AA159">INDIRECT("'"&amp;$A159&amp;"'!X11")</f>
        <v/>
      </c>
      <c r="AB159" s="3">
        <f t="array" ref="AB159">INDIRECT("'"&amp;$A159&amp;"'!Y11")</f>
        <v/>
      </c>
      <c r="AC159" s="3">
        <f t="array" ref="AC159">INDIRECT("'"&amp;$A159&amp;"'!Z11")</f>
        <v/>
      </c>
      <c r="AD159" s="32">
        <f t="array" ref="AD159">INDIRECT("'"&amp;$A159&amp;"'!AA11")</f>
        <v/>
      </c>
      <c r="AE159" s="80">
        <f t="array" ref="AE159">INDIRECT("'"&amp;$A159&amp;"'!J3")</f>
        <v/>
      </c>
      <c r="AF159" s="53">
        <f t="array" ref="AF159">INDIRECT("'"&amp;$A159&amp;"'!AC1")</f>
        <v/>
      </c>
    </row>
    <row r="160" ht="15.75" customHeight="1" thickBot="1">
      <c r="A160" s="58" t="n">
        <v>53</v>
      </c>
      <c r="B160" s="106" t="n"/>
      <c r="C160" s="77">
        <f t="array" ref="C160">CONCATENATE("分 ",INDIRECT("'"&amp;$A159&amp;"'!D6"))</f>
        <v/>
      </c>
      <c r="D160" s="56" t="inlineStr">
        <is>
          <t>3队</t>
        </is>
      </c>
      <c r="E160" s="81">
        <f t="array" ref="E160">INDIRECT("'"&amp;$A159&amp;"'!I4")</f>
        <v/>
      </c>
      <c r="F160" s="52">
        <f t="array" ref="F160">INDIRECT("'"&amp;$A160&amp;"'!C14")</f>
        <v/>
      </c>
      <c r="G160" s="3">
        <f t="array" ref="G160">INDIRECT("'"&amp;$A160&amp;"'!D14")</f>
        <v/>
      </c>
      <c r="H160" s="3">
        <f t="array" ref="H160">INDIRECT("'"&amp;$A160&amp;"'!E14")</f>
        <v/>
      </c>
      <c r="I160" s="3">
        <f t="array" ref="I160">INDIRECT("'"&amp;$A160&amp;"'!F14")</f>
        <v/>
      </c>
      <c r="J160" s="3">
        <f t="array" ref="J160">INDIRECT("'"&amp;$A160&amp;"'!G14")</f>
        <v/>
      </c>
      <c r="K160" s="3">
        <f t="array" ref="K160">INDIRECT("'"&amp;$A160&amp;"'!H14")</f>
        <v/>
      </c>
      <c r="L160" s="3">
        <f t="array" ref="L160">INDIRECT("'"&amp;$A160&amp;"'!I14")</f>
        <v/>
      </c>
      <c r="M160" s="3">
        <f t="array" ref="M160">INDIRECT("'"&amp;$A160&amp;"'!J14")</f>
        <v/>
      </c>
      <c r="N160" s="3">
        <f t="array" ref="N160">INDIRECT("'"&amp;$A160&amp;"'!K14")</f>
        <v/>
      </c>
      <c r="O160" s="3">
        <f t="array" ref="O160">INDIRECT("'"&amp;$A160&amp;"'!L14")</f>
        <v/>
      </c>
      <c r="P160" s="3">
        <f t="array" ref="P160">INDIRECT("'"&amp;$A160&amp;"'!M14")</f>
        <v/>
      </c>
      <c r="Q160" s="3">
        <f t="array" ref="Q160">INDIRECT("'"&amp;$A160&amp;"'!N14")</f>
        <v/>
      </c>
      <c r="R160" s="3">
        <f t="array" ref="R160">INDIRECT("'"&amp;$A160&amp;"'!O14")</f>
        <v/>
      </c>
      <c r="S160" s="3">
        <f t="array" ref="S160">INDIRECT("'"&amp;$A160&amp;"'!P14")</f>
        <v/>
      </c>
      <c r="T160" s="3">
        <f t="array" ref="T160">INDIRECT("'"&amp;$A160&amp;"'!Q14")</f>
        <v/>
      </c>
      <c r="U160" s="3">
        <f t="array" ref="U160">INDIRECT("'"&amp;$A160&amp;"'!R14")</f>
        <v/>
      </c>
      <c r="V160" s="3">
        <f t="array" ref="V160">INDIRECT("'"&amp;$A160&amp;"'!S14")</f>
        <v/>
      </c>
      <c r="W160" s="3">
        <f t="array" ref="W160">INDIRECT("'"&amp;$A160&amp;"'!T14")</f>
        <v/>
      </c>
      <c r="X160" s="3">
        <f t="array" ref="X160">INDIRECT("'"&amp;$A160&amp;"'!U14")</f>
        <v/>
      </c>
      <c r="Y160" s="3">
        <f t="array" ref="Y160">INDIRECT("'"&amp;$A160&amp;"'!V14")</f>
        <v/>
      </c>
      <c r="Z160" s="3">
        <f t="array" ref="Z160">INDIRECT("'"&amp;$A160&amp;"'!W14")</f>
        <v/>
      </c>
      <c r="AA160" s="3">
        <f t="array" ref="AA160">INDIRECT("'"&amp;$A160&amp;"'!X14")</f>
        <v/>
      </c>
      <c r="AB160" s="3">
        <f t="array" ref="AB160">INDIRECT("'"&amp;$A160&amp;"'!Y14")</f>
        <v/>
      </c>
      <c r="AC160" s="3">
        <f t="array" ref="AC160">INDIRECT("'"&amp;$A160&amp;"'!Z14")</f>
        <v/>
      </c>
      <c r="AD160" s="32">
        <f t="array" ref="AD160">INDIRECT("'"&amp;$A160&amp;"'!AA14")</f>
        <v/>
      </c>
      <c r="AE160" s="81">
        <f t="array" ref="AE160">INDIRECT("'"&amp;$A159&amp;"'!J4")</f>
        <v/>
      </c>
      <c r="AF160" s="53" t="n"/>
    </row>
    <row r="161">
      <c r="A161" s="58" t="n">
        <v>54</v>
      </c>
      <c r="B161" s="103">
        <f>INDEX(data!$I$2:$I$98,MATCH(A161*1,data!$G$2:$G$98,0))</f>
        <v/>
      </c>
      <c r="C161" s="66">
        <f>HYPERLINK("#'" &amp; A161 &amp; "'!A1", "编辑")</f>
        <v/>
      </c>
      <c r="D161" s="54" t="inlineStr">
        <is>
          <t>1队</t>
        </is>
      </c>
      <c r="E161" s="79">
        <f t="array" ref="E161">INDIRECT("'"&amp;$A162&amp;"'!I2")</f>
        <v/>
      </c>
      <c r="F161" s="29">
        <f t="array" ref="F161">INDIRECT("'"&amp;$A161&amp;"'!C8")</f>
        <v/>
      </c>
      <c r="G161" s="30">
        <f t="array" ref="G161">INDIRECT("'"&amp;$A161&amp;"'!D8")</f>
        <v/>
      </c>
      <c r="H161" s="30">
        <f t="array" ref="H161">INDIRECT("'"&amp;$A161&amp;"'!E8")</f>
        <v/>
      </c>
      <c r="I161" s="30">
        <f t="array" ref="I161">INDIRECT("'"&amp;$A161&amp;"'!F8")</f>
        <v/>
      </c>
      <c r="J161" s="30">
        <f t="array" ref="J161">INDIRECT("'"&amp;$A161&amp;"'!G8")</f>
        <v/>
      </c>
      <c r="K161" s="30">
        <f t="array" ref="K161">INDIRECT("'"&amp;$A161&amp;"'!H8")</f>
        <v/>
      </c>
      <c r="L161" s="30">
        <f t="array" ref="L161">INDIRECT("'"&amp;$A161&amp;"'!I8")</f>
        <v/>
      </c>
      <c r="M161" s="30">
        <f t="array" ref="M161">INDIRECT("'"&amp;$A161&amp;"'!J8")</f>
        <v/>
      </c>
      <c r="N161" s="30">
        <f t="array" ref="N161">INDIRECT("'"&amp;$A161&amp;"'!K8")</f>
        <v/>
      </c>
      <c r="O161" s="30">
        <f t="array" ref="O161">INDIRECT("'"&amp;$A161&amp;"'!L8")</f>
        <v/>
      </c>
      <c r="P161" s="30">
        <f t="array" ref="P161">INDIRECT("'"&amp;$A161&amp;"'!M8")</f>
        <v/>
      </c>
      <c r="Q161" s="30">
        <f t="array" ref="Q161">INDIRECT("'"&amp;$A161&amp;"'!N8")</f>
        <v/>
      </c>
      <c r="R161" s="30">
        <f t="array" ref="R161">INDIRECT("'"&amp;$A161&amp;"'!O8")</f>
        <v/>
      </c>
      <c r="S161" s="30">
        <f t="array" ref="S161">INDIRECT("'"&amp;$A161&amp;"'!P8")</f>
        <v/>
      </c>
      <c r="T161" s="30">
        <f t="array" ref="T161">INDIRECT("'"&amp;$A161&amp;"'!Q8")</f>
        <v/>
      </c>
      <c r="U161" s="30">
        <f t="array" ref="U161">INDIRECT("'"&amp;$A161&amp;"'!R8")</f>
        <v/>
      </c>
      <c r="V161" s="30">
        <f t="array" ref="V161">INDIRECT("'"&amp;$A161&amp;"'!S8")</f>
        <v/>
      </c>
      <c r="W161" s="30">
        <f t="array" ref="W161">INDIRECT("'"&amp;$A161&amp;"'!T8")</f>
        <v/>
      </c>
      <c r="X161" s="30">
        <f t="array" ref="X161">INDIRECT("'"&amp;$A161&amp;"'!U8")</f>
        <v/>
      </c>
      <c r="Y161" s="30">
        <f t="array" ref="Y161">INDIRECT("'"&amp;$A161&amp;"'!V8")</f>
        <v/>
      </c>
      <c r="Z161" s="30">
        <f t="array" ref="Z161">INDIRECT("'"&amp;$A161&amp;"'!W8")</f>
        <v/>
      </c>
      <c r="AA161" s="30">
        <f t="array" ref="AA161">INDIRECT("'"&amp;$A161&amp;"'!X8")</f>
        <v/>
      </c>
      <c r="AB161" s="30">
        <f t="array" ref="AB161">INDIRECT("'"&amp;$A161&amp;"'!Y8")</f>
        <v/>
      </c>
      <c r="AC161" s="30">
        <f t="array" ref="AC161">INDIRECT("'"&amp;$A161&amp;"'!Z8")</f>
        <v/>
      </c>
      <c r="AD161" s="31">
        <f t="array" ref="AD161">INDIRECT("'"&amp;$A161&amp;"'!AA8")</f>
        <v/>
      </c>
      <c r="AE161" s="79">
        <f t="array" ref="AE161">INDIRECT("'"&amp;$A162&amp;"'!J2")</f>
        <v/>
      </c>
      <c r="AF161" s="53">
        <f t="array" ref="AF161">INDIRECT("'"&amp;$A162&amp;"'!AD1")</f>
        <v/>
      </c>
    </row>
    <row r="162">
      <c r="A162" s="58" t="n">
        <v>54</v>
      </c>
      <c r="B162" s="105" t="n"/>
      <c r="C162" s="67">
        <f t="array" ref="C162">CONCATENATE("粮 ",INDIRECT("'"&amp;$A162&amp;"'!D4"))</f>
        <v/>
      </c>
      <c r="D162" s="55" t="inlineStr">
        <is>
          <t>2队</t>
        </is>
      </c>
      <c r="E162" s="80">
        <f t="array" ref="E162">INDIRECT("'"&amp;$A162&amp;"'!I3")</f>
        <v/>
      </c>
      <c r="F162" s="52">
        <f t="array" ref="F162">INDIRECT("'"&amp;$A162&amp;"'!C11")</f>
        <v/>
      </c>
      <c r="G162" s="3">
        <f t="array" ref="G162">INDIRECT("'"&amp;$A162&amp;"'!D11")</f>
        <v/>
      </c>
      <c r="H162" s="3">
        <f t="array" ref="H162">INDIRECT("'"&amp;$A162&amp;"'!E11")</f>
        <v/>
      </c>
      <c r="I162" s="3">
        <f t="array" ref="I162">INDIRECT("'"&amp;$A162&amp;"'!F11")</f>
        <v/>
      </c>
      <c r="J162" s="3">
        <f t="array" ref="J162">INDIRECT("'"&amp;$A162&amp;"'!G11")</f>
        <v/>
      </c>
      <c r="K162" s="3">
        <f t="array" ref="K162">INDIRECT("'"&amp;$A162&amp;"'!H11")</f>
        <v/>
      </c>
      <c r="L162" s="3">
        <f t="array" ref="L162">INDIRECT("'"&amp;$A162&amp;"'!I11")</f>
        <v/>
      </c>
      <c r="M162" s="3">
        <f t="array" ref="M162">INDIRECT("'"&amp;$A162&amp;"'!J11")</f>
        <v/>
      </c>
      <c r="N162" s="3">
        <f t="array" ref="N162">INDIRECT("'"&amp;$A162&amp;"'!K11")</f>
        <v/>
      </c>
      <c r="O162" s="3">
        <f t="array" ref="O162">INDIRECT("'"&amp;$A162&amp;"'!L11")</f>
        <v/>
      </c>
      <c r="P162" s="3">
        <f t="array" ref="P162">INDIRECT("'"&amp;$A162&amp;"'!M11")</f>
        <v/>
      </c>
      <c r="Q162" s="3">
        <f t="array" ref="Q162">INDIRECT("'"&amp;$A162&amp;"'!N11")</f>
        <v/>
      </c>
      <c r="R162" s="3">
        <f t="array" ref="R162">INDIRECT("'"&amp;$A162&amp;"'!O11")</f>
        <v/>
      </c>
      <c r="S162" s="3">
        <f t="array" ref="S162">INDIRECT("'"&amp;$A162&amp;"'!P11")</f>
        <v/>
      </c>
      <c r="T162" s="3">
        <f t="array" ref="T162">INDIRECT("'"&amp;$A162&amp;"'!Q11")</f>
        <v/>
      </c>
      <c r="U162" s="3">
        <f t="array" ref="U162">INDIRECT("'"&amp;$A162&amp;"'!R11")</f>
        <v/>
      </c>
      <c r="V162" s="3">
        <f t="array" ref="V162">INDIRECT("'"&amp;$A162&amp;"'!S11")</f>
        <v/>
      </c>
      <c r="W162" s="3">
        <f t="array" ref="W162">INDIRECT("'"&amp;$A162&amp;"'!T11")</f>
        <v/>
      </c>
      <c r="X162" s="3">
        <f t="array" ref="X162">INDIRECT("'"&amp;$A162&amp;"'!U11")</f>
        <v/>
      </c>
      <c r="Y162" s="3">
        <f t="array" ref="Y162">INDIRECT("'"&amp;$A162&amp;"'!V11")</f>
        <v/>
      </c>
      <c r="Z162" s="3">
        <f t="array" ref="Z162">INDIRECT("'"&amp;$A162&amp;"'!W11")</f>
        <v/>
      </c>
      <c r="AA162" s="3">
        <f t="array" ref="AA162">INDIRECT("'"&amp;$A162&amp;"'!X11")</f>
        <v/>
      </c>
      <c r="AB162" s="3">
        <f t="array" ref="AB162">INDIRECT("'"&amp;$A162&amp;"'!Y11")</f>
        <v/>
      </c>
      <c r="AC162" s="3">
        <f t="array" ref="AC162">INDIRECT("'"&amp;$A162&amp;"'!Z11")</f>
        <v/>
      </c>
      <c r="AD162" s="32">
        <f t="array" ref="AD162">INDIRECT("'"&amp;$A162&amp;"'!AA11")</f>
        <v/>
      </c>
      <c r="AE162" s="80">
        <f t="array" ref="AE162">INDIRECT("'"&amp;$A162&amp;"'!J3")</f>
        <v/>
      </c>
      <c r="AF162" s="53">
        <f t="array" ref="AF162">INDIRECT("'"&amp;$A162&amp;"'!AC1")</f>
        <v/>
      </c>
    </row>
    <row r="163" ht="15.75" customHeight="1" thickBot="1">
      <c r="A163" s="58" t="n">
        <v>54</v>
      </c>
      <c r="B163" s="106" t="n"/>
      <c r="C163" s="77">
        <f t="array" ref="C163">CONCATENATE("分 ",INDIRECT("'"&amp;$A162&amp;"'!D6"))</f>
        <v/>
      </c>
      <c r="D163" s="56" t="inlineStr">
        <is>
          <t>3队</t>
        </is>
      </c>
      <c r="E163" s="81">
        <f t="array" ref="E163">INDIRECT("'"&amp;$A162&amp;"'!I4")</f>
        <v/>
      </c>
      <c r="F163" s="52">
        <f t="array" ref="F163">INDIRECT("'"&amp;$A163&amp;"'!C14")</f>
        <v/>
      </c>
      <c r="G163" s="3">
        <f t="array" ref="G163">INDIRECT("'"&amp;$A163&amp;"'!D14")</f>
        <v/>
      </c>
      <c r="H163" s="3">
        <f t="array" ref="H163">INDIRECT("'"&amp;$A163&amp;"'!E14")</f>
        <v/>
      </c>
      <c r="I163" s="3">
        <f t="array" ref="I163">INDIRECT("'"&amp;$A163&amp;"'!F14")</f>
        <v/>
      </c>
      <c r="J163" s="3">
        <f t="array" ref="J163">INDIRECT("'"&amp;$A163&amp;"'!G14")</f>
        <v/>
      </c>
      <c r="K163" s="3">
        <f t="array" ref="K163">INDIRECT("'"&amp;$A163&amp;"'!H14")</f>
        <v/>
      </c>
      <c r="L163" s="3">
        <f t="array" ref="L163">INDIRECT("'"&amp;$A163&amp;"'!I14")</f>
        <v/>
      </c>
      <c r="M163" s="3">
        <f t="array" ref="M163">INDIRECT("'"&amp;$A163&amp;"'!J14")</f>
        <v/>
      </c>
      <c r="N163" s="3">
        <f t="array" ref="N163">INDIRECT("'"&amp;$A163&amp;"'!K14")</f>
        <v/>
      </c>
      <c r="O163" s="3">
        <f t="array" ref="O163">INDIRECT("'"&amp;$A163&amp;"'!L14")</f>
        <v/>
      </c>
      <c r="P163" s="3">
        <f t="array" ref="P163">INDIRECT("'"&amp;$A163&amp;"'!M14")</f>
        <v/>
      </c>
      <c r="Q163" s="3">
        <f t="array" ref="Q163">INDIRECT("'"&amp;$A163&amp;"'!N14")</f>
        <v/>
      </c>
      <c r="R163" s="3">
        <f t="array" ref="R163">INDIRECT("'"&amp;$A163&amp;"'!O14")</f>
        <v/>
      </c>
      <c r="S163" s="3">
        <f t="array" ref="S163">INDIRECT("'"&amp;$A163&amp;"'!P14")</f>
        <v/>
      </c>
      <c r="T163" s="3">
        <f t="array" ref="T163">INDIRECT("'"&amp;$A163&amp;"'!Q14")</f>
        <v/>
      </c>
      <c r="U163" s="3">
        <f t="array" ref="U163">INDIRECT("'"&amp;$A163&amp;"'!R14")</f>
        <v/>
      </c>
      <c r="V163" s="3">
        <f t="array" ref="V163">INDIRECT("'"&amp;$A163&amp;"'!S14")</f>
        <v/>
      </c>
      <c r="W163" s="3">
        <f t="array" ref="W163">INDIRECT("'"&amp;$A163&amp;"'!T14")</f>
        <v/>
      </c>
      <c r="X163" s="3">
        <f t="array" ref="X163">INDIRECT("'"&amp;$A163&amp;"'!U14")</f>
        <v/>
      </c>
      <c r="Y163" s="3">
        <f t="array" ref="Y163">INDIRECT("'"&amp;$A163&amp;"'!V14")</f>
        <v/>
      </c>
      <c r="Z163" s="3">
        <f t="array" ref="Z163">INDIRECT("'"&amp;$A163&amp;"'!W14")</f>
        <v/>
      </c>
      <c r="AA163" s="3">
        <f t="array" ref="AA163">INDIRECT("'"&amp;$A163&amp;"'!X14")</f>
        <v/>
      </c>
      <c r="AB163" s="3">
        <f t="array" ref="AB163">INDIRECT("'"&amp;$A163&amp;"'!Y14")</f>
        <v/>
      </c>
      <c r="AC163" s="3">
        <f t="array" ref="AC163">INDIRECT("'"&amp;$A163&amp;"'!Z14")</f>
        <v/>
      </c>
      <c r="AD163" s="32">
        <f t="array" ref="AD163">INDIRECT("'"&amp;$A163&amp;"'!AA14")</f>
        <v/>
      </c>
      <c r="AE163" s="81">
        <f t="array" ref="AE163">INDIRECT("'"&amp;$A162&amp;"'!J4")</f>
        <v/>
      </c>
      <c r="AF163" s="53" t="n"/>
    </row>
    <row r="164">
      <c r="A164" s="58" t="n">
        <v>55</v>
      </c>
      <c r="B164" s="103">
        <f>INDEX(data!$I$2:$I$98,MATCH(A164*1,data!$G$2:$G$98,0))</f>
        <v/>
      </c>
      <c r="C164" s="66">
        <f>HYPERLINK("#'" &amp; A164 &amp; "'!A1", "编辑")</f>
        <v/>
      </c>
      <c r="D164" s="54" t="inlineStr">
        <is>
          <t>1队</t>
        </is>
      </c>
      <c r="E164" s="79">
        <f t="array" ref="E164">INDIRECT("'"&amp;$A165&amp;"'!I2")</f>
        <v/>
      </c>
      <c r="F164" s="29">
        <f t="array" ref="F164">INDIRECT("'"&amp;$A164&amp;"'!C8")</f>
        <v/>
      </c>
      <c r="G164" s="30">
        <f t="array" ref="G164">INDIRECT("'"&amp;$A164&amp;"'!D8")</f>
        <v/>
      </c>
      <c r="H164" s="30">
        <f t="array" ref="H164">INDIRECT("'"&amp;$A164&amp;"'!E8")</f>
        <v/>
      </c>
      <c r="I164" s="30">
        <f t="array" ref="I164">INDIRECT("'"&amp;$A164&amp;"'!F8")</f>
        <v/>
      </c>
      <c r="J164" s="30">
        <f t="array" ref="J164">INDIRECT("'"&amp;$A164&amp;"'!G8")</f>
        <v/>
      </c>
      <c r="K164" s="30">
        <f t="array" ref="K164">INDIRECT("'"&amp;$A164&amp;"'!H8")</f>
        <v/>
      </c>
      <c r="L164" s="30">
        <f t="array" ref="L164">INDIRECT("'"&amp;$A164&amp;"'!I8")</f>
        <v/>
      </c>
      <c r="M164" s="30">
        <f t="array" ref="M164">INDIRECT("'"&amp;$A164&amp;"'!J8")</f>
        <v/>
      </c>
      <c r="N164" s="30">
        <f t="array" ref="N164">INDIRECT("'"&amp;$A164&amp;"'!K8")</f>
        <v/>
      </c>
      <c r="O164" s="30">
        <f t="array" ref="O164">INDIRECT("'"&amp;$A164&amp;"'!L8")</f>
        <v/>
      </c>
      <c r="P164" s="30">
        <f t="array" ref="P164">INDIRECT("'"&amp;$A164&amp;"'!M8")</f>
        <v/>
      </c>
      <c r="Q164" s="30">
        <f t="array" ref="Q164">INDIRECT("'"&amp;$A164&amp;"'!N8")</f>
        <v/>
      </c>
      <c r="R164" s="30">
        <f t="array" ref="R164">INDIRECT("'"&amp;$A164&amp;"'!O8")</f>
        <v/>
      </c>
      <c r="S164" s="30">
        <f t="array" ref="S164">INDIRECT("'"&amp;$A164&amp;"'!P8")</f>
        <v/>
      </c>
      <c r="T164" s="30">
        <f t="array" ref="T164">INDIRECT("'"&amp;$A164&amp;"'!Q8")</f>
        <v/>
      </c>
      <c r="U164" s="30">
        <f t="array" ref="U164">INDIRECT("'"&amp;$A164&amp;"'!R8")</f>
        <v/>
      </c>
      <c r="V164" s="30">
        <f t="array" ref="V164">INDIRECT("'"&amp;$A164&amp;"'!S8")</f>
        <v/>
      </c>
      <c r="W164" s="30">
        <f t="array" ref="W164">INDIRECT("'"&amp;$A164&amp;"'!T8")</f>
        <v/>
      </c>
      <c r="X164" s="30">
        <f t="array" ref="X164">INDIRECT("'"&amp;$A164&amp;"'!U8")</f>
        <v/>
      </c>
      <c r="Y164" s="30">
        <f t="array" ref="Y164">INDIRECT("'"&amp;$A164&amp;"'!V8")</f>
        <v/>
      </c>
      <c r="Z164" s="30">
        <f t="array" ref="Z164">INDIRECT("'"&amp;$A164&amp;"'!W8")</f>
        <v/>
      </c>
      <c r="AA164" s="30">
        <f t="array" ref="AA164">INDIRECT("'"&amp;$A164&amp;"'!X8")</f>
        <v/>
      </c>
      <c r="AB164" s="30">
        <f t="array" ref="AB164">INDIRECT("'"&amp;$A164&amp;"'!Y8")</f>
        <v/>
      </c>
      <c r="AC164" s="30">
        <f t="array" ref="AC164">INDIRECT("'"&amp;$A164&amp;"'!Z8")</f>
        <v/>
      </c>
      <c r="AD164" s="31">
        <f t="array" ref="AD164">INDIRECT("'"&amp;$A164&amp;"'!AA8")</f>
        <v/>
      </c>
      <c r="AE164" s="79">
        <f t="array" ref="AE164">INDIRECT("'"&amp;$A165&amp;"'!J2")</f>
        <v/>
      </c>
      <c r="AF164" s="53">
        <f t="array" ref="AF164">INDIRECT("'"&amp;$A165&amp;"'!AD1")</f>
        <v/>
      </c>
    </row>
    <row r="165">
      <c r="A165" s="58" t="n">
        <v>55</v>
      </c>
      <c r="B165" s="105" t="n"/>
      <c r="C165" s="67">
        <f t="array" ref="C165">CONCATENATE("粮 ",INDIRECT("'"&amp;$A165&amp;"'!D4"))</f>
        <v/>
      </c>
      <c r="D165" s="55" t="inlineStr">
        <is>
          <t>2队</t>
        </is>
      </c>
      <c r="E165" s="80">
        <f t="array" ref="E165">INDIRECT("'"&amp;$A165&amp;"'!I3")</f>
        <v/>
      </c>
      <c r="F165" s="52">
        <f t="array" ref="F165">INDIRECT("'"&amp;$A165&amp;"'!C11")</f>
        <v/>
      </c>
      <c r="G165" s="3">
        <f t="array" ref="G165">INDIRECT("'"&amp;$A165&amp;"'!D11")</f>
        <v/>
      </c>
      <c r="H165" s="3">
        <f t="array" ref="H165">INDIRECT("'"&amp;$A165&amp;"'!E11")</f>
        <v/>
      </c>
      <c r="I165" s="3">
        <f t="array" ref="I165">INDIRECT("'"&amp;$A165&amp;"'!F11")</f>
        <v/>
      </c>
      <c r="J165" s="3">
        <f t="array" ref="J165">INDIRECT("'"&amp;$A165&amp;"'!G11")</f>
        <v/>
      </c>
      <c r="K165" s="3">
        <f t="array" ref="K165">INDIRECT("'"&amp;$A165&amp;"'!H11")</f>
        <v/>
      </c>
      <c r="L165" s="3">
        <f t="array" ref="L165">INDIRECT("'"&amp;$A165&amp;"'!I11")</f>
        <v/>
      </c>
      <c r="M165" s="3">
        <f t="array" ref="M165">INDIRECT("'"&amp;$A165&amp;"'!J11")</f>
        <v/>
      </c>
      <c r="N165" s="3">
        <f t="array" ref="N165">INDIRECT("'"&amp;$A165&amp;"'!K11")</f>
        <v/>
      </c>
      <c r="O165" s="3">
        <f t="array" ref="O165">INDIRECT("'"&amp;$A165&amp;"'!L11")</f>
        <v/>
      </c>
      <c r="P165" s="3">
        <f t="array" ref="P165">INDIRECT("'"&amp;$A165&amp;"'!M11")</f>
        <v/>
      </c>
      <c r="Q165" s="3">
        <f t="array" ref="Q165">INDIRECT("'"&amp;$A165&amp;"'!N11")</f>
        <v/>
      </c>
      <c r="R165" s="3">
        <f t="array" ref="R165">INDIRECT("'"&amp;$A165&amp;"'!O11")</f>
        <v/>
      </c>
      <c r="S165" s="3">
        <f t="array" ref="S165">INDIRECT("'"&amp;$A165&amp;"'!P11")</f>
        <v/>
      </c>
      <c r="T165" s="3">
        <f t="array" ref="T165">INDIRECT("'"&amp;$A165&amp;"'!Q11")</f>
        <v/>
      </c>
      <c r="U165" s="3">
        <f t="array" ref="U165">INDIRECT("'"&amp;$A165&amp;"'!R11")</f>
        <v/>
      </c>
      <c r="V165" s="3">
        <f t="array" ref="V165">INDIRECT("'"&amp;$A165&amp;"'!S11")</f>
        <v/>
      </c>
      <c r="W165" s="3">
        <f t="array" ref="W165">INDIRECT("'"&amp;$A165&amp;"'!T11")</f>
        <v/>
      </c>
      <c r="X165" s="3">
        <f t="array" ref="X165">INDIRECT("'"&amp;$A165&amp;"'!U11")</f>
        <v/>
      </c>
      <c r="Y165" s="3">
        <f t="array" ref="Y165">INDIRECT("'"&amp;$A165&amp;"'!V11")</f>
        <v/>
      </c>
      <c r="Z165" s="3">
        <f t="array" ref="Z165">INDIRECT("'"&amp;$A165&amp;"'!W11")</f>
        <v/>
      </c>
      <c r="AA165" s="3">
        <f t="array" ref="AA165">INDIRECT("'"&amp;$A165&amp;"'!X11")</f>
        <v/>
      </c>
      <c r="AB165" s="3">
        <f t="array" ref="AB165">INDIRECT("'"&amp;$A165&amp;"'!Y11")</f>
        <v/>
      </c>
      <c r="AC165" s="3">
        <f t="array" ref="AC165">INDIRECT("'"&amp;$A165&amp;"'!Z11")</f>
        <v/>
      </c>
      <c r="AD165" s="32">
        <f t="array" ref="AD165">INDIRECT("'"&amp;$A165&amp;"'!AA11")</f>
        <v/>
      </c>
      <c r="AE165" s="80">
        <f t="array" ref="AE165">INDIRECT("'"&amp;$A165&amp;"'!J3")</f>
        <v/>
      </c>
      <c r="AF165" s="53">
        <f t="array" ref="AF165">INDIRECT("'"&amp;$A165&amp;"'!AC1")</f>
        <v/>
      </c>
    </row>
    <row r="166" ht="15.75" customHeight="1" thickBot="1">
      <c r="A166" s="58" t="n">
        <v>55</v>
      </c>
      <c r="B166" s="106" t="n"/>
      <c r="C166" s="77">
        <f t="array" ref="C166">CONCATENATE("分 ",INDIRECT("'"&amp;$A165&amp;"'!D6"))</f>
        <v/>
      </c>
      <c r="D166" s="56" t="inlineStr">
        <is>
          <t>3队</t>
        </is>
      </c>
      <c r="E166" s="81">
        <f t="array" ref="E166">INDIRECT("'"&amp;$A165&amp;"'!I4")</f>
        <v/>
      </c>
      <c r="F166" s="52">
        <f t="array" ref="F166">INDIRECT("'"&amp;$A166&amp;"'!C14")</f>
        <v/>
      </c>
      <c r="G166" s="3">
        <f t="array" ref="G166">INDIRECT("'"&amp;$A166&amp;"'!D14")</f>
        <v/>
      </c>
      <c r="H166" s="3">
        <f t="array" ref="H166">INDIRECT("'"&amp;$A166&amp;"'!E14")</f>
        <v/>
      </c>
      <c r="I166" s="3">
        <f t="array" ref="I166">INDIRECT("'"&amp;$A166&amp;"'!F14")</f>
        <v/>
      </c>
      <c r="J166" s="3">
        <f t="array" ref="J166">INDIRECT("'"&amp;$A166&amp;"'!G14")</f>
        <v/>
      </c>
      <c r="K166" s="3">
        <f t="array" ref="K166">INDIRECT("'"&amp;$A166&amp;"'!H14")</f>
        <v/>
      </c>
      <c r="L166" s="3">
        <f t="array" ref="L166">INDIRECT("'"&amp;$A166&amp;"'!I14")</f>
        <v/>
      </c>
      <c r="M166" s="3">
        <f t="array" ref="M166">INDIRECT("'"&amp;$A166&amp;"'!J14")</f>
        <v/>
      </c>
      <c r="N166" s="3">
        <f t="array" ref="N166">INDIRECT("'"&amp;$A166&amp;"'!K14")</f>
        <v/>
      </c>
      <c r="O166" s="3">
        <f t="array" ref="O166">INDIRECT("'"&amp;$A166&amp;"'!L14")</f>
        <v/>
      </c>
      <c r="P166" s="3">
        <f t="array" ref="P166">INDIRECT("'"&amp;$A166&amp;"'!M14")</f>
        <v/>
      </c>
      <c r="Q166" s="3">
        <f t="array" ref="Q166">INDIRECT("'"&amp;$A166&amp;"'!N14")</f>
        <v/>
      </c>
      <c r="R166" s="3">
        <f t="array" ref="R166">INDIRECT("'"&amp;$A166&amp;"'!O14")</f>
        <v/>
      </c>
      <c r="S166" s="3">
        <f t="array" ref="S166">INDIRECT("'"&amp;$A166&amp;"'!P14")</f>
        <v/>
      </c>
      <c r="T166" s="3">
        <f t="array" ref="T166">INDIRECT("'"&amp;$A166&amp;"'!Q14")</f>
        <v/>
      </c>
      <c r="U166" s="3">
        <f t="array" ref="U166">INDIRECT("'"&amp;$A166&amp;"'!R14")</f>
        <v/>
      </c>
      <c r="V166" s="3">
        <f t="array" ref="V166">INDIRECT("'"&amp;$A166&amp;"'!S14")</f>
        <v/>
      </c>
      <c r="W166" s="3">
        <f t="array" ref="W166">INDIRECT("'"&amp;$A166&amp;"'!T14")</f>
        <v/>
      </c>
      <c r="X166" s="3">
        <f t="array" ref="X166">INDIRECT("'"&amp;$A166&amp;"'!U14")</f>
        <v/>
      </c>
      <c r="Y166" s="3">
        <f t="array" ref="Y166">INDIRECT("'"&amp;$A166&amp;"'!V14")</f>
        <v/>
      </c>
      <c r="Z166" s="3">
        <f t="array" ref="Z166">INDIRECT("'"&amp;$A166&amp;"'!W14")</f>
        <v/>
      </c>
      <c r="AA166" s="3">
        <f t="array" ref="AA166">INDIRECT("'"&amp;$A166&amp;"'!X14")</f>
        <v/>
      </c>
      <c r="AB166" s="3">
        <f t="array" ref="AB166">INDIRECT("'"&amp;$A166&amp;"'!Y14")</f>
        <v/>
      </c>
      <c r="AC166" s="3">
        <f t="array" ref="AC166">INDIRECT("'"&amp;$A166&amp;"'!Z14")</f>
        <v/>
      </c>
      <c r="AD166" s="32">
        <f t="array" ref="AD166">INDIRECT("'"&amp;$A166&amp;"'!AA14")</f>
        <v/>
      </c>
      <c r="AE166" s="81">
        <f t="array" ref="AE166">INDIRECT("'"&amp;$A165&amp;"'!J4")</f>
        <v/>
      </c>
      <c r="AF166" s="53" t="n"/>
    </row>
    <row r="167">
      <c r="A167" s="58" t="n">
        <v>56</v>
      </c>
      <c r="B167" s="103">
        <f>INDEX(data!$I$2:$I$98,MATCH(A167*1,data!$G$2:$G$98,0))</f>
        <v/>
      </c>
      <c r="C167" s="66">
        <f>HYPERLINK("#'" &amp; A167 &amp; "'!A1", "编辑")</f>
        <v/>
      </c>
      <c r="D167" s="54" t="inlineStr">
        <is>
          <t>1队</t>
        </is>
      </c>
      <c r="E167" s="79">
        <f t="array" ref="E167">INDIRECT("'"&amp;$A168&amp;"'!I2")</f>
        <v/>
      </c>
      <c r="F167" s="29">
        <f t="array" ref="F167">INDIRECT("'"&amp;$A167&amp;"'!C8")</f>
        <v/>
      </c>
      <c r="G167" s="30">
        <f t="array" ref="G167">INDIRECT("'"&amp;$A167&amp;"'!D8")</f>
        <v/>
      </c>
      <c r="H167" s="30">
        <f t="array" ref="H167">INDIRECT("'"&amp;$A167&amp;"'!E8")</f>
        <v/>
      </c>
      <c r="I167" s="30">
        <f t="array" ref="I167">INDIRECT("'"&amp;$A167&amp;"'!F8")</f>
        <v/>
      </c>
      <c r="J167" s="30">
        <f t="array" ref="J167">INDIRECT("'"&amp;$A167&amp;"'!G8")</f>
        <v/>
      </c>
      <c r="K167" s="30">
        <f t="array" ref="K167">INDIRECT("'"&amp;$A167&amp;"'!H8")</f>
        <v/>
      </c>
      <c r="L167" s="30">
        <f t="array" ref="L167">INDIRECT("'"&amp;$A167&amp;"'!I8")</f>
        <v/>
      </c>
      <c r="M167" s="30">
        <f t="array" ref="M167">INDIRECT("'"&amp;$A167&amp;"'!J8")</f>
        <v/>
      </c>
      <c r="N167" s="30">
        <f t="array" ref="N167">INDIRECT("'"&amp;$A167&amp;"'!K8")</f>
        <v/>
      </c>
      <c r="O167" s="30">
        <f t="array" ref="O167">INDIRECT("'"&amp;$A167&amp;"'!L8")</f>
        <v/>
      </c>
      <c r="P167" s="30">
        <f t="array" ref="P167">INDIRECT("'"&amp;$A167&amp;"'!M8")</f>
        <v/>
      </c>
      <c r="Q167" s="30">
        <f t="array" ref="Q167">INDIRECT("'"&amp;$A167&amp;"'!N8")</f>
        <v/>
      </c>
      <c r="R167" s="30">
        <f t="array" ref="R167">INDIRECT("'"&amp;$A167&amp;"'!O8")</f>
        <v/>
      </c>
      <c r="S167" s="30">
        <f t="array" ref="S167">INDIRECT("'"&amp;$A167&amp;"'!P8")</f>
        <v/>
      </c>
      <c r="T167" s="30">
        <f t="array" ref="T167">INDIRECT("'"&amp;$A167&amp;"'!Q8")</f>
        <v/>
      </c>
      <c r="U167" s="30">
        <f t="array" ref="U167">INDIRECT("'"&amp;$A167&amp;"'!R8")</f>
        <v/>
      </c>
      <c r="V167" s="30">
        <f t="array" ref="V167">INDIRECT("'"&amp;$A167&amp;"'!S8")</f>
        <v/>
      </c>
      <c r="W167" s="30">
        <f t="array" ref="W167">INDIRECT("'"&amp;$A167&amp;"'!T8")</f>
        <v/>
      </c>
      <c r="X167" s="30">
        <f t="array" ref="X167">INDIRECT("'"&amp;$A167&amp;"'!U8")</f>
        <v/>
      </c>
      <c r="Y167" s="30">
        <f t="array" ref="Y167">INDIRECT("'"&amp;$A167&amp;"'!V8")</f>
        <v/>
      </c>
      <c r="Z167" s="30">
        <f t="array" ref="Z167">INDIRECT("'"&amp;$A167&amp;"'!W8")</f>
        <v/>
      </c>
      <c r="AA167" s="30">
        <f t="array" ref="AA167">INDIRECT("'"&amp;$A167&amp;"'!X8")</f>
        <v/>
      </c>
      <c r="AB167" s="30">
        <f t="array" ref="AB167">INDIRECT("'"&amp;$A167&amp;"'!Y8")</f>
        <v/>
      </c>
      <c r="AC167" s="30">
        <f t="array" ref="AC167">INDIRECT("'"&amp;$A167&amp;"'!Z8")</f>
        <v/>
      </c>
      <c r="AD167" s="31">
        <f t="array" ref="AD167">INDIRECT("'"&amp;$A167&amp;"'!AA8")</f>
        <v/>
      </c>
      <c r="AE167" s="79">
        <f t="array" ref="AE167">INDIRECT("'"&amp;$A168&amp;"'!J2")</f>
        <v/>
      </c>
      <c r="AF167" s="53">
        <f t="array" ref="AF167">INDIRECT("'"&amp;$A168&amp;"'!AD1")</f>
        <v/>
      </c>
    </row>
    <row r="168">
      <c r="A168" s="58" t="n">
        <v>56</v>
      </c>
      <c r="B168" s="105" t="n"/>
      <c r="C168" s="67">
        <f t="array" ref="C168">CONCATENATE("粮 ",INDIRECT("'"&amp;$A168&amp;"'!D4"))</f>
        <v/>
      </c>
      <c r="D168" s="55" t="inlineStr">
        <is>
          <t>2队</t>
        </is>
      </c>
      <c r="E168" s="80">
        <f t="array" ref="E168">INDIRECT("'"&amp;$A168&amp;"'!I3")</f>
        <v/>
      </c>
      <c r="F168" s="52">
        <f t="array" ref="F168">INDIRECT("'"&amp;$A168&amp;"'!C11")</f>
        <v/>
      </c>
      <c r="G168" s="3">
        <f t="array" ref="G168">INDIRECT("'"&amp;$A168&amp;"'!D11")</f>
        <v/>
      </c>
      <c r="H168" s="3">
        <f t="array" ref="H168">INDIRECT("'"&amp;$A168&amp;"'!E11")</f>
        <v/>
      </c>
      <c r="I168" s="3">
        <f t="array" ref="I168">INDIRECT("'"&amp;$A168&amp;"'!F11")</f>
        <v/>
      </c>
      <c r="J168" s="3">
        <f t="array" ref="J168">INDIRECT("'"&amp;$A168&amp;"'!G11")</f>
        <v/>
      </c>
      <c r="K168" s="3">
        <f t="array" ref="K168">INDIRECT("'"&amp;$A168&amp;"'!H11")</f>
        <v/>
      </c>
      <c r="L168" s="3">
        <f t="array" ref="L168">INDIRECT("'"&amp;$A168&amp;"'!I11")</f>
        <v/>
      </c>
      <c r="M168" s="3">
        <f t="array" ref="M168">INDIRECT("'"&amp;$A168&amp;"'!J11")</f>
        <v/>
      </c>
      <c r="N168" s="3">
        <f t="array" ref="N168">INDIRECT("'"&amp;$A168&amp;"'!K11")</f>
        <v/>
      </c>
      <c r="O168" s="3">
        <f t="array" ref="O168">INDIRECT("'"&amp;$A168&amp;"'!L11")</f>
        <v/>
      </c>
      <c r="P168" s="3">
        <f t="array" ref="P168">INDIRECT("'"&amp;$A168&amp;"'!M11")</f>
        <v/>
      </c>
      <c r="Q168" s="3">
        <f t="array" ref="Q168">INDIRECT("'"&amp;$A168&amp;"'!N11")</f>
        <v/>
      </c>
      <c r="R168" s="3">
        <f t="array" ref="R168">INDIRECT("'"&amp;$A168&amp;"'!O11")</f>
        <v/>
      </c>
      <c r="S168" s="3">
        <f t="array" ref="S168">INDIRECT("'"&amp;$A168&amp;"'!P11")</f>
        <v/>
      </c>
      <c r="T168" s="3">
        <f t="array" ref="T168">INDIRECT("'"&amp;$A168&amp;"'!Q11")</f>
        <v/>
      </c>
      <c r="U168" s="3">
        <f t="array" ref="U168">INDIRECT("'"&amp;$A168&amp;"'!R11")</f>
        <v/>
      </c>
      <c r="V168" s="3">
        <f t="array" ref="V168">INDIRECT("'"&amp;$A168&amp;"'!S11")</f>
        <v/>
      </c>
      <c r="W168" s="3">
        <f t="array" ref="W168">INDIRECT("'"&amp;$A168&amp;"'!T11")</f>
        <v/>
      </c>
      <c r="X168" s="3">
        <f t="array" ref="X168">INDIRECT("'"&amp;$A168&amp;"'!U11")</f>
        <v/>
      </c>
      <c r="Y168" s="3">
        <f t="array" ref="Y168">INDIRECT("'"&amp;$A168&amp;"'!V11")</f>
        <v/>
      </c>
      <c r="Z168" s="3">
        <f t="array" ref="Z168">INDIRECT("'"&amp;$A168&amp;"'!W11")</f>
        <v/>
      </c>
      <c r="AA168" s="3">
        <f t="array" ref="AA168">INDIRECT("'"&amp;$A168&amp;"'!X11")</f>
        <v/>
      </c>
      <c r="AB168" s="3">
        <f t="array" ref="AB168">INDIRECT("'"&amp;$A168&amp;"'!Y11")</f>
        <v/>
      </c>
      <c r="AC168" s="3">
        <f t="array" ref="AC168">INDIRECT("'"&amp;$A168&amp;"'!Z11")</f>
        <v/>
      </c>
      <c r="AD168" s="32">
        <f t="array" ref="AD168">INDIRECT("'"&amp;$A168&amp;"'!AA11")</f>
        <v/>
      </c>
      <c r="AE168" s="80">
        <f t="array" ref="AE168">INDIRECT("'"&amp;$A168&amp;"'!J3")</f>
        <v/>
      </c>
      <c r="AF168" s="53">
        <f t="array" ref="AF168">INDIRECT("'"&amp;$A168&amp;"'!AC1")</f>
        <v/>
      </c>
    </row>
    <row r="169" ht="15.75" customHeight="1" thickBot="1">
      <c r="A169" s="58" t="n">
        <v>56</v>
      </c>
      <c r="B169" s="106" t="n"/>
      <c r="C169" s="77">
        <f t="array" ref="C169">CONCATENATE("分 ",INDIRECT("'"&amp;$A168&amp;"'!D6"))</f>
        <v/>
      </c>
      <c r="D169" s="56" t="inlineStr">
        <is>
          <t>3队</t>
        </is>
      </c>
      <c r="E169" s="81">
        <f t="array" ref="E169">INDIRECT("'"&amp;$A168&amp;"'!I4")</f>
        <v/>
      </c>
      <c r="F169" s="52">
        <f t="array" ref="F169">INDIRECT("'"&amp;$A169&amp;"'!C14")</f>
        <v/>
      </c>
      <c r="G169" s="3">
        <f t="array" ref="G169">INDIRECT("'"&amp;$A169&amp;"'!D14")</f>
        <v/>
      </c>
      <c r="H169" s="3">
        <f t="array" ref="H169">INDIRECT("'"&amp;$A169&amp;"'!E14")</f>
        <v/>
      </c>
      <c r="I169" s="3">
        <f t="array" ref="I169">INDIRECT("'"&amp;$A169&amp;"'!F14")</f>
        <v/>
      </c>
      <c r="J169" s="3">
        <f t="array" ref="J169">INDIRECT("'"&amp;$A169&amp;"'!G14")</f>
        <v/>
      </c>
      <c r="K169" s="3">
        <f t="array" ref="K169">INDIRECT("'"&amp;$A169&amp;"'!H14")</f>
        <v/>
      </c>
      <c r="L169" s="3">
        <f t="array" ref="L169">INDIRECT("'"&amp;$A169&amp;"'!I14")</f>
        <v/>
      </c>
      <c r="M169" s="3">
        <f t="array" ref="M169">INDIRECT("'"&amp;$A169&amp;"'!J14")</f>
        <v/>
      </c>
      <c r="N169" s="3">
        <f t="array" ref="N169">INDIRECT("'"&amp;$A169&amp;"'!K14")</f>
        <v/>
      </c>
      <c r="O169" s="3">
        <f t="array" ref="O169">INDIRECT("'"&amp;$A169&amp;"'!L14")</f>
        <v/>
      </c>
      <c r="P169" s="3">
        <f t="array" ref="P169">INDIRECT("'"&amp;$A169&amp;"'!M14")</f>
        <v/>
      </c>
      <c r="Q169" s="3">
        <f t="array" ref="Q169">INDIRECT("'"&amp;$A169&amp;"'!N14")</f>
        <v/>
      </c>
      <c r="R169" s="3">
        <f t="array" ref="R169">INDIRECT("'"&amp;$A169&amp;"'!O14")</f>
        <v/>
      </c>
      <c r="S169" s="3">
        <f t="array" ref="S169">INDIRECT("'"&amp;$A169&amp;"'!P14")</f>
        <v/>
      </c>
      <c r="T169" s="3">
        <f t="array" ref="T169">INDIRECT("'"&amp;$A169&amp;"'!Q14")</f>
        <v/>
      </c>
      <c r="U169" s="3">
        <f t="array" ref="U169">INDIRECT("'"&amp;$A169&amp;"'!R14")</f>
        <v/>
      </c>
      <c r="V169" s="3">
        <f t="array" ref="V169">INDIRECT("'"&amp;$A169&amp;"'!S14")</f>
        <v/>
      </c>
      <c r="W169" s="3">
        <f t="array" ref="W169">INDIRECT("'"&amp;$A169&amp;"'!T14")</f>
        <v/>
      </c>
      <c r="X169" s="3">
        <f t="array" ref="X169">INDIRECT("'"&amp;$A169&amp;"'!U14")</f>
        <v/>
      </c>
      <c r="Y169" s="3">
        <f t="array" ref="Y169">INDIRECT("'"&amp;$A169&amp;"'!V14")</f>
        <v/>
      </c>
      <c r="Z169" s="3">
        <f t="array" ref="Z169">INDIRECT("'"&amp;$A169&amp;"'!W14")</f>
        <v/>
      </c>
      <c r="AA169" s="3">
        <f t="array" ref="AA169">INDIRECT("'"&amp;$A169&amp;"'!X14")</f>
        <v/>
      </c>
      <c r="AB169" s="3">
        <f t="array" ref="AB169">INDIRECT("'"&amp;$A169&amp;"'!Y14")</f>
        <v/>
      </c>
      <c r="AC169" s="3">
        <f t="array" ref="AC169">INDIRECT("'"&amp;$A169&amp;"'!Z14")</f>
        <v/>
      </c>
      <c r="AD169" s="32">
        <f t="array" ref="AD169">INDIRECT("'"&amp;$A169&amp;"'!AA14")</f>
        <v/>
      </c>
      <c r="AE169" s="81">
        <f t="array" ref="AE169">INDIRECT("'"&amp;$A168&amp;"'!J4")</f>
        <v/>
      </c>
      <c r="AF169" s="53" t="n"/>
    </row>
    <row r="170">
      <c r="A170" s="58" t="n">
        <v>57</v>
      </c>
      <c r="B170" s="103">
        <f>INDEX(data!$I$2:$I$98,MATCH(A170*1,data!$G$2:$G$98,0))</f>
        <v/>
      </c>
      <c r="C170" s="66">
        <f>HYPERLINK("#'" &amp; A170 &amp; "'!A1", "编辑")</f>
        <v/>
      </c>
      <c r="D170" s="54" t="inlineStr">
        <is>
          <t>1队</t>
        </is>
      </c>
      <c r="E170" s="79">
        <f t="array" ref="E170">INDIRECT("'"&amp;$A171&amp;"'!I2")</f>
        <v/>
      </c>
      <c r="F170" s="29">
        <f t="array" ref="F170">INDIRECT("'"&amp;$A170&amp;"'!C8")</f>
        <v/>
      </c>
      <c r="G170" s="30">
        <f t="array" ref="G170">INDIRECT("'"&amp;$A170&amp;"'!D8")</f>
        <v/>
      </c>
      <c r="H170" s="30">
        <f t="array" ref="H170">INDIRECT("'"&amp;$A170&amp;"'!E8")</f>
        <v/>
      </c>
      <c r="I170" s="30">
        <f t="array" ref="I170">INDIRECT("'"&amp;$A170&amp;"'!F8")</f>
        <v/>
      </c>
      <c r="J170" s="30">
        <f t="array" ref="J170">INDIRECT("'"&amp;$A170&amp;"'!G8")</f>
        <v/>
      </c>
      <c r="K170" s="30">
        <f t="array" ref="K170">INDIRECT("'"&amp;$A170&amp;"'!H8")</f>
        <v/>
      </c>
      <c r="L170" s="30">
        <f t="array" ref="L170">INDIRECT("'"&amp;$A170&amp;"'!I8")</f>
        <v/>
      </c>
      <c r="M170" s="30">
        <f t="array" ref="M170">INDIRECT("'"&amp;$A170&amp;"'!J8")</f>
        <v/>
      </c>
      <c r="N170" s="30">
        <f t="array" ref="N170">INDIRECT("'"&amp;$A170&amp;"'!K8")</f>
        <v/>
      </c>
      <c r="O170" s="30">
        <f t="array" ref="O170">INDIRECT("'"&amp;$A170&amp;"'!L8")</f>
        <v/>
      </c>
      <c r="P170" s="30">
        <f t="array" ref="P170">INDIRECT("'"&amp;$A170&amp;"'!M8")</f>
        <v/>
      </c>
      <c r="Q170" s="30">
        <f t="array" ref="Q170">INDIRECT("'"&amp;$A170&amp;"'!N8")</f>
        <v/>
      </c>
      <c r="R170" s="30">
        <f t="array" ref="R170">INDIRECT("'"&amp;$A170&amp;"'!O8")</f>
        <v/>
      </c>
      <c r="S170" s="30">
        <f t="array" ref="S170">INDIRECT("'"&amp;$A170&amp;"'!P8")</f>
        <v/>
      </c>
      <c r="T170" s="30">
        <f t="array" ref="T170">INDIRECT("'"&amp;$A170&amp;"'!Q8")</f>
        <v/>
      </c>
      <c r="U170" s="30">
        <f t="array" ref="U170">INDIRECT("'"&amp;$A170&amp;"'!R8")</f>
        <v/>
      </c>
      <c r="V170" s="30">
        <f t="array" ref="V170">INDIRECT("'"&amp;$A170&amp;"'!S8")</f>
        <v/>
      </c>
      <c r="W170" s="30">
        <f t="array" ref="W170">INDIRECT("'"&amp;$A170&amp;"'!T8")</f>
        <v/>
      </c>
      <c r="X170" s="30">
        <f t="array" ref="X170">INDIRECT("'"&amp;$A170&amp;"'!U8")</f>
        <v/>
      </c>
      <c r="Y170" s="30">
        <f t="array" ref="Y170">INDIRECT("'"&amp;$A170&amp;"'!V8")</f>
        <v/>
      </c>
      <c r="Z170" s="30">
        <f t="array" ref="Z170">INDIRECT("'"&amp;$A170&amp;"'!W8")</f>
        <v/>
      </c>
      <c r="AA170" s="30">
        <f t="array" ref="AA170">INDIRECT("'"&amp;$A170&amp;"'!X8")</f>
        <v/>
      </c>
      <c r="AB170" s="30">
        <f t="array" ref="AB170">INDIRECT("'"&amp;$A170&amp;"'!Y8")</f>
        <v/>
      </c>
      <c r="AC170" s="30">
        <f t="array" ref="AC170">INDIRECT("'"&amp;$A170&amp;"'!Z8")</f>
        <v/>
      </c>
      <c r="AD170" s="31">
        <f t="array" ref="AD170">INDIRECT("'"&amp;$A170&amp;"'!AA8")</f>
        <v/>
      </c>
      <c r="AE170" s="79">
        <f t="array" ref="AE170">INDIRECT("'"&amp;$A171&amp;"'!J2")</f>
        <v/>
      </c>
      <c r="AF170" s="53">
        <f t="array" ref="AF170">INDIRECT("'"&amp;$A171&amp;"'!AD1")</f>
        <v/>
      </c>
    </row>
    <row r="171">
      <c r="A171" s="58" t="n">
        <v>57</v>
      </c>
      <c r="B171" s="105" t="n"/>
      <c r="C171" s="67">
        <f t="array" ref="C171">CONCATENATE("粮 ",INDIRECT("'"&amp;$A171&amp;"'!D4"))</f>
        <v/>
      </c>
      <c r="D171" s="55" t="inlineStr">
        <is>
          <t>2队</t>
        </is>
      </c>
      <c r="E171" s="80">
        <f t="array" ref="E171">INDIRECT("'"&amp;$A171&amp;"'!I3")</f>
        <v/>
      </c>
      <c r="F171" s="52">
        <f t="array" ref="F171">INDIRECT("'"&amp;$A171&amp;"'!C11")</f>
        <v/>
      </c>
      <c r="G171" s="3">
        <f t="array" ref="G171">INDIRECT("'"&amp;$A171&amp;"'!D11")</f>
        <v/>
      </c>
      <c r="H171" s="3">
        <f t="array" ref="H171">INDIRECT("'"&amp;$A171&amp;"'!E11")</f>
        <v/>
      </c>
      <c r="I171" s="3">
        <f t="array" ref="I171">INDIRECT("'"&amp;$A171&amp;"'!F11")</f>
        <v/>
      </c>
      <c r="J171" s="3">
        <f t="array" ref="J171">INDIRECT("'"&amp;$A171&amp;"'!G11")</f>
        <v/>
      </c>
      <c r="K171" s="3">
        <f t="array" ref="K171">INDIRECT("'"&amp;$A171&amp;"'!H11")</f>
        <v/>
      </c>
      <c r="L171" s="3">
        <f t="array" ref="L171">INDIRECT("'"&amp;$A171&amp;"'!I11")</f>
        <v/>
      </c>
      <c r="M171" s="3">
        <f t="array" ref="M171">INDIRECT("'"&amp;$A171&amp;"'!J11")</f>
        <v/>
      </c>
      <c r="N171" s="3">
        <f t="array" ref="N171">INDIRECT("'"&amp;$A171&amp;"'!K11")</f>
        <v/>
      </c>
      <c r="O171" s="3">
        <f t="array" ref="O171">INDIRECT("'"&amp;$A171&amp;"'!L11")</f>
        <v/>
      </c>
      <c r="P171" s="3">
        <f t="array" ref="P171">INDIRECT("'"&amp;$A171&amp;"'!M11")</f>
        <v/>
      </c>
      <c r="Q171" s="3">
        <f t="array" ref="Q171">INDIRECT("'"&amp;$A171&amp;"'!N11")</f>
        <v/>
      </c>
      <c r="R171" s="3">
        <f t="array" ref="R171">INDIRECT("'"&amp;$A171&amp;"'!O11")</f>
        <v/>
      </c>
      <c r="S171" s="3">
        <f t="array" ref="S171">INDIRECT("'"&amp;$A171&amp;"'!P11")</f>
        <v/>
      </c>
      <c r="T171" s="3">
        <f t="array" ref="T171">INDIRECT("'"&amp;$A171&amp;"'!Q11")</f>
        <v/>
      </c>
      <c r="U171" s="3">
        <f t="array" ref="U171">INDIRECT("'"&amp;$A171&amp;"'!R11")</f>
        <v/>
      </c>
      <c r="V171" s="3">
        <f t="array" ref="V171">INDIRECT("'"&amp;$A171&amp;"'!S11")</f>
        <v/>
      </c>
      <c r="W171" s="3">
        <f t="array" ref="W171">INDIRECT("'"&amp;$A171&amp;"'!T11")</f>
        <v/>
      </c>
      <c r="X171" s="3">
        <f t="array" ref="X171">INDIRECT("'"&amp;$A171&amp;"'!U11")</f>
        <v/>
      </c>
      <c r="Y171" s="3">
        <f t="array" ref="Y171">INDIRECT("'"&amp;$A171&amp;"'!V11")</f>
        <v/>
      </c>
      <c r="Z171" s="3">
        <f t="array" ref="Z171">INDIRECT("'"&amp;$A171&amp;"'!W11")</f>
        <v/>
      </c>
      <c r="AA171" s="3">
        <f t="array" ref="AA171">INDIRECT("'"&amp;$A171&amp;"'!X11")</f>
        <v/>
      </c>
      <c r="AB171" s="3">
        <f t="array" ref="AB171">INDIRECT("'"&amp;$A171&amp;"'!Y11")</f>
        <v/>
      </c>
      <c r="AC171" s="3">
        <f t="array" ref="AC171">INDIRECT("'"&amp;$A171&amp;"'!Z11")</f>
        <v/>
      </c>
      <c r="AD171" s="32">
        <f t="array" ref="AD171">INDIRECT("'"&amp;$A171&amp;"'!AA11")</f>
        <v/>
      </c>
      <c r="AE171" s="80">
        <f t="array" ref="AE171">INDIRECT("'"&amp;$A171&amp;"'!J3")</f>
        <v/>
      </c>
      <c r="AF171" s="53">
        <f t="array" ref="AF171">INDIRECT("'"&amp;$A171&amp;"'!AC1")</f>
        <v/>
      </c>
    </row>
    <row r="172" ht="15.75" customHeight="1" thickBot="1">
      <c r="A172" s="58" t="n">
        <v>57</v>
      </c>
      <c r="B172" s="106" t="n"/>
      <c r="C172" s="77">
        <f t="array" ref="C172">CONCATENATE("分 ",INDIRECT("'"&amp;$A171&amp;"'!D6"))</f>
        <v/>
      </c>
      <c r="D172" s="56" t="inlineStr">
        <is>
          <t>3队</t>
        </is>
      </c>
      <c r="E172" s="81">
        <f t="array" ref="E172">INDIRECT("'"&amp;$A171&amp;"'!I4")</f>
        <v/>
      </c>
      <c r="F172" s="52">
        <f t="array" ref="F172">INDIRECT("'"&amp;$A172&amp;"'!C14")</f>
        <v/>
      </c>
      <c r="G172" s="3">
        <f t="array" ref="G172">INDIRECT("'"&amp;$A172&amp;"'!D14")</f>
        <v/>
      </c>
      <c r="H172" s="3">
        <f t="array" ref="H172">INDIRECT("'"&amp;$A172&amp;"'!E14")</f>
        <v/>
      </c>
      <c r="I172" s="3">
        <f t="array" ref="I172">INDIRECT("'"&amp;$A172&amp;"'!F14")</f>
        <v/>
      </c>
      <c r="J172" s="3">
        <f t="array" ref="J172">INDIRECT("'"&amp;$A172&amp;"'!G14")</f>
        <v/>
      </c>
      <c r="K172" s="3">
        <f t="array" ref="K172">INDIRECT("'"&amp;$A172&amp;"'!H14")</f>
        <v/>
      </c>
      <c r="L172" s="3">
        <f t="array" ref="L172">INDIRECT("'"&amp;$A172&amp;"'!I14")</f>
        <v/>
      </c>
      <c r="M172" s="3">
        <f t="array" ref="M172">INDIRECT("'"&amp;$A172&amp;"'!J14")</f>
        <v/>
      </c>
      <c r="N172" s="3">
        <f t="array" ref="N172">INDIRECT("'"&amp;$A172&amp;"'!K14")</f>
        <v/>
      </c>
      <c r="O172" s="3">
        <f t="array" ref="O172">INDIRECT("'"&amp;$A172&amp;"'!L14")</f>
        <v/>
      </c>
      <c r="P172" s="3">
        <f t="array" ref="P172">INDIRECT("'"&amp;$A172&amp;"'!M14")</f>
        <v/>
      </c>
      <c r="Q172" s="3">
        <f t="array" ref="Q172">INDIRECT("'"&amp;$A172&amp;"'!N14")</f>
        <v/>
      </c>
      <c r="R172" s="3">
        <f t="array" ref="R172">INDIRECT("'"&amp;$A172&amp;"'!O14")</f>
        <v/>
      </c>
      <c r="S172" s="3">
        <f t="array" ref="S172">INDIRECT("'"&amp;$A172&amp;"'!P14")</f>
        <v/>
      </c>
      <c r="T172" s="3">
        <f t="array" ref="T172">INDIRECT("'"&amp;$A172&amp;"'!Q14")</f>
        <v/>
      </c>
      <c r="U172" s="3">
        <f t="array" ref="U172">INDIRECT("'"&amp;$A172&amp;"'!R14")</f>
        <v/>
      </c>
      <c r="V172" s="3">
        <f t="array" ref="V172">INDIRECT("'"&amp;$A172&amp;"'!S14")</f>
        <v/>
      </c>
      <c r="W172" s="3">
        <f t="array" ref="W172">INDIRECT("'"&amp;$A172&amp;"'!T14")</f>
        <v/>
      </c>
      <c r="X172" s="3">
        <f t="array" ref="X172">INDIRECT("'"&amp;$A172&amp;"'!U14")</f>
        <v/>
      </c>
      <c r="Y172" s="3">
        <f t="array" ref="Y172">INDIRECT("'"&amp;$A172&amp;"'!V14")</f>
        <v/>
      </c>
      <c r="Z172" s="3">
        <f t="array" ref="Z172">INDIRECT("'"&amp;$A172&amp;"'!W14")</f>
        <v/>
      </c>
      <c r="AA172" s="3">
        <f t="array" ref="AA172">INDIRECT("'"&amp;$A172&amp;"'!X14")</f>
        <v/>
      </c>
      <c r="AB172" s="3">
        <f t="array" ref="AB172">INDIRECT("'"&amp;$A172&amp;"'!Y14")</f>
        <v/>
      </c>
      <c r="AC172" s="3">
        <f t="array" ref="AC172">INDIRECT("'"&amp;$A172&amp;"'!Z14")</f>
        <v/>
      </c>
      <c r="AD172" s="32">
        <f t="array" ref="AD172">INDIRECT("'"&amp;$A172&amp;"'!AA14")</f>
        <v/>
      </c>
      <c r="AE172" s="81">
        <f t="array" ref="AE172">INDIRECT("'"&amp;$A171&amp;"'!J4")</f>
        <v/>
      </c>
      <c r="AF172" s="53" t="n"/>
    </row>
    <row r="173">
      <c r="A173" s="58" t="n">
        <v>58</v>
      </c>
      <c r="B173" s="103">
        <f>INDEX(data!$I$2:$I$98,MATCH(A173*1,data!$G$2:$G$98,0))</f>
        <v/>
      </c>
      <c r="C173" s="66">
        <f>HYPERLINK("#'" &amp; A173 &amp; "'!A1", "编辑")</f>
        <v/>
      </c>
      <c r="D173" s="54" t="inlineStr">
        <is>
          <t>1队</t>
        </is>
      </c>
      <c r="E173" s="79">
        <f t="array" ref="E173">INDIRECT("'"&amp;$A174&amp;"'!I2")</f>
        <v/>
      </c>
      <c r="F173" s="29">
        <f t="array" ref="F173">INDIRECT("'"&amp;$A173&amp;"'!C8")</f>
        <v/>
      </c>
      <c r="G173" s="30">
        <f t="array" ref="G173">INDIRECT("'"&amp;$A173&amp;"'!D8")</f>
        <v/>
      </c>
      <c r="H173" s="30">
        <f t="array" ref="H173">INDIRECT("'"&amp;$A173&amp;"'!E8")</f>
        <v/>
      </c>
      <c r="I173" s="30">
        <f t="array" ref="I173">INDIRECT("'"&amp;$A173&amp;"'!F8")</f>
        <v/>
      </c>
      <c r="J173" s="30">
        <f t="array" ref="J173">INDIRECT("'"&amp;$A173&amp;"'!G8")</f>
        <v/>
      </c>
      <c r="K173" s="30">
        <f t="array" ref="K173">INDIRECT("'"&amp;$A173&amp;"'!H8")</f>
        <v/>
      </c>
      <c r="L173" s="30">
        <f t="array" ref="L173">INDIRECT("'"&amp;$A173&amp;"'!I8")</f>
        <v/>
      </c>
      <c r="M173" s="30">
        <f t="array" ref="M173">INDIRECT("'"&amp;$A173&amp;"'!J8")</f>
        <v/>
      </c>
      <c r="N173" s="30">
        <f t="array" ref="N173">INDIRECT("'"&amp;$A173&amp;"'!K8")</f>
        <v/>
      </c>
      <c r="O173" s="30">
        <f t="array" ref="O173">INDIRECT("'"&amp;$A173&amp;"'!L8")</f>
        <v/>
      </c>
      <c r="P173" s="30">
        <f t="array" ref="P173">INDIRECT("'"&amp;$A173&amp;"'!M8")</f>
        <v/>
      </c>
      <c r="Q173" s="30">
        <f t="array" ref="Q173">INDIRECT("'"&amp;$A173&amp;"'!N8")</f>
        <v/>
      </c>
      <c r="R173" s="30">
        <f t="array" ref="R173">INDIRECT("'"&amp;$A173&amp;"'!O8")</f>
        <v/>
      </c>
      <c r="S173" s="30">
        <f t="array" ref="S173">INDIRECT("'"&amp;$A173&amp;"'!P8")</f>
        <v/>
      </c>
      <c r="T173" s="30">
        <f t="array" ref="T173">INDIRECT("'"&amp;$A173&amp;"'!Q8")</f>
        <v/>
      </c>
      <c r="U173" s="30">
        <f t="array" ref="U173">INDIRECT("'"&amp;$A173&amp;"'!R8")</f>
        <v/>
      </c>
      <c r="V173" s="30">
        <f t="array" ref="V173">INDIRECT("'"&amp;$A173&amp;"'!S8")</f>
        <v/>
      </c>
      <c r="W173" s="30">
        <f t="array" ref="W173">INDIRECT("'"&amp;$A173&amp;"'!T8")</f>
        <v/>
      </c>
      <c r="X173" s="30">
        <f t="array" ref="X173">INDIRECT("'"&amp;$A173&amp;"'!U8")</f>
        <v/>
      </c>
      <c r="Y173" s="30">
        <f t="array" ref="Y173">INDIRECT("'"&amp;$A173&amp;"'!V8")</f>
        <v/>
      </c>
      <c r="Z173" s="30">
        <f t="array" ref="Z173">INDIRECT("'"&amp;$A173&amp;"'!W8")</f>
        <v/>
      </c>
      <c r="AA173" s="30">
        <f t="array" ref="AA173">INDIRECT("'"&amp;$A173&amp;"'!X8")</f>
        <v/>
      </c>
      <c r="AB173" s="30">
        <f t="array" ref="AB173">INDIRECT("'"&amp;$A173&amp;"'!Y8")</f>
        <v/>
      </c>
      <c r="AC173" s="30">
        <f t="array" ref="AC173">INDIRECT("'"&amp;$A173&amp;"'!Z8")</f>
        <v/>
      </c>
      <c r="AD173" s="31">
        <f t="array" ref="AD173">INDIRECT("'"&amp;$A173&amp;"'!AA8")</f>
        <v/>
      </c>
      <c r="AE173" s="79">
        <f t="array" ref="AE173">INDIRECT("'"&amp;$A174&amp;"'!J2")</f>
        <v/>
      </c>
      <c r="AF173" s="53">
        <f t="array" ref="AF173">INDIRECT("'"&amp;$A174&amp;"'!AD1")</f>
        <v/>
      </c>
    </row>
    <row r="174">
      <c r="A174" s="58" t="n">
        <v>58</v>
      </c>
      <c r="B174" s="105" t="n"/>
      <c r="C174" s="67">
        <f t="array" ref="C174">CONCATENATE("粮 ",INDIRECT("'"&amp;$A174&amp;"'!D4"))</f>
        <v/>
      </c>
      <c r="D174" s="55" t="inlineStr">
        <is>
          <t>2队</t>
        </is>
      </c>
      <c r="E174" s="80">
        <f t="array" ref="E174">INDIRECT("'"&amp;$A174&amp;"'!I3")</f>
        <v/>
      </c>
      <c r="F174" s="52">
        <f t="array" ref="F174">INDIRECT("'"&amp;$A174&amp;"'!C11")</f>
        <v/>
      </c>
      <c r="G174" s="3">
        <f t="array" ref="G174">INDIRECT("'"&amp;$A174&amp;"'!D11")</f>
        <v/>
      </c>
      <c r="H174" s="3">
        <f t="array" ref="H174">INDIRECT("'"&amp;$A174&amp;"'!E11")</f>
        <v/>
      </c>
      <c r="I174" s="3">
        <f t="array" ref="I174">INDIRECT("'"&amp;$A174&amp;"'!F11")</f>
        <v/>
      </c>
      <c r="J174" s="3">
        <f t="array" ref="J174">INDIRECT("'"&amp;$A174&amp;"'!G11")</f>
        <v/>
      </c>
      <c r="K174" s="3">
        <f t="array" ref="K174">INDIRECT("'"&amp;$A174&amp;"'!H11")</f>
        <v/>
      </c>
      <c r="L174" s="3">
        <f t="array" ref="L174">INDIRECT("'"&amp;$A174&amp;"'!I11")</f>
        <v/>
      </c>
      <c r="M174" s="3">
        <f t="array" ref="M174">INDIRECT("'"&amp;$A174&amp;"'!J11")</f>
        <v/>
      </c>
      <c r="N174" s="3">
        <f t="array" ref="N174">INDIRECT("'"&amp;$A174&amp;"'!K11")</f>
        <v/>
      </c>
      <c r="O174" s="3">
        <f t="array" ref="O174">INDIRECT("'"&amp;$A174&amp;"'!L11")</f>
        <v/>
      </c>
      <c r="P174" s="3">
        <f t="array" ref="P174">INDIRECT("'"&amp;$A174&amp;"'!M11")</f>
        <v/>
      </c>
      <c r="Q174" s="3">
        <f t="array" ref="Q174">INDIRECT("'"&amp;$A174&amp;"'!N11")</f>
        <v/>
      </c>
      <c r="R174" s="3">
        <f t="array" ref="R174">INDIRECT("'"&amp;$A174&amp;"'!O11")</f>
        <v/>
      </c>
      <c r="S174" s="3">
        <f t="array" ref="S174">INDIRECT("'"&amp;$A174&amp;"'!P11")</f>
        <v/>
      </c>
      <c r="T174" s="3">
        <f t="array" ref="T174">INDIRECT("'"&amp;$A174&amp;"'!Q11")</f>
        <v/>
      </c>
      <c r="U174" s="3">
        <f t="array" ref="U174">INDIRECT("'"&amp;$A174&amp;"'!R11")</f>
        <v/>
      </c>
      <c r="V174" s="3">
        <f t="array" ref="V174">INDIRECT("'"&amp;$A174&amp;"'!S11")</f>
        <v/>
      </c>
      <c r="W174" s="3">
        <f t="array" ref="W174">INDIRECT("'"&amp;$A174&amp;"'!T11")</f>
        <v/>
      </c>
      <c r="X174" s="3">
        <f t="array" ref="X174">INDIRECT("'"&amp;$A174&amp;"'!U11")</f>
        <v/>
      </c>
      <c r="Y174" s="3">
        <f t="array" ref="Y174">INDIRECT("'"&amp;$A174&amp;"'!V11")</f>
        <v/>
      </c>
      <c r="Z174" s="3">
        <f t="array" ref="Z174">INDIRECT("'"&amp;$A174&amp;"'!W11")</f>
        <v/>
      </c>
      <c r="AA174" s="3">
        <f t="array" ref="AA174">INDIRECT("'"&amp;$A174&amp;"'!X11")</f>
        <v/>
      </c>
      <c r="AB174" s="3">
        <f t="array" ref="AB174">INDIRECT("'"&amp;$A174&amp;"'!Y11")</f>
        <v/>
      </c>
      <c r="AC174" s="3">
        <f t="array" ref="AC174">INDIRECT("'"&amp;$A174&amp;"'!Z11")</f>
        <v/>
      </c>
      <c r="AD174" s="32">
        <f t="array" ref="AD174">INDIRECT("'"&amp;$A174&amp;"'!AA11")</f>
        <v/>
      </c>
      <c r="AE174" s="80">
        <f t="array" ref="AE174">INDIRECT("'"&amp;$A174&amp;"'!J3")</f>
        <v/>
      </c>
      <c r="AF174" s="53">
        <f t="array" ref="AF174">INDIRECT("'"&amp;$A174&amp;"'!AC1")</f>
        <v/>
      </c>
    </row>
    <row r="175" ht="15.75" customHeight="1" thickBot="1">
      <c r="A175" s="58" t="n">
        <v>58</v>
      </c>
      <c r="B175" s="106" t="n"/>
      <c r="C175" s="77">
        <f t="array" ref="C175">CONCATENATE("分 ",INDIRECT("'"&amp;$A174&amp;"'!D6"))</f>
        <v/>
      </c>
      <c r="D175" s="56" t="inlineStr">
        <is>
          <t>3队</t>
        </is>
      </c>
      <c r="E175" s="81">
        <f t="array" ref="E175">INDIRECT("'"&amp;$A174&amp;"'!I4")</f>
        <v/>
      </c>
      <c r="F175" s="52">
        <f t="array" ref="F175">INDIRECT("'"&amp;$A175&amp;"'!C14")</f>
        <v/>
      </c>
      <c r="G175" s="3">
        <f t="array" ref="G175">INDIRECT("'"&amp;$A175&amp;"'!D14")</f>
        <v/>
      </c>
      <c r="H175" s="3">
        <f t="array" ref="H175">INDIRECT("'"&amp;$A175&amp;"'!E14")</f>
        <v/>
      </c>
      <c r="I175" s="3">
        <f t="array" ref="I175">INDIRECT("'"&amp;$A175&amp;"'!F14")</f>
        <v/>
      </c>
      <c r="J175" s="3">
        <f t="array" ref="J175">INDIRECT("'"&amp;$A175&amp;"'!G14")</f>
        <v/>
      </c>
      <c r="K175" s="3">
        <f t="array" ref="K175">INDIRECT("'"&amp;$A175&amp;"'!H14")</f>
        <v/>
      </c>
      <c r="L175" s="3">
        <f t="array" ref="L175">INDIRECT("'"&amp;$A175&amp;"'!I14")</f>
        <v/>
      </c>
      <c r="M175" s="3">
        <f t="array" ref="M175">INDIRECT("'"&amp;$A175&amp;"'!J14")</f>
        <v/>
      </c>
      <c r="N175" s="3">
        <f t="array" ref="N175">INDIRECT("'"&amp;$A175&amp;"'!K14")</f>
        <v/>
      </c>
      <c r="O175" s="3">
        <f t="array" ref="O175">INDIRECT("'"&amp;$A175&amp;"'!L14")</f>
        <v/>
      </c>
      <c r="P175" s="3">
        <f t="array" ref="P175">INDIRECT("'"&amp;$A175&amp;"'!M14")</f>
        <v/>
      </c>
      <c r="Q175" s="3">
        <f t="array" ref="Q175">INDIRECT("'"&amp;$A175&amp;"'!N14")</f>
        <v/>
      </c>
      <c r="R175" s="3">
        <f t="array" ref="R175">INDIRECT("'"&amp;$A175&amp;"'!O14")</f>
        <v/>
      </c>
      <c r="S175" s="3">
        <f t="array" ref="S175">INDIRECT("'"&amp;$A175&amp;"'!P14")</f>
        <v/>
      </c>
      <c r="T175" s="3">
        <f t="array" ref="T175">INDIRECT("'"&amp;$A175&amp;"'!Q14")</f>
        <v/>
      </c>
      <c r="U175" s="3">
        <f t="array" ref="U175">INDIRECT("'"&amp;$A175&amp;"'!R14")</f>
        <v/>
      </c>
      <c r="V175" s="3">
        <f t="array" ref="V175">INDIRECT("'"&amp;$A175&amp;"'!S14")</f>
        <v/>
      </c>
      <c r="W175" s="3">
        <f t="array" ref="W175">INDIRECT("'"&amp;$A175&amp;"'!T14")</f>
        <v/>
      </c>
      <c r="X175" s="3">
        <f t="array" ref="X175">INDIRECT("'"&amp;$A175&amp;"'!U14")</f>
        <v/>
      </c>
      <c r="Y175" s="3">
        <f t="array" ref="Y175">INDIRECT("'"&amp;$A175&amp;"'!V14")</f>
        <v/>
      </c>
      <c r="Z175" s="3">
        <f t="array" ref="Z175">INDIRECT("'"&amp;$A175&amp;"'!W14")</f>
        <v/>
      </c>
      <c r="AA175" s="3">
        <f t="array" ref="AA175">INDIRECT("'"&amp;$A175&amp;"'!X14")</f>
        <v/>
      </c>
      <c r="AB175" s="3">
        <f t="array" ref="AB175">INDIRECT("'"&amp;$A175&amp;"'!Y14")</f>
        <v/>
      </c>
      <c r="AC175" s="3">
        <f t="array" ref="AC175">INDIRECT("'"&amp;$A175&amp;"'!Z14")</f>
        <v/>
      </c>
      <c r="AD175" s="32">
        <f t="array" ref="AD175">INDIRECT("'"&amp;$A175&amp;"'!AA14")</f>
        <v/>
      </c>
      <c r="AE175" s="81">
        <f t="array" ref="AE175">INDIRECT("'"&amp;$A174&amp;"'!J4")</f>
        <v/>
      </c>
      <c r="AF175" s="53" t="n"/>
    </row>
    <row r="176">
      <c r="A176" s="58" t="n">
        <v>59</v>
      </c>
      <c r="B176" s="103">
        <f>INDEX(data!$I$2:$I$98,MATCH(A176*1,data!$G$2:$G$98,0))</f>
        <v/>
      </c>
      <c r="C176" s="66">
        <f>HYPERLINK("#'" &amp; A176 &amp; "'!A1", "编辑")</f>
        <v/>
      </c>
      <c r="D176" s="54" t="inlineStr">
        <is>
          <t>1队</t>
        </is>
      </c>
      <c r="E176" s="79">
        <f t="array" ref="E176">INDIRECT("'"&amp;$A177&amp;"'!I2")</f>
        <v/>
      </c>
      <c r="F176" s="29">
        <f t="array" ref="F176">INDIRECT("'"&amp;$A176&amp;"'!C8")</f>
        <v/>
      </c>
      <c r="G176" s="30">
        <f t="array" ref="G176">INDIRECT("'"&amp;$A176&amp;"'!D8")</f>
        <v/>
      </c>
      <c r="H176" s="30">
        <f t="array" ref="H176">INDIRECT("'"&amp;$A176&amp;"'!E8")</f>
        <v/>
      </c>
      <c r="I176" s="30">
        <f t="array" ref="I176">INDIRECT("'"&amp;$A176&amp;"'!F8")</f>
        <v/>
      </c>
      <c r="J176" s="30">
        <f t="array" ref="J176">INDIRECT("'"&amp;$A176&amp;"'!G8")</f>
        <v/>
      </c>
      <c r="K176" s="30">
        <f t="array" ref="K176">INDIRECT("'"&amp;$A176&amp;"'!H8")</f>
        <v/>
      </c>
      <c r="L176" s="30">
        <f t="array" ref="L176">INDIRECT("'"&amp;$A176&amp;"'!I8")</f>
        <v/>
      </c>
      <c r="M176" s="30">
        <f t="array" ref="M176">INDIRECT("'"&amp;$A176&amp;"'!J8")</f>
        <v/>
      </c>
      <c r="N176" s="30">
        <f t="array" ref="N176">INDIRECT("'"&amp;$A176&amp;"'!K8")</f>
        <v/>
      </c>
      <c r="O176" s="30">
        <f t="array" ref="O176">INDIRECT("'"&amp;$A176&amp;"'!L8")</f>
        <v/>
      </c>
      <c r="P176" s="30">
        <f t="array" ref="P176">INDIRECT("'"&amp;$A176&amp;"'!M8")</f>
        <v/>
      </c>
      <c r="Q176" s="30">
        <f t="array" ref="Q176">INDIRECT("'"&amp;$A176&amp;"'!N8")</f>
        <v/>
      </c>
      <c r="R176" s="30">
        <f t="array" ref="R176">INDIRECT("'"&amp;$A176&amp;"'!O8")</f>
        <v/>
      </c>
      <c r="S176" s="30">
        <f t="array" ref="S176">INDIRECT("'"&amp;$A176&amp;"'!P8")</f>
        <v/>
      </c>
      <c r="T176" s="30">
        <f t="array" ref="T176">INDIRECT("'"&amp;$A176&amp;"'!Q8")</f>
        <v/>
      </c>
      <c r="U176" s="30">
        <f t="array" ref="U176">INDIRECT("'"&amp;$A176&amp;"'!R8")</f>
        <v/>
      </c>
      <c r="V176" s="30">
        <f t="array" ref="V176">INDIRECT("'"&amp;$A176&amp;"'!S8")</f>
        <v/>
      </c>
      <c r="W176" s="30">
        <f t="array" ref="W176">INDIRECT("'"&amp;$A176&amp;"'!T8")</f>
        <v/>
      </c>
      <c r="X176" s="30">
        <f t="array" ref="X176">INDIRECT("'"&amp;$A176&amp;"'!U8")</f>
        <v/>
      </c>
      <c r="Y176" s="30">
        <f t="array" ref="Y176">INDIRECT("'"&amp;$A176&amp;"'!V8")</f>
        <v/>
      </c>
      <c r="Z176" s="30">
        <f t="array" ref="Z176">INDIRECT("'"&amp;$A176&amp;"'!W8")</f>
        <v/>
      </c>
      <c r="AA176" s="30">
        <f t="array" ref="AA176">INDIRECT("'"&amp;$A176&amp;"'!X8")</f>
        <v/>
      </c>
      <c r="AB176" s="30">
        <f t="array" ref="AB176">INDIRECT("'"&amp;$A176&amp;"'!Y8")</f>
        <v/>
      </c>
      <c r="AC176" s="30">
        <f t="array" ref="AC176">INDIRECT("'"&amp;$A176&amp;"'!Z8")</f>
        <v/>
      </c>
      <c r="AD176" s="31">
        <f t="array" ref="AD176">INDIRECT("'"&amp;$A176&amp;"'!AA8")</f>
        <v/>
      </c>
      <c r="AE176" s="79">
        <f t="array" ref="AE176">INDIRECT("'"&amp;$A177&amp;"'!J2")</f>
        <v/>
      </c>
      <c r="AF176" s="53">
        <f t="array" ref="AF176">INDIRECT("'"&amp;$A177&amp;"'!AD1")</f>
        <v/>
      </c>
    </row>
    <row r="177">
      <c r="A177" s="58" t="n">
        <v>59</v>
      </c>
      <c r="B177" s="105" t="n"/>
      <c r="C177" s="67">
        <f t="array" ref="C177">CONCATENATE("粮 ",INDIRECT("'"&amp;$A177&amp;"'!D4"))</f>
        <v/>
      </c>
      <c r="D177" s="55" t="inlineStr">
        <is>
          <t>2队</t>
        </is>
      </c>
      <c r="E177" s="80">
        <f t="array" ref="E177">INDIRECT("'"&amp;$A177&amp;"'!I3")</f>
        <v/>
      </c>
      <c r="F177" s="52">
        <f t="array" ref="F177">INDIRECT("'"&amp;$A177&amp;"'!C11")</f>
        <v/>
      </c>
      <c r="G177" s="3">
        <f t="array" ref="G177">INDIRECT("'"&amp;$A177&amp;"'!D11")</f>
        <v/>
      </c>
      <c r="H177" s="3">
        <f t="array" ref="H177">INDIRECT("'"&amp;$A177&amp;"'!E11")</f>
        <v/>
      </c>
      <c r="I177" s="3">
        <f t="array" ref="I177">INDIRECT("'"&amp;$A177&amp;"'!F11")</f>
        <v/>
      </c>
      <c r="J177" s="3">
        <f t="array" ref="J177">INDIRECT("'"&amp;$A177&amp;"'!G11")</f>
        <v/>
      </c>
      <c r="K177" s="3">
        <f t="array" ref="K177">INDIRECT("'"&amp;$A177&amp;"'!H11")</f>
        <v/>
      </c>
      <c r="L177" s="3">
        <f t="array" ref="L177">INDIRECT("'"&amp;$A177&amp;"'!I11")</f>
        <v/>
      </c>
      <c r="M177" s="3">
        <f t="array" ref="M177">INDIRECT("'"&amp;$A177&amp;"'!J11")</f>
        <v/>
      </c>
      <c r="N177" s="3">
        <f t="array" ref="N177">INDIRECT("'"&amp;$A177&amp;"'!K11")</f>
        <v/>
      </c>
      <c r="O177" s="3">
        <f t="array" ref="O177">INDIRECT("'"&amp;$A177&amp;"'!L11")</f>
        <v/>
      </c>
      <c r="P177" s="3">
        <f t="array" ref="P177">INDIRECT("'"&amp;$A177&amp;"'!M11")</f>
        <v/>
      </c>
      <c r="Q177" s="3">
        <f t="array" ref="Q177">INDIRECT("'"&amp;$A177&amp;"'!N11")</f>
        <v/>
      </c>
      <c r="R177" s="3">
        <f t="array" ref="R177">INDIRECT("'"&amp;$A177&amp;"'!O11")</f>
        <v/>
      </c>
      <c r="S177" s="3">
        <f t="array" ref="S177">INDIRECT("'"&amp;$A177&amp;"'!P11")</f>
        <v/>
      </c>
      <c r="T177" s="3">
        <f t="array" ref="T177">INDIRECT("'"&amp;$A177&amp;"'!Q11")</f>
        <v/>
      </c>
      <c r="U177" s="3">
        <f t="array" ref="U177">INDIRECT("'"&amp;$A177&amp;"'!R11")</f>
        <v/>
      </c>
      <c r="V177" s="3">
        <f t="array" ref="V177">INDIRECT("'"&amp;$A177&amp;"'!S11")</f>
        <v/>
      </c>
      <c r="W177" s="3">
        <f t="array" ref="W177">INDIRECT("'"&amp;$A177&amp;"'!T11")</f>
        <v/>
      </c>
      <c r="X177" s="3">
        <f t="array" ref="X177">INDIRECT("'"&amp;$A177&amp;"'!U11")</f>
        <v/>
      </c>
      <c r="Y177" s="3">
        <f t="array" ref="Y177">INDIRECT("'"&amp;$A177&amp;"'!V11")</f>
        <v/>
      </c>
      <c r="Z177" s="3">
        <f t="array" ref="Z177">INDIRECT("'"&amp;$A177&amp;"'!W11")</f>
        <v/>
      </c>
      <c r="AA177" s="3">
        <f t="array" ref="AA177">INDIRECT("'"&amp;$A177&amp;"'!X11")</f>
        <v/>
      </c>
      <c r="AB177" s="3">
        <f t="array" ref="AB177">INDIRECT("'"&amp;$A177&amp;"'!Y11")</f>
        <v/>
      </c>
      <c r="AC177" s="3">
        <f t="array" ref="AC177">INDIRECT("'"&amp;$A177&amp;"'!Z11")</f>
        <v/>
      </c>
      <c r="AD177" s="32">
        <f t="array" ref="AD177">INDIRECT("'"&amp;$A177&amp;"'!AA11")</f>
        <v/>
      </c>
      <c r="AE177" s="80">
        <f t="array" ref="AE177">INDIRECT("'"&amp;$A177&amp;"'!J3")</f>
        <v/>
      </c>
      <c r="AF177" s="53">
        <f t="array" ref="AF177">INDIRECT("'"&amp;$A177&amp;"'!AC1")</f>
        <v/>
      </c>
    </row>
    <row r="178" ht="15.75" customHeight="1" thickBot="1">
      <c r="A178" s="58" t="n">
        <v>59</v>
      </c>
      <c r="B178" s="106" t="n"/>
      <c r="C178" s="77">
        <f t="array" ref="C178">CONCATENATE("分 ",INDIRECT("'"&amp;$A177&amp;"'!D6"))</f>
        <v/>
      </c>
      <c r="D178" s="56" t="inlineStr">
        <is>
          <t>3队</t>
        </is>
      </c>
      <c r="E178" s="81">
        <f t="array" ref="E178">INDIRECT("'"&amp;$A177&amp;"'!I4")</f>
        <v/>
      </c>
      <c r="F178" s="52">
        <f t="array" ref="F178">INDIRECT("'"&amp;$A178&amp;"'!C14")</f>
        <v/>
      </c>
      <c r="G178" s="3">
        <f t="array" ref="G178">INDIRECT("'"&amp;$A178&amp;"'!D14")</f>
        <v/>
      </c>
      <c r="H178" s="3">
        <f t="array" ref="H178">INDIRECT("'"&amp;$A178&amp;"'!E14")</f>
        <v/>
      </c>
      <c r="I178" s="3">
        <f t="array" ref="I178">INDIRECT("'"&amp;$A178&amp;"'!F14")</f>
        <v/>
      </c>
      <c r="J178" s="3">
        <f t="array" ref="J178">INDIRECT("'"&amp;$A178&amp;"'!G14")</f>
        <v/>
      </c>
      <c r="K178" s="3">
        <f t="array" ref="K178">INDIRECT("'"&amp;$A178&amp;"'!H14")</f>
        <v/>
      </c>
      <c r="L178" s="3">
        <f t="array" ref="L178">INDIRECT("'"&amp;$A178&amp;"'!I14")</f>
        <v/>
      </c>
      <c r="M178" s="3">
        <f t="array" ref="M178">INDIRECT("'"&amp;$A178&amp;"'!J14")</f>
        <v/>
      </c>
      <c r="N178" s="3">
        <f t="array" ref="N178">INDIRECT("'"&amp;$A178&amp;"'!K14")</f>
        <v/>
      </c>
      <c r="O178" s="3">
        <f t="array" ref="O178">INDIRECT("'"&amp;$A178&amp;"'!L14")</f>
        <v/>
      </c>
      <c r="P178" s="3">
        <f t="array" ref="P178">INDIRECT("'"&amp;$A178&amp;"'!M14")</f>
        <v/>
      </c>
      <c r="Q178" s="3">
        <f t="array" ref="Q178">INDIRECT("'"&amp;$A178&amp;"'!N14")</f>
        <v/>
      </c>
      <c r="R178" s="3">
        <f t="array" ref="R178">INDIRECT("'"&amp;$A178&amp;"'!O14")</f>
        <v/>
      </c>
      <c r="S178" s="3">
        <f t="array" ref="S178">INDIRECT("'"&amp;$A178&amp;"'!P14")</f>
        <v/>
      </c>
      <c r="T178" s="3">
        <f t="array" ref="T178">INDIRECT("'"&amp;$A178&amp;"'!Q14")</f>
        <v/>
      </c>
      <c r="U178" s="3">
        <f t="array" ref="U178">INDIRECT("'"&amp;$A178&amp;"'!R14")</f>
        <v/>
      </c>
      <c r="V178" s="3">
        <f t="array" ref="V178">INDIRECT("'"&amp;$A178&amp;"'!S14")</f>
        <v/>
      </c>
      <c r="W178" s="3">
        <f t="array" ref="W178">INDIRECT("'"&amp;$A178&amp;"'!T14")</f>
        <v/>
      </c>
      <c r="X178" s="3">
        <f t="array" ref="X178">INDIRECT("'"&amp;$A178&amp;"'!U14")</f>
        <v/>
      </c>
      <c r="Y178" s="3">
        <f t="array" ref="Y178">INDIRECT("'"&amp;$A178&amp;"'!V14")</f>
        <v/>
      </c>
      <c r="Z178" s="3">
        <f t="array" ref="Z178">INDIRECT("'"&amp;$A178&amp;"'!W14")</f>
        <v/>
      </c>
      <c r="AA178" s="3">
        <f t="array" ref="AA178">INDIRECT("'"&amp;$A178&amp;"'!X14")</f>
        <v/>
      </c>
      <c r="AB178" s="3">
        <f t="array" ref="AB178">INDIRECT("'"&amp;$A178&amp;"'!Y14")</f>
        <v/>
      </c>
      <c r="AC178" s="3">
        <f t="array" ref="AC178">INDIRECT("'"&amp;$A178&amp;"'!Z14")</f>
        <v/>
      </c>
      <c r="AD178" s="32">
        <f t="array" ref="AD178">INDIRECT("'"&amp;$A178&amp;"'!AA14")</f>
        <v/>
      </c>
      <c r="AE178" s="81">
        <f t="array" ref="AE178">INDIRECT("'"&amp;$A177&amp;"'!J4")</f>
        <v/>
      </c>
      <c r="AF178" s="53" t="n"/>
    </row>
    <row r="179">
      <c r="A179" s="58" t="n">
        <v>60</v>
      </c>
      <c r="B179" s="103">
        <f>INDEX(data!$I$2:$I$98,MATCH(A179*1,data!$G$2:$G$98,0))</f>
        <v/>
      </c>
      <c r="C179" s="66">
        <f>HYPERLINK("#'" &amp; A179 &amp; "'!A1", "编辑")</f>
        <v/>
      </c>
      <c r="D179" s="54" t="inlineStr">
        <is>
          <t>1队</t>
        </is>
      </c>
      <c r="E179" s="79">
        <f t="array" ref="E179">INDIRECT("'"&amp;$A180&amp;"'!I2")</f>
        <v/>
      </c>
      <c r="F179" s="29">
        <f t="array" ref="F179">INDIRECT("'"&amp;$A179&amp;"'!C8")</f>
        <v/>
      </c>
      <c r="G179" s="30">
        <f t="array" ref="G179">INDIRECT("'"&amp;$A179&amp;"'!D8")</f>
        <v/>
      </c>
      <c r="H179" s="30">
        <f t="array" ref="H179">INDIRECT("'"&amp;$A179&amp;"'!E8")</f>
        <v/>
      </c>
      <c r="I179" s="30">
        <f t="array" ref="I179">INDIRECT("'"&amp;$A179&amp;"'!F8")</f>
        <v/>
      </c>
      <c r="J179" s="30">
        <f t="array" ref="J179">INDIRECT("'"&amp;$A179&amp;"'!G8")</f>
        <v/>
      </c>
      <c r="K179" s="30">
        <f t="array" ref="K179">INDIRECT("'"&amp;$A179&amp;"'!H8")</f>
        <v/>
      </c>
      <c r="L179" s="30">
        <f t="array" ref="L179">INDIRECT("'"&amp;$A179&amp;"'!I8")</f>
        <v/>
      </c>
      <c r="M179" s="30">
        <f t="array" ref="M179">INDIRECT("'"&amp;$A179&amp;"'!J8")</f>
        <v/>
      </c>
      <c r="N179" s="30">
        <f t="array" ref="N179">INDIRECT("'"&amp;$A179&amp;"'!K8")</f>
        <v/>
      </c>
      <c r="O179" s="30">
        <f t="array" ref="O179">INDIRECT("'"&amp;$A179&amp;"'!L8")</f>
        <v/>
      </c>
      <c r="P179" s="30">
        <f t="array" ref="P179">INDIRECT("'"&amp;$A179&amp;"'!M8")</f>
        <v/>
      </c>
      <c r="Q179" s="30">
        <f t="array" ref="Q179">INDIRECT("'"&amp;$A179&amp;"'!N8")</f>
        <v/>
      </c>
      <c r="R179" s="30">
        <f t="array" ref="R179">INDIRECT("'"&amp;$A179&amp;"'!O8")</f>
        <v/>
      </c>
      <c r="S179" s="30">
        <f t="array" ref="S179">INDIRECT("'"&amp;$A179&amp;"'!P8")</f>
        <v/>
      </c>
      <c r="T179" s="30">
        <f t="array" ref="T179">INDIRECT("'"&amp;$A179&amp;"'!Q8")</f>
        <v/>
      </c>
      <c r="U179" s="30">
        <f t="array" ref="U179">INDIRECT("'"&amp;$A179&amp;"'!R8")</f>
        <v/>
      </c>
      <c r="V179" s="30">
        <f t="array" ref="V179">INDIRECT("'"&amp;$A179&amp;"'!S8")</f>
        <v/>
      </c>
      <c r="W179" s="30">
        <f t="array" ref="W179">INDIRECT("'"&amp;$A179&amp;"'!T8")</f>
        <v/>
      </c>
      <c r="X179" s="30">
        <f t="array" ref="X179">INDIRECT("'"&amp;$A179&amp;"'!U8")</f>
        <v/>
      </c>
      <c r="Y179" s="30">
        <f t="array" ref="Y179">INDIRECT("'"&amp;$A179&amp;"'!V8")</f>
        <v/>
      </c>
      <c r="Z179" s="30">
        <f t="array" ref="Z179">INDIRECT("'"&amp;$A179&amp;"'!W8")</f>
        <v/>
      </c>
      <c r="AA179" s="30">
        <f t="array" ref="AA179">INDIRECT("'"&amp;$A179&amp;"'!X8")</f>
        <v/>
      </c>
      <c r="AB179" s="30">
        <f t="array" ref="AB179">INDIRECT("'"&amp;$A179&amp;"'!Y8")</f>
        <v/>
      </c>
      <c r="AC179" s="30">
        <f t="array" ref="AC179">INDIRECT("'"&amp;$A179&amp;"'!Z8")</f>
        <v/>
      </c>
      <c r="AD179" s="31">
        <f t="array" ref="AD179">INDIRECT("'"&amp;$A179&amp;"'!AA8")</f>
        <v/>
      </c>
      <c r="AE179" s="79">
        <f t="array" ref="AE179">INDIRECT("'"&amp;$A180&amp;"'!J2")</f>
        <v/>
      </c>
      <c r="AF179" s="53">
        <f t="array" ref="AF179">INDIRECT("'"&amp;$A180&amp;"'!AD1")</f>
        <v/>
      </c>
    </row>
    <row r="180">
      <c r="A180" s="58" t="n">
        <v>60</v>
      </c>
      <c r="B180" s="105" t="n"/>
      <c r="C180" s="67">
        <f t="array" ref="C180">CONCATENATE("粮 ",INDIRECT("'"&amp;$A180&amp;"'!D4"))</f>
        <v/>
      </c>
      <c r="D180" s="55" t="inlineStr">
        <is>
          <t>2队</t>
        </is>
      </c>
      <c r="E180" s="80">
        <f t="array" ref="E180">INDIRECT("'"&amp;$A180&amp;"'!I3")</f>
        <v/>
      </c>
      <c r="F180" s="52">
        <f t="array" ref="F180">INDIRECT("'"&amp;$A180&amp;"'!C11")</f>
        <v/>
      </c>
      <c r="G180" s="3">
        <f t="array" ref="G180">INDIRECT("'"&amp;$A180&amp;"'!D11")</f>
        <v/>
      </c>
      <c r="H180" s="3">
        <f t="array" ref="H180">INDIRECT("'"&amp;$A180&amp;"'!E11")</f>
        <v/>
      </c>
      <c r="I180" s="3">
        <f t="array" ref="I180">INDIRECT("'"&amp;$A180&amp;"'!F11")</f>
        <v/>
      </c>
      <c r="J180" s="3">
        <f t="array" ref="J180">INDIRECT("'"&amp;$A180&amp;"'!G11")</f>
        <v/>
      </c>
      <c r="K180" s="3">
        <f t="array" ref="K180">INDIRECT("'"&amp;$A180&amp;"'!H11")</f>
        <v/>
      </c>
      <c r="L180" s="3">
        <f t="array" ref="L180">INDIRECT("'"&amp;$A180&amp;"'!I11")</f>
        <v/>
      </c>
      <c r="M180" s="3">
        <f t="array" ref="M180">INDIRECT("'"&amp;$A180&amp;"'!J11")</f>
        <v/>
      </c>
      <c r="N180" s="3">
        <f t="array" ref="N180">INDIRECT("'"&amp;$A180&amp;"'!K11")</f>
        <v/>
      </c>
      <c r="O180" s="3">
        <f t="array" ref="O180">INDIRECT("'"&amp;$A180&amp;"'!L11")</f>
        <v/>
      </c>
      <c r="P180" s="3">
        <f t="array" ref="P180">INDIRECT("'"&amp;$A180&amp;"'!M11")</f>
        <v/>
      </c>
      <c r="Q180" s="3">
        <f t="array" ref="Q180">INDIRECT("'"&amp;$A180&amp;"'!N11")</f>
        <v/>
      </c>
      <c r="R180" s="3">
        <f t="array" ref="R180">INDIRECT("'"&amp;$A180&amp;"'!O11")</f>
        <v/>
      </c>
      <c r="S180" s="3">
        <f t="array" ref="S180">INDIRECT("'"&amp;$A180&amp;"'!P11")</f>
        <v/>
      </c>
      <c r="T180" s="3">
        <f t="array" ref="T180">INDIRECT("'"&amp;$A180&amp;"'!Q11")</f>
        <v/>
      </c>
      <c r="U180" s="3">
        <f t="array" ref="U180">INDIRECT("'"&amp;$A180&amp;"'!R11")</f>
        <v/>
      </c>
      <c r="V180" s="3">
        <f t="array" ref="V180">INDIRECT("'"&amp;$A180&amp;"'!S11")</f>
        <v/>
      </c>
      <c r="W180" s="3">
        <f t="array" ref="W180">INDIRECT("'"&amp;$A180&amp;"'!T11")</f>
        <v/>
      </c>
      <c r="X180" s="3">
        <f t="array" ref="X180">INDIRECT("'"&amp;$A180&amp;"'!U11")</f>
        <v/>
      </c>
      <c r="Y180" s="3">
        <f t="array" ref="Y180">INDIRECT("'"&amp;$A180&amp;"'!V11")</f>
        <v/>
      </c>
      <c r="Z180" s="3">
        <f t="array" ref="Z180">INDIRECT("'"&amp;$A180&amp;"'!W11")</f>
        <v/>
      </c>
      <c r="AA180" s="3">
        <f t="array" ref="AA180">INDIRECT("'"&amp;$A180&amp;"'!X11")</f>
        <v/>
      </c>
      <c r="AB180" s="3">
        <f t="array" ref="AB180">INDIRECT("'"&amp;$A180&amp;"'!Y11")</f>
        <v/>
      </c>
      <c r="AC180" s="3">
        <f t="array" ref="AC180">INDIRECT("'"&amp;$A180&amp;"'!Z11")</f>
        <v/>
      </c>
      <c r="AD180" s="32">
        <f t="array" ref="AD180">INDIRECT("'"&amp;$A180&amp;"'!AA11")</f>
        <v/>
      </c>
      <c r="AE180" s="80">
        <f t="array" ref="AE180">INDIRECT("'"&amp;$A180&amp;"'!J3")</f>
        <v/>
      </c>
      <c r="AF180" s="53">
        <f t="array" ref="AF180">INDIRECT("'"&amp;$A180&amp;"'!AC1")</f>
        <v/>
      </c>
    </row>
    <row r="181" ht="15.75" customHeight="1" thickBot="1">
      <c r="A181" s="58" t="n">
        <v>60</v>
      </c>
      <c r="B181" s="106" t="n"/>
      <c r="C181" s="77">
        <f t="array" ref="C181">CONCATENATE("分 ",INDIRECT("'"&amp;$A180&amp;"'!D6"))</f>
        <v/>
      </c>
      <c r="D181" s="56" t="inlineStr">
        <is>
          <t>3队</t>
        </is>
      </c>
      <c r="E181" s="81">
        <f t="array" ref="E181">INDIRECT("'"&amp;$A180&amp;"'!I4")</f>
        <v/>
      </c>
      <c r="F181" s="52">
        <f t="array" ref="F181">INDIRECT("'"&amp;$A181&amp;"'!C14")</f>
        <v/>
      </c>
      <c r="G181" s="3">
        <f t="array" ref="G181">INDIRECT("'"&amp;$A181&amp;"'!D14")</f>
        <v/>
      </c>
      <c r="H181" s="3">
        <f t="array" ref="H181">INDIRECT("'"&amp;$A181&amp;"'!E14")</f>
        <v/>
      </c>
      <c r="I181" s="3">
        <f t="array" ref="I181">INDIRECT("'"&amp;$A181&amp;"'!F14")</f>
        <v/>
      </c>
      <c r="J181" s="3">
        <f t="array" ref="J181">INDIRECT("'"&amp;$A181&amp;"'!G14")</f>
        <v/>
      </c>
      <c r="K181" s="3">
        <f t="array" ref="K181">INDIRECT("'"&amp;$A181&amp;"'!H14")</f>
        <v/>
      </c>
      <c r="L181" s="3">
        <f t="array" ref="L181">INDIRECT("'"&amp;$A181&amp;"'!I14")</f>
        <v/>
      </c>
      <c r="M181" s="3">
        <f t="array" ref="M181">INDIRECT("'"&amp;$A181&amp;"'!J14")</f>
        <v/>
      </c>
      <c r="N181" s="3">
        <f t="array" ref="N181">INDIRECT("'"&amp;$A181&amp;"'!K14")</f>
        <v/>
      </c>
      <c r="O181" s="3">
        <f t="array" ref="O181">INDIRECT("'"&amp;$A181&amp;"'!L14")</f>
        <v/>
      </c>
      <c r="P181" s="3">
        <f t="array" ref="P181">INDIRECT("'"&amp;$A181&amp;"'!M14")</f>
        <v/>
      </c>
      <c r="Q181" s="3">
        <f t="array" ref="Q181">INDIRECT("'"&amp;$A181&amp;"'!N14")</f>
        <v/>
      </c>
      <c r="R181" s="3">
        <f t="array" ref="R181">INDIRECT("'"&amp;$A181&amp;"'!O14")</f>
        <v/>
      </c>
      <c r="S181" s="3">
        <f t="array" ref="S181">INDIRECT("'"&amp;$A181&amp;"'!P14")</f>
        <v/>
      </c>
      <c r="T181" s="3">
        <f t="array" ref="T181">INDIRECT("'"&amp;$A181&amp;"'!Q14")</f>
        <v/>
      </c>
      <c r="U181" s="3">
        <f t="array" ref="U181">INDIRECT("'"&amp;$A181&amp;"'!R14")</f>
        <v/>
      </c>
      <c r="V181" s="3">
        <f t="array" ref="V181">INDIRECT("'"&amp;$A181&amp;"'!S14")</f>
        <v/>
      </c>
      <c r="W181" s="3">
        <f t="array" ref="W181">INDIRECT("'"&amp;$A181&amp;"'!T14")</f>
        <v/>
      </c>
      <c r="X181" s="3">
        <f t="array" ref="X181">INDIRECT("'"&amp;$A181&amp;"'!U14")</f>
        <v/>
      </c>
      <c r="Y181" s="3">
        <f t="array" ref="Y181">INDIRECT("'"&amp;$A181&amp;"'!V14")</f>
        <v/>
      </c>
      <c r="Z181" s="3">
        <f t="array" ref="Z181">INDIRECT("'"&amp;$A181&amp;"'!W14")</f>
        <v/>
      </c>
      <c r="AA181" s="3">
        <f t="array" ref="AA181">INDIRECT("'"&amp;$A181&amp;"'!X14")</f>
        <v/>
      </c>
      <c r="AB181" s="3">
        <f t="array" ref="AB181">INDIRECT("'"&amp;$A181&amp;"'!Y14")</f>
        <v/>
      </c>
      <c r="AC181" s="3">
        <f t="array" ref="AC181">INDIRECT("'"&amp;$A181&amp;"'!Z14")</f>
        <v/>
      </c>
      <c r="AD181" s="32">
        <f t="array" ref="AD181">INDIRECT("'"&amp;$A181&amp;"'!AA14")</f>
        <v/>
      </c>
      <c r="AE181" s="81">
        <f t="array" ref="AE181">INDIRECT("'"&amp;$A180&amp;"'!J4")</f>
        <v/>
      </c>
      <c r="AF181" s="53" t="n"/>
    </row>
    <row r="182">
      <c r="A182" s="58" t="n">
        <v>61</v>
      </c>
      <c r="B182" s="103">
        <f>INDEX(data!$I$2:$I$98,MATCH(A182*1,data!$G$2:$G$98,0))</f>
        <v/>
      </c>
      <c r="C182" s="66">
        <f>HYPERLINK("#'" &amp; A182 &amp; "'!A1", "编辑")</f>
        <v/>
      </c>
      <c r="D182" s="54" t="inlineStr">
        <is>
          <t>1队</t>
        </is>
      </c>
      <c r="E182" s="79">
        <f t="array" ref="E182">INDIRECT("'"&amp;$A183&amp;"'!I2")</f>
        <v/>
      </c>
      <c r="F182" s="29">
        <f t="array" ref="F182">INDIRECT("'"&amp;$A182&amp;"'!C8")</f>
        <v/>
      </c>
      <c r="G182" s="30">
        <f t="array" ref="G182">INDIRECT("'"&amp;$A182&amp;"'!D8")</f>
        <v/>
      </c>
      <c r="H182" s="30">
        <f t="array" ref="H182">INDIRECT("'"&amp;$A182&amp;"'!E8")</f>
        <v/>
      </c>
      <c r="I182" s="30">
        <f t="array" ref="I182">INDIRECT("'"&amp;$A182&amp;"'!F8")</f>
        <v/>
      </c>
      <c r="J182" s="30">
        <f t="array" ref="J182">INDIRECT("'"&amp;$A182&amp;"'!G8")</f>
        <v/>
      </c>
      <c r="K182" s="30">
        <f t="array" ref="K182">INDIRECT("'"&amp;$A182&amp;"'!H8")</f>
        <v/>
      </c>
      <c r="L182" s="30">
        <f t="array" ref="L182">INDIRECT("'"&amp;$A182&amp;"'!I8")</f>
        <v/>
      </c>
      <c r="M182" s="30">
        <f t="array" ref="M182">INDIRECT("'"&amp;$A182&amp;"'!J8")</f>
        <v/>
      </c>
      <c r="N182" s="30">
        <f t="array" ref="N182">INDIRECT("'"&amp;$A182&amp;"'!K8")</f>
        <v/>
      </c>
      <c r="O182" s="30">
        <f t="array" ref="O182">INDIRECT("'"&amp;$A182&amp;"'!L8")</f>
        <v/>
      </c>
      <c r="P182" s="30">
        <f t="array" ref="P182">INDIRECT("'"&amp;$A182&amp;"'!M8")</f>
        <v/>
      </c>
      <c r="Q182" s="30">
        <f t="array" ref="Q182">INDIRECT("'"&amp;$A182&amp;"'!N8")</f>
        <v/>
      </c>
      <c r="R182" s="30">
        <f t="array" ref="R182">INDIRECT("'"&amp;$A182&amp;"'!O8")</f>
        <v/>
      </c>
      <c r="S182" s="30">
        <f t="array" ref="S182">INDIRECT("'"&amp;$A182&amp;"'!P8")</f>
        <v/>
      </c>
      <c r="T182" s="30">
        <f t="array" ref="T182">INDIRECT("'"&amp;$A182&amp;"'!Q8")</f>
        <v/>
      </c>
      <c r="U182" s="30">
        <f t="array" ref="U182">INDIRECT("'"&amp;$A182&amp;"'!R8")</f>
        <v/>
      </c>
      <c r="V182" s="30">
        <f t="array" ref="V182">INDIRECT("'"&amp;$A182&amp;"'!S8")</f>
        <v/>
      </c>
      <c r="W182" s="30">
        <f t="array" ref="W182">INDIRECT("'"&amp;$A182&amp;"'!T8")</f>
        <v/>
      </c>
      <c r="X182" s="30">
        <f t="array" ref="X182">INDIRECT("'"&amp;$A182&amp;"'!U8")</f>
        <v/>
      </c>
      <c r="Y182" s="30">
        <f t="array" ref="Y182">INDIRECT("'"&amp;$A182&amp;"'!V8")</f>
        <v/>
      </c>
      <c r="Z182" s="30">
        <f t="array" ref="Z182">INDIRECT("'"&amp;$A182&amp;"'!W8")</f>
        <v/>
      </c>
      <c r="AA182" s="30">
        <f t="array" ref="AA182">INDIRECT("'"&amp;$A182&amp;"'!X8")</f>
        <v/>
      </c>
      <c r="AB182" s="30">
        <f t="array" ref="AB182">INDIRECT("'"&amp;$A182&amp;"'!Y8")</f>
        <v/>
      </c>
      <c r="AC182" s="30">
        <f t="array" ref="AC182">INDIRECT("'"&amp;$A182&amp;"'!Z8")</f>
        <v/>
      </c>
      <c r="AD182" s="31">
        <f t="array" ref="AD182">INDIRECT("'"&amp;$A182&amp;"'!AA8")</f>
        <v/>
      </c>
      <c r="AE182" s="79">
        <f t="array" ref="AE182">INDIRECT("'"&amp;$A183&amp;"'!J2")</f>
        <v/>
      </c>
      <c r="AF182" s="53">
        <f t="array" ref="AF182">INDIRECT("'"&amp;$A183&amp;"'!AD1")</f>
        <v/>
      </c>
    </row>
    <row r="183">
      <c r="A183" s="58" t="n">
        <v>61</v>
      </c>
      <c r="B183" s="105" t="n"/>
      <c r="C183" s="67">
        <f t="array" ref="C183">CONCATENATE("粮 ",INDIRECT("'"&amp;$A183&amp;"'!D4"))</f>
        <v/>
      </c>
      <c r="D183" s="55" t="inlineStr">
        <is>
          <t>2队</t>
        </is>
      </c>
      <c r="E183" s="80">
        <f t="array" ref="E183">INDIRECT("'"&amp;$A183&amp;"'!I3")</f>
        <v/>
      </c>
      <c r="F183" s="52">
        <f t="array" ref="F183">INDIRECT("'"&amp;$A183&amp;"'!C11")</f>
        <v/>
      </c>
      <c r="G183" s="3">
        <f t="array" ref="G183">INDIRECT("'"&amp;$A183&amp;"'!D11")</f>
        <v/>
      </c>
      <c r="H183" s="3">
        <f t="array" ref="H183">INDIRECT("'"&amp;$A183&amp;"'!E11")</f>
        <v/>
      </c>
      <c r="I183" s="3">
        <f t="array" ref="I183">INDIRECT("'"&amp;$A183&amp;"'!F11")</f>
        <v/>
      </c>
      <c r="J183" s="3">
        <f t="array" ref="J183">INDIRECT("'"&amp;$A183&amp;"'!G11")</f>
        <v/>
      </c>
      <c r="K183" s="3">
        <f t="array" ref="K183">INDIRECT("'"&amp;$A183&amp;"'!H11")</f>
        <v/>
      </c>
      <c r="L183" s="3">
        <f t="array" ref="L183">INDIRECT("'"&amp;$A183&amp;"'!I11")</f>
        <v/>
      </c>
      <c r="M183" s="3">
        <f t="array" ref="M183">INDIRECT("'"&amp;$A183&amp;"'!J11")</f>
        <v/>
      </c>
      <c r="N183" s="3">
        <f t="array" ref="N183">INDIRECT("'"&amp;$A183&amp;"'!K11")</f>
        <v/>
      </c>
      <c r="O183" s="3">
        <f t="array" ref="O183">INDIRECT("'"&amp;$A183&amp;"'!L11")</f>
        <v/>
      </c>
      <c r="P183" s="3">
        <f t="array" ref="P183">INDIRECT("'"&amp;$A183&amp;"'!M11")</f>
        <v/>
      </c>
      <c r="Q183" s="3">
        <f t="array" ref="Q183">INDIRECT("'"&amp;$A183&amp;"'!N11")</f>
        <v/>
      </c>
      <c r="R183" s="3">
        <f t="array" ref="R183">INDIRECT("'"&amp;$A183&amp;"'!O11")</f>
        <v/>
      </c>
      <c r="S183" s="3">
        <f t="array" ref="S183">INDIRECT("'"&amp;$A183&amp;"'!P11")</f>
        <v/>
      </c>
      <c r="T183" s="3">
        <f t="array" ref="T183">INDIRECT("'"&amp;$A183&amp;"'!Q11")</f>
        <v/>
      </c>
      <c r="U183" s="3">
        <f t="array" ref="U183">INDIRECT("'"&amp;$A183&amp;"'!R11")</f>
        <v/>
      </c>
      <c r="V183" s="3">
        <f t="array" ref="V183">INDIRECT("'"&amp;$A183&amp;"'!S11")</f>
        <v/>
      </c>
      <c r="W183" s="3">
        <f t="array" ref="W183">INDIRECT("'"&amp;$A183&amp;"'!T11")</f>
        <v/>
      </c>
      <c r="X183" s="3">
        <f t="array" ref="X183">INDIRECT("'"&amp;$A183&amp;"'!U11")</f>
        <v/>
      </c>
      <c r="Y183" s="3">
        <f t="array" ref="Y183">INDIRECT("'"&amp;$A183&amp;"'!V11")</f>
        <v/>
      </c>
      <c r="Z183" s="3">
        <f t="array" ref="Z183">INDIRECT("'"&amp;$A183&amp;"'!W11")</f>
        <v/>
      </c>
      <c r="AA183" s="3">
        <f t="array" ref="AA183">INDIRECT("'"&amp;$A183&amp;"'!X11")</f>
        <v/>
      </c>
      <c r="AB183" s="3">
        <f t="array" ref="AB183">INDIRECT("'"&amp;$A183&amp;"'!Y11")</f>
        <v/>
      </c>
      <c r="AC183" s="3">
        <f t="array" ref="AC183">INDIRECT("'"&amp;$A183&amp;"'!Z11")</f>
        <v/>
      </c>
      <c r="AD183" s="32">
        <f t="array" ref="AD183">INDIRECT("'"&amp;$A183&amp;"'!AA11")</f>
        <v/>
      </c>
      <c r="AE183" s="80">
        <f t="array" ref="AE183">INDIRECT("'"&amp;$A183&amp;"'!J3")</f>
        <v/>
      </c>
      <c r="AF183" s="53">
        <f t="array" ref="AF183">INDIRECT("'"&amp;$A183&amp;"'!AC1")</f>
        <v/>
      </c>
    </row>
    <row r="184" ht="15.75" customHeight="1" thickBot="1">
      <c r="A184" s="58" t="n">
        <v>61</v>
      </c>
      <c r="B184" s="106" t="n"/>
      <c r="C184" s="77">
        <f t="array" ref="C184">CONCATENATE("分 ",INDIRECT("'"&amp;$A183&amp;"'!D6"))</f>
        <v/>
      </c>
      <c r="D184" s="56" t="inlineStr">
        <is>
          <t>3队</t>
        </is>
      </c>
      <c r="E184" s="81">
        <f t="array" ref="E184">INDIRECT("'"&amp;$A183&amp;"'!I4")</f>
        <v/>
      </c>
      <c r="F184" s="52">
        <f t="array" ref="F184">INDIRECT("'"&amp;$A184&amp;"'!C14")</f>
        <v/>
      </c>
      <c r="G184" s="3">
        <f t="array" ref="G184">INDIRECT("'"&amp;$A184&amp;"'!D14")</f>
        <v/>
      </c>
      <c r="H184" s="3">
        <f t="array" ref="H184">INDIRECT("'"&amp;$A184&amp;"'!E14")</f>
        <v/>
      </c>
      <c r="I184" s="3">
        <f t="array" ref="I184">INDIRECT("'"&amp;$A184&amp;"'!F14")</f>
        <v/>
      </c>
      <c r="J184" s="3">
        <f t="array" ref="J184">INDIRECT("'"&amp;$A184&amp;"'!G14")</f>
        <v/>
      </c>
      <c r="K184" s="3">
        <f t="array" ref="K184">INDIRECT("'"&amp;$A184&amp;"'!H14")</f>
        <v/>
      </c>
      <c r="L184" s="3">
        <f t="array" ref="L184">INDIRECT("'"&amp;$A184&amp;"'!I14")</f>
        <v/>
      </c>
      <c r="M184" s="3">
        <f t="array" ref="M184">INDIRECT("'"&amp;$A184&amp;"'!J14")</f>
        <v/>
      </c>
      <c r="N184" s="3">
        <f t="array" ref="N184">INDIRECT("'"&amp;$A184&amp;"'!K14")</f>
        <v/>
      </c>
      <c r="O184" s="3">
        <f t="array" ref="O184">INDIRECT("'"&amp;$A184&amp;"'!L14")</f>
        <v/>
      </c>
      <c r="P184" s="3">
        <f t="array" ref="P184">INDIRECT("'"&amp;$A184&amp;"'!M14")</f>
        <v/>
      </c>
      <c r="Q184" s="3">
        <f t="array" ref="Q184">INDIRECT("'"&amp;$A184&amp;"'!N14")</f>
        <v/>
      </c>
      <c r="R184" s="3">
        <f t="array" ref="R184">INDIRECT("'"&amp;$A184&amp;"'!O14")</f>
        <v/>
      </c>
      <c r="S184" s="3">
        <f t="array" ref="S184">INDIRECT("'"&amp;$A184&amp;"'!P14")</f>
        <v/>
      </c>
      <c r="T184" s="3">
        <f t="array" ref="T184">INDIRECT("'"&amp;$A184&amp;"'!Q14")</f>
        <v/>
      </c>
      <c r="U184" s="3">
        <f t="array" ref="U184">INDIRECT("'"&amp;$A184&amp;"'!R14")</f>
        <v/>
      </c>
      <c r="V184" s="3">
        <f t="array" ref="V184">INDIRECT("'"&amp;$A184&amp;"'!S14")</f>
        <v/>
      </c>
      <c r="W184" s="3">
        <f t="array" ref="W184">INDIRECT("'"&amp;$A184&amp;"'!T14")</f>
        <v/>
      </c>
      <c r="X184" s="3">
        <f t="array" ref="X184">INDIRECT("'"&amp;$A184&amp;"'!U14")</f>
        <v/>
      </c>
      <c r="Y184" s="3">
        <f t="array" ref="Y184">INDIRECT("'"&amp;$A184&amp;"'!V14")</f>
        <v/>
      </c>
      <c r="Z184" s="3">
        <f t="array" ref="Z184">INDIRECT("'"&amp;$A184&amp;"'!W14")</f>
        <v/>
      </c>
      <c r="AA184" s="3">
        <f t="array" ref="AA184">INDIRECT("'"&amp;$A184&amp;"'!X14")</f>
        <v/>
      </c>
      <c r="AB184" s="3">
        <f t="array" ref="AB184">INDIRECT("'"&amp;$A184&amp;"'!Y14")</f>
        <v/>
      </c>
      <c r="AC184" s="3">
        <f t="array" ref="AC184">INDIRECT("'"&amp;$A184&amp;"'!Z14")</f>
        <v/>
      </c>
      <c r="AD184" s="32">
        <f t="array" ref="AD184">INDIRECT("'"&amp;$A184&amp;"'!AA14")</f>
        <v/>
      </c>
      <c r="AE184" s="81">
        <f t="array" ref="AE184">INDIRECT("'"&amp;$A183&amp;"'!J4")</f>
        <v/>
      </c>
      <c r="AF184" s="53" t="n"/>
    </row>
    <row r="185">
      <c r="A185" s="58" t="n">
        <v>62</v>
      </c>
      <c r="B185" s="103">
        <f>INDEX(data!$I$2:$I$98,MATCH(A185*1,data!$G$2:$G$98,0))</f>
        <v/>
      </c>
      <c r="C185" s="66">
        <f>HYPERLINK("#'" &amp; A185 &amp; "'!A1", "编辑")</f>
        <v/>
      </c>
      <c r="D185" s="54" t="inlineStr">
        <is>
          <t>1队</t>
        </is>
      </c>
      <c r="E185" s="79">
        <f t="array" ref="E185">INDIRECT("'"&amp;$A186&amp;"'!I2")</f>
        <v/>
      </c>
      <c r="F185" s="29">
        <f t="array" ref="F185">INDIRECT("'"&amp;$A185&amp;"'!C8")</f>
        <v/>
      </c>
      <c r="G185" s="30">
        <f t="array" ref="G185">INDIRECT("'"&amp;$A185&amp;"'!D8")</f>
        <v/>
      </c>
      <c r="H185" s="30">
        <f t="array" ref="H185">INDIRECT("'"&amp;$A185&amp;"'!E8")</f>
        <v/>
      </c>
      <c r="I185" s="30">
        <f t="array" ref="I185">INDIRECT("'"&amp;$A185&amp;"'!F8")</f>
        <v/>
      </c>
      <c r="J185" s="30">
        <f t="array" ref="J185">INDIRECT("'"&amp;$A185&amp;"'!G8")</f>
        <v/>
      </c>
      <c r="K185" s="30">
        <f t="array" ref="K185">INDIRECT("'"&amp;$A185&amp;"'!H8")</f>
        <v/>
      </c>
      <c r="L185" s="30">
        <f t="array" ref="L185">INDIRECT("'"&amp;$A185&amp;"'!I8")</f>
        <v/>
      </c>
      <c r="M185" s="30">
        <f t="array" ref="M185">INDIRECT("'"&amp;$A185&amp;"'!J8")</f>
        <v/>
      </c>
      <c r="N185" s="30">
        <f t="array" ref="N185">INDIRECT("'"&amp;$A185&amp;"'!K8")</f>
        <v/>
      </c>
      <c r="O185" s="30">
        <f t="array" ref="O185">INDIRECT("'"&amp;$A185&amp;"'!L8")</f>
        <v/>
      </c>
      <c r="P185" s="30">
        <f t="array" ref="P185">INDIRECT("'"&amp;$A185&amp;"'!M8")</f>
        <v/>
      </c>
      <c r="Q185" s="30">
        <f t="array" ref="Q185">INDIRECT("'"&amp;$A185&amp;"'!N8")</f>
        <v/>
      </c>
      <c r="R185" s="30">
        <f t="array" ref="R185">INDIRECT("'"&amp;$A185&amp;"'!O8")</f>
        <v/>
      </c>
      <c r="S185" s="30">
        <f t="array" ref="S185">INDIRECT("'"&amp;$A185&amp;"'!P8")</f>
        <v/>
      </c>
      <c r="T185" s="30">
        <f t="array" ref="T185">INDIRECT("'"&amp;$A185&amp;"'!Q8")</f>
        <v/>
      </c>
      <c r="U185" s="30">
        <f t="array" ref="U185">INDIRECT("'"&amp;$A185&amp;"'!R8")</f>
        <v/>
      </c>
      <c r="V185" s="30">
        <f t="array" ref="V185">INDIRECT("'"&amp;$A185&amp;"'!S8")</f>
        <v/>
      </c>
      <c r="W185" s="30">
        <f t="array" ref="W185">INDIRECT("'"&amp;$A185&amp;"'!T8")</f>
        <v/>
      </c>
      <c r="X185" s="30">
        <f t="array" ref="X185">INDIRECT("'"&amp;$A185&amp;"'!U8")</f>
        <v/>
      </c>
      <c r="Y185" s="30">
        <f t="array" ref="Y185">INDIRECT("'"&amp;$A185&amp;"'!V8")</f>
        <v/>
      </c>
      <c r="Z185" s="30">
        <f t="array" ref="Z185">INDIRECT("'"&amp;$A185&amp;"'!W8")</f>
        <v/>
      </c>
      <c r="AA185" s="30">
        <f t="array" ref="AA185">INDIRECT("'"&amp;$A185&amp;"'!X8")</f>
        <v/>
      </c>
      <c r="AB185" s="30">
        <f t="array" ref="AB185">INDIRECT("'"&amp;$A185&amp;"'!Y8")</f>
        <v/>
      </c>
      <c r="AC185" s="30">
        <f t="array" ref="AC185">INDIRECT("'"&amp;$A185&amp;"'!Z8")</f>
        <v/>
      </c>
      <c r="AD185" s="31">
        <f t="array" ref="AD185">INDIRECT("'"&amp;$A185&amp;"'!AA8")</f>
        <v/>
      </c>
      <c r="AE185" s="79">
        <f t="array" ref="AE185">INDIRECT("'"&amp;$A186&amp;"'!J2")</f>
        <v/>
      </c>
      <c r="AF185" s="53">
        <f t="array" ref="AF185">INDIRECT("'"&amp;$A186&amp;"'!AD1")</f>
        <v/>
      </c>
    </row>
    <row r="186">
      <c r="A186" s="58" t="n">
        <v>62</v>
      </c>
      <c r="B186" s="105" t="n"/>
      <c r="C186" s="67">
        <f t="array" ref="C186">CONCATENATE("粮 ",INDIRECT("'"&amp;$A186&amp;"'!D4"))</f>
        <v/>
      </c>
      <c r="D186" s="55" t="inlineStr">
        <is>
          <t>2队</t>
        </is>
      </c>
      <c r="E186" s="80">
        <f t="array" ref="E186">INDIRECT("'"&amp;$A186&amp;"'!I3")</f>
        <v/>
      </c>
      <c r="F186" s="52">
        <f t="array" ref="F186">INDIRECT("'"&amp;$A186&amp;"'!C11")</f>
        <v/>
      </c>
      <c r="G186" s="3">
        <f t="array" ref="G186">INDIRECT("'"&amp;$A186&amp;"'!D11")</f>
        <v/>
      </c>
      <c r="H186" s="3">
        <f t="array" ref="H186">INDIRECT("'"&amp;$A186&amp;"'!E11")</f>
        <v/>
      </c>
      <c r="I186" s="3">
        <f t="array" ref="I186">INDIRECT("'"&amp;$A186&amp;"'!F11")</f>
        <v/>
      </c>
      <c r="J186" s="3">
        <f t="array" ref="J186">INDIRECT("'"&amp;$A186&amp;"'!G11")</f>
        <v/>
      </c>
      <c r="K186" s="3">
        <f t="array" ref="K186">INDIRECT("'"&amp;$A186&amp;"'!H11")</f>
        <v/>
      </c>
      <c r="L186" s="3">
        <f t="array" ref="L186">INDIRECT("'"&amp;$A186&amp;"'!I11")</f>
        <v/>
      </c>
      <c r="M186" s="3">
        <f t="array" ref="M186">INDIRECT("'"&amp;$A186&amp;"'!J11")</f>
        <v/>
      </c>
      <c r="N186" s="3">
        <f t="array" ref="N186">INDIRECT("'"&amp;$A186&amp;"'!K11")</f>
        <v/>
      </c>
      <c r="O186" s="3">
        <f t="array" ref="O186">INDIRECT("'"&amp;$A186&amp;"'!L11")</f>
        <v/>
      </c>
      <c r="P186" s="3">
        <f t="array" ref="P186">INDIRECT("'"&amp;$A186&amp;"'!M11")</f>
        <v/>
      </c>
      <c r="Q186" s="3">
        <f t="array" ref="Q186">INDIRECT("'"&amp;$A186&amp;"'!N11")</f>
        <v/>
      </c>
      <c r="R186" s="3">
        <f t="array" ref="R186">INDIRECT("'"&amp;$A186&amp;"'!O11")</f>
        <v/>
      </c>
      <c r="S186" s="3">
        <f t="array" ref="S186">INDIRECT("'"&amp;$A186&amp;"'!P11")</f>
        <v/>
      </c>
      <c r="T186" s="3">
        <f t="array" ref="T186">INDIRECT("'"&amp;$A186&amp;"'!Q11")</f>
        <v/>
      </c>
      <c r="U186" s="3">
        <f t="array" ref="U186">INDIRECT("'"&amp;$A186&amp;"'!R11")</f>
        <v/>
      </c>
      <c r="V186" s="3">
        <f t="array" ref="V186">INDIRECT("'"&amp;$A186&amp;"'!S11")</f>
        <v/>
      </c>
      <c r="W186" s="3">
        <f t="array" ref="W186">INDIRECT("'"&amp;$A186&amp;"'!T11")</f>
        <v/>
      </c>
      <c r="X186" s="3">
        <f t="array" ref="X186">INDIRECT("'"&amp;$A186&amp;"'!U11")</f>
        <v/>
      </c>
      <c r="Y186" s="3">
        <f t="array" ref="Y186">INDIRECT("'"&amp;$A186&amp;"'!V11")</f>
        <v/>
      </c>
      <c r="Z186" s="3">
        <f t="array" ref="Z186">INDIRECT("'"&amp;$A186&amp;"'!W11")</f>
        <v/>
      </c>
      <c r="AA186" s="3">
        <f t="array" ref="AA186">INDIRECT("'"&amp;$A186&amp;"'!X11")</f>
        <v/>
      </c>
      <c r="AB186" s="3">
        <f t="array" ref="AB186">INDIRECT("'"&amp;$A186&amp;"'!Y11")</f>
        <v/>
      </c>
      <c r="AC186" s="3">
        <f t="array" ref="AC186">INDIRECT("'"&amp;$A186&amp;"'!Z11")</f>
        <v/>
      </c>
      <c r="AD186" s="32">
        <f t="array" ref="AD186">INDIRECT("'"&amp;$A186&amp;"'!AA11")</f>
        <v/>
      </c>
      <c r="AE186" s="80">
        <f t="array" ref="AE186">INDIRECT("'"&amp;$A186&amp;"'!J3")</f>
        <v/>
      </c>
      <c r="AF186" s="53">
        <f t="array" ref="AF186">INDIRECT("'"&amp;$A186&amp;"'!AC1")</f>
        <v/>
      </c>
    </row>
    <row r="187" ht="15.75" customHeight="1" thickBot="1">
      <c r="A187" s="58" t="n">
        <v>62</v>
      </c>
      <c r="B187" s="106" t="n"/>
      <c r="C187" s="77">
        <f t="array" ref="C187">CONCATENATE("分 ",INDIRECT("'"&amp;$A186&amp;"'!D6"))</f>
        <v/>
      </c>
      <c r="D187" s="56" t="inlineStr">
        <is>
          <t>3队</t>
        </is>
      </c>
      <c r="E187" s="81">
        <f t="array" ref="E187">INDIRECT("'"&amp;$A186&amp;"'!I4")</f>
        <v/>
      </c>
      <c r="F187" s="52">
        <f t="array" ref="F187">INDIRECT("'"&amp;$A187&amp;"'!C14")</f>
        <v/>
      </c>
      <c r="G187" s="3">
        <f t="array" ref="G187">INDIRECT("'"&amp;$A187&amp;"'!D14")</f>
        <v/>
      </c>
      <c r="H187" s="3">
        <f t="array" ref="H187">INDIRECT("'"&amp;$A187&amp;"'!E14")</f>
        <v/>
      </c>
      <c r="I187" s="3">
        <f t="array" ref="I187">INDIRECT("'"&amp;$A187&amp;"'!F14")</f>
        <v/>
      </c>
      <c r="J187" s="3">
        <f t="array" ref="J187">INDIRECT("'"&amp;$A187&amp;"'!G14")</f>
        <v/>
      </c>
      <c r="K187" s="3">
        <f t="array" ref="K187">INDIRECT("'"&amp;$A187&amp;"'!H14")</f>
        <v/>
      </c>
      <c r="L187" s="3">
        <f t="array" ref="L187">INDIRECT("'"&amp;$A187&amp;"'!I14")</f>
        <v/>
      </c>
      <c r="M187" s="3">
        <f t="array" ref="M187">INDIRECT("'"&amp;$A187&amp;"'!J14")</f>
        <v/>
      </c>
      <c r="N187" s="3">
        <f t="array" ref="N187">INDIRECT("'"&amp;$A187&amp;"'!K14")</f>
        <v/>
      </c>
      <c r="O187" s="3">
        <f t="array" ref="O187">INDIRECT("'"&amp;$A187&amp;"'!L14")</f>
        <v/>
      </c>
      <c r="P187" s="3">
        <f t="array" ref="P187">INDIRECT("'"&amp;$A187&amp;"'!M14")</f>
        <v/>
      </c>
      <c r="Q187" s="3">
        <f t="array" ref="Q187">INDIRECT("'"&amp;$A187&amp;"'!N14")</f>
        <v/>
      </c>
      <c r="R187" s="3">
        <f t="array" ref="R187">INDIRECT("'"&amp;$A187&amp;"'!O14")</f>
        <v/>
      </c>
      <c r="S187" s="3">
        <f t="array" ref="S187">INDIRECT("'"&amp;$A187&amp;"'!P14")</f>
        <v/>
      </c>
      <c r="T187" s="3">
        <f t="array" ref="T187">INDIRECT("'"&amp;$A187&amp;"'!Q14")</f>
        <v/>
      </c>
      <c r="U187" s="3">
        <f t="array" ref="U187">INDIRECT("'"&amp;$A187&amp;"'!R14")</f>
        <v/>
      </c>
      <c r="V187" s="3">
        <f t="array" ref="V187">INDIRECT("'"&amp;$A187&amp;"'!S14")</f>
        <v/>
      </c>
      <c r="W187" s="3">
        <f t="array" ref="W187">INDIRECT("'"&amp;$A187&amp;"'!T14")</f>
        <v/>
      </c>
      <c r="X187" s="3">
        <f t="array" ref="X187">INDIRECT("'"&amp;$A187&amp;"'!U14")</f>
        <v/>
      </c>
      <c r="Y187" s="3">
        <f t="array" ref="Y187">INDIRECT("'"&amp;$A187&amp;"'!V14")</f>
        <v/>
      </c>
      <c r="Z187" s="3">
        <f t="array" ref="Z187">INDIRECT("'"&amp;$A187&amp;"'!W14")</f>
        <v/>
      </c>
      <c r="AA187" s="3">
        <f t="array" ref="AA187">INDIRECT("'"&amp;$A187&amp;"'!X14")</f>
        <v/>
      </c>
      <c r="AB187" s="3">
        <f t="array" ref="AB187">INDIRECT("'"&amp;$A187&amp;"'!Y14")</f>
        <v/>
      </c>
      <c r="AC187" s="3">
        <f t="array" ref="AC187">INDIRECT("'"&amp;$A187&amp;"'!Z14")</f>
        <v/>
      </c>
      <c r="AD187" s="32">
        <f t="array" ref="AD187">INDIRECT("'"&amp;$A187&amp;"'!AA14")</f>
        <v/>
      </c>
      <c r="AE187" s="81">
        <f t="array" ref="AE187">INDIRECT("'"&amp;$A186&amp;"'!J4")</f>
        <v/>
      </c>
      <c r="AF187" s="53" t="n"/>
    </row>
    <row r="188">
      <c r="A188" s="58" t="n">
        <v>63</v>
      </c>
      <c r="B188" s="103">
        <f>INDEX(data!$I$2:$I$98,MATCH(A188*1,data!$G$2:$G$98,0))</f>
        <v/>
      </c>
      <c r="C188" s="66">
        <f>HYPERLINK("#'" &amp; A188 &amp; "'!A1", "编辑")</f>
        <v/>
      </c>
      <c r="D188" s="54" t="inlineStr">
        <is>
          <t>1队</t>
        </is>
      </c>
      <c r="E188" s="79">
        <f t="array" ref="E188">INDIRECT("'"&amp;$A189&amp;"'!I2")</f>
        <v/>
      </c>
      <c r="F188" s="29">
        <f t="array" ref="F188">INDIRECT("'"&amp;$A188&amp;"'!C8")</f>
        <v/>
      </c>
      <c r="G188" s="30">
        <f t="array" ref="G188">INDIRECT("'"&amp;$A188&amp;"'!D8")</f>
        <v/>
      </c>
      <c r="H188" s="30">
        <f t="array" ref="H188">INDIRECT("'"&amp;$A188&amp;"'!E8")</f>
        <v/>
      </c>
      <c r="I188" s="30">
        <f t="array" ref="I188">INDIRECT("'"&amp;$A188&amp;"'!F8")</f>
        <v/>
      </c>
      <c r="J188" s="30">
        <f t="array" ref="J188">INDIRECT("'"&amp;$A188&amp;"'!G8")</f>
        <v/>
      </c>
      <c r="K188" s="30">
        <f t="array" ref="K188">INDIRECT("'"&amp;$A188&amp;"'!H8")</f>
        <v/>
      </c>
      <c r="L188" s="30">
        <f t="array" ref="L188">INDIRECT("'"&amp;$A188&amp;"'!I8")</f>
        <v/>
      </c>
      <c r="M188" s="30">
        <f t="array" ref="M188">INDIRECT("'"&amp;$A188&amp;"'!J8")</f>
        <v/>
      </c>
      <c r="N188" s="30">
        <f t="array" ref="N188">INDIRECT("'"&amp;$A188&amp;"'!K8")</f>
        <v/>
      </c>
      <c r="O188" s="30">
        <f t="array" ref="O188">INDIRECT("'"&amp;$A188&amp;"'!L8")</f>
        <v/>
      </c>
      <c r="P188" s="30">
        <f t="array" ref="P188">INDIRECT("'"&amp;$A188&amp;"'!M8")</f>
        <v/>
      </c>
      <c r="Q188" s="30">
        <f t="array" ref="Q188">INDIRECT("'"&amp;$A188&amp;"'!N8")</f>
        <v/>
      </c>
      <c r="R188" s="30">
        <f t="array" ref="R188">INDIRECT("'"&amp;$A188&amp;"'!O8")</f>
        <v/>
      </c>
      <c r="S188" s="30">
        <f t="array" ref="S188">INDIRECT("'"&amp;$A188&amp;"'!P8")</f>
        <v/>
      </c>
      <c r="T188" s="30">
        <f t="array" ref="T188">INDIRECT("'"&amp;$A188&amp;"'!Q8")</f>
        <v/>
      </c>
      <c r="U188" s="30">
        <f t="array" ref="U188">INDIRECT("'"&amp;$A188&amp;"'!R8")</f>
        <v/>
      </c>
      <c r="V188" s="30">
        <f t="array" ref="V188">INDIRECT("'"&amp;$A188&amp;"'!S8")</f>
        <v/>
      </c>
      <c r="W188" s="30">
        <f t="array" ref="W188">INDIRECT("'"&amp;$A188&amp;"'!T8")</f>
        <v/>
      </c>
      <c r="X188" s="30">
        <f t="array" ref="X188">INDIRECT("'"&amp;$A188&amp;"'!U8")</f>
        <v/>
      </c>
      <c r="Y188" s="30">
        <f t="array" ref="Y188">INDIRECT("'"&amp;$A188&amp;"'!V8")</f>
        <v/>
      </c>
      <c r="Z188" s="30">
        <f t="array" ref="Z188">INDIRECT("'"&amp;$A188&amp;"'!W8")</f>
        <v/>
      </c>
      <c r="AA188" s="30">
        <f t="array" ref="AA188">INDIRECT("'"&amp;$A188&amp;"'!X8")</f>
        <v/>
      </c>
      <c r="AB188" s="30">
        <f t="array" ref="AB188">INDIRECT("'"&amp;$A188&amp;"'!Y8")</f>
        <v/>
      </c>
      <c r="AC188" s="30">
        <f t="array" ref="AC188">INDIRECT("'"&amp;$A188&amp;"'!Z8")</f>
        <v/>
      </c>
      <c r="AD188" s="31">
        <f t="array" ref="AD188">INDIRECT("'"&amp;$A188&amp;"'!AA8")</f>
        <v/>
      </c>
      <c r="AE188" s="79">
        <f t="array" ref="AE188">INDIRECT("'"&amp;$A189&amp;"'!J2")</f>
        <v/>
      </c>
      <c r="AF188" s="53">
        <f t="array" ref="AF188">INDIRECT("'"&amp;$A189&amp;"'!AD1")</f>
        <v/>
      </c>
    </row>
    <row r="189">
      <c r="A189" s="58" t="n">
        <v>63</v>
      </c>
      <c r="B189" s="105" t="n"/>
      <c r="C189" s="67">
        <f t="array" ref="C189">CONCATENATE("粮 ",INDIRECT("'"&amp;$A189&amp;"'!D4"))</f>
        <v/>
      </c>
      <c r="D189" s="55" t="inlineStr">
        <is>
          <t>2队</t>
        </is>
      </c>
      <c r="E189" s="80">
        <f t="array" ref="E189">INDIRECT("'"&amp;$A189&amp;"'!I3")</f>
        <v/>
      </c>
      <c r="F189" s="52">
        <f t="array" ref="F189">INDIRECT("'"&amp;$A189&amp;"'!C11")</f>
        <v/>
      </c>
      <c r="G189" s="3">
        <f t="array" ref="G189">INDIRECT("'"&amp;$A189&amp;"'!D11")</f>
        <v/>
      </c>
      <c r="H189" s="3">
        <f t="array" ref="H189">INDIRECT("'"&amp;$A189&amp;"'!E11")</f>
        <v/>
      </c>
      <c r="I189" s="3">
        <f t="array" ref="I189">INDIRECT("'"&amp;$A189&amp;"'!F11")</f>
        <v/>
      </c>
      <c r="J189" s="3">
        <f t="array" ref="J189">INDIRECT("'"&amp;$A189&amp;"'!G11")</f>
        <v/>
      </c>
      <c r="K189" s="3">
        <f t="array" ref="K189">INDIRECT("'"&amp;$A189&amp;"'!H11")</f>
        <v/>
      </c>
      <c r="L189" s="3">
        <f t="array" ref="L189">INDIRECT("'"&amp;$A189&amp;"'!I11")</f>
        <v/>
      </c>
      <c r="M189" s="3">
        <f t="array" ref="M189">INDIRECT("'"&amp;$A189&amp;"'!J11")</f>
        <v/>
      </c>
      <c r="N189" s="3">
        <f t="array" ref="N189">INDIRECT("'"&amp;$A189&amp;"'!K11")</f>
        <v/>
      </c>
      <c r="O189" s="3">
        <f t="array" ref="O189">INDIRECT("'"&amp;$A189&amp;"'!L11")</f>
        <v/>
      </c>
      <c r="P189" s="3">
        <f t="array" ref="P189">INDIRECT("'"&amp;$A189&amp;"'!M11")</f>
        <v/>
      </c>
      <c r="Q189" s="3">
        <f t="array" ref="Q189">INDIRECT("'"&amp;$A189&amp;"'!N11")</f>
        <v/>
      </c>
      <c r="R189" s="3">
        <f t="array" ref="R189">INDIRECT("'"&amp;$A189&amp;"'!O11")</f>
        <v/>
      </c>
      <c r="S189" s="3">
        <f t="array" ref="S189">INDIRECT("'"&amp;$A189&amp;"'!P11")</f>
        <v/>
      </c>
      <c r="T189" s="3">
        <f t="array" ref="T189">INDIRECT("'"&amp;$A189&amp;"'!Q11")</f>
        <v/>
      </c>
      <c r="U189" s="3">
        <f t="array" ref="U189">INDIRECT("'"&amp;$A189&amp;"'!R11")</f>
        <v/>
      </c>
      <c r="V189" s="3">
        <f t="array" ref="V189">INDIRECT("'"&amp;$A189&amp;"'!S11")</f>
        <v/>
      </c>
      <c r="W189" s="3">
        <f t="array" ref="W189">INDIRECT("'"&amp;$A189&amp;"'!T11")</f>
        <v/>
      </c>
      <c r="X189" s="3">
        <f t="array" ref="X189">INDIRECT("'"&amp;$A189&amp;"'!U11")</f>
        <v/>
      </c>
      <c r="Y189" s="3">
        <f t="array" ref="Y189">INDIRECT("'"&amp;$A189&amp;"'!V11")</f>
        <v/>
      </c>
      <c r="Z189" s="3">
        <f t="array" ref="Z189">INDIRECT("'"&amp;$A189&amp;"'!W11")</f>
        <v/>
      </c>
      <c r="AA189" s="3">
        <f t="array" ref="AA189">INDIRECT("'"&amp;$A189&amp;"'!X11")</f>
        <v/>
      </c>
      <c r="AB189" s="3">
        <f t="array" ref="AB189">INDIRECT("'"&amp;$A189&amp;"'!Y11")</f>
        <v/>
      </c>
      <c r="AC189" s="3">
        <f t="array" ref="AC189">INDIRECT("'"&amp;$A189&amp;"'!Z11")</f>
        <v/>
      </c>
      <c r="AD189" s="32">
        <f t="array" ref="AD189">INDIRECT("'"&amp;$A189&amp;"'!AA11")</f>
        <v/>
      </c>
      <c r="AE189" s="80">
        <f t="array" ref="AE189">INDIRECT("'"&amp;$A189&amp;"'!J3")</f>
        <v/>
      </c>
      <c r="AF189" s="53">
        <f t="array" ref="AF189">INDIRECT("'"&amp;$A189&amp;"'!AC1")</f>
        <v/>
      </c>
    </row>
    <row r="190" ht="15.75" customHeight="1" thickBot="1">
      <c r="A190" s="58" t="n">
        <v>63</v>
      </c>
      <c r="B190" s="106" t="n"/>
      <c r="C190" s="77">
        <f t="array" ref="C190">CONCATENATE("分 ",INDIRECT("'"&amp;$A189&amp;"'!D6"))</f>
        <v/>
      </c>
      <c r="D190" s="56" t="inlineStr">
        <is>
          <t>3队</t>
        </is>
      </c>
      <c r="E190" s="81">
        <f t="array" ref="E190">INDIRECT("'"&amp;$A189&amp;"'!I4")</f>
        <v/>
      </c>
      <c r="F190" s="52">
        <f t="array" ref="F190">INDIRECT("'"&amp;$A190&amp;"'!C14")</f>
        <v/>
      </c>
      <c r="G190" s="3">
        <f t="array" ref="G190">INDIRECT("'"&amp;$A190&amp;"'!D14")</f>
        <v/>
      </c>
      <c r="H190" s="3">
        <f t="array" ref="H190">INDIRECT("'"&amp;$A190&amp;"'!E14")</f>
        <v/>
      </c>
      <c r="I190" s="3">
        <f t="array" ref="I190">INDIRECT("'"&amp;$A190&amp;"'!F14")</f>
        <v/>
      </c>
      <c r="J190" s="3">
        <f t="array" ref="J190">INDIRECT("'"&amp;$A190&amp;"'!G14")</f>
        <v/>
      </c>
      <c r="K190" s="3">
        <f t="array" ref="K190">INDIRECT("'"&amp;$A190&amp;"'!H14")</f>
        <v/>
      </c>
      <c r="L190" s="3">
        <f t="array" ref="L190">INDIRECT("'"&amp;$A190&amp;"'!I14")</f>
        <v/>
      </c>
      <c r="M190" s="3">
        <f t="array" ref="M190">INDIRECT("'"&amp;$A190&amp;"'!J14")</f>
        <v/>
      </c>
      <c r="N190" s="3">
        <f t="array" ref="N190">INDIRECT("'"&amp;$A190&amp;"'!K14")</f>
        <v/>
      </c>
      <c r="O190" s="3">
        <f t="array" ref="O190">INDIRECT("'"&amp;$A190&amp;"'!L14")</f>
        <v/>
      </c>
      <c r="P190" s="3">
        <f t="array" ref="P190">INDIRECT("'"&amp;$A190&amp;"'!M14")</f>
        <v/>
      </c>
      <c r="Q190" s="3">
        <f t="array" ref="Q190">INDIRECT("'"&amp;$A190&amp;"'!N14")</f>
        <v/>
      </c>
      <c r="R190" s="3">
        <f t="array" ref="R190">INDIRECT("'"&amp;$A190&amp;"'!O14")</f>
        <v/>
      </c>
      <c r="S190" s="3">
        <f t="array" ref="S190">INDIRECT("'"&amp;$A190&amp;"'!P14")</f>
        <v/>
      </c>
      <c r="T190" s="3">
        <f t="array" ref="T190">INDIRECT("'"&amp;$A190&amp;"'!Q14")</f>
        <v/>
      </c>
      <c r="U190" s="3">
        <f t="array" ref="U190">INDIRECT("'"&amp;$A190&amp;"'!R14")</f>
        <v/>
      </c>
      <c r="V190" s="3">
        <f t="array" ref="V190">INDIRECT("'"&amp;$A190&amp;"'!S14")</f>
        <v/>
      </c>
      <c r="W190" s="3">
        <f t="array" ref="W190">INDIRECT("'"&amp;$A190&amp;"'!T14")</f>
        <v/>
      </c>
      <c r="X190" s="3">
        <f t="array" ref="X190">INDIRECT("'"&amp;$A190&amp;"'!U14")</f>
        <v/>
      </c>
      <c r="Y190" s="3">
        <f t="array" ref="Y190">INDIRECT("'"&amp;$A190&amp;"'!V14")</f>
        <v/>
      </c>
      <c r="Z190" s="3">
        <f t="array" ref="Z190">INDIRECT("'"&amp;$A190&amp;"'!W14")</f>
        <v/>
      </c>
      <c r="AA190" s="3">
        <f t="array" ref="AA190">INDIRECT("'"&amp;$A190&amp;"'!X14")</f>
        <v/>
      </c>
      <c r="AB190" s="3">
        <f t="array" ref="AB190">INDIRECT("'"&amp;$A190&amp;"'!Y14")</f>
        <v/>
      </c>
      <c r="AC190" s="3">
        <f t="array" ref="AC190">INDIRECT("'"&amp;$A190&amp;"'!Z14")</f>
        <v/>
      </c>
      <c r="AD190" s="32">
        <f t="array" ref="AD190">INDIRECT("'"&amp;$A190&amp;"'!AA14")</f>
        <v/>
      </c>
      <c r="AE190" s="81">
        <f t="array" ref="AE190">INDIRECT("'"&amp;$A189&amp;"'!J4")</f>
        <v/>
      </c>
      <c r="AF190" s="53" t="n"/>
    </row>
    <row r="191">
      <c r="A191" s="58" t="n">
        <v>64</v>
      </c>
      <c r="B191" s="103">
        <f>INDEX(data!$I$2:$I$98,MATCH(A191*1,data!$G$2:$G$98,0))</f>
        <v/>
      </c>
      <c r="C191" s="66">
        <f>HYPERLINK("#'" &amp; A191 &amp; "'!A1", "编辑")</f>
        <v/>
      </c>
      <c r="D191" s="54" t="inlineStr">
        <is>
          <t>1队</t>
        </is>
      </c>
      <c r="E191" s="79">
        <f t="array" ref="E191">INDIRECT("'"&amp;$A192&amp;"'!I2")</f>
        <v/>
      </c>
      <c r="F191" s="29">
        <f t="array" ref="F191">INDIRECT("'"&amp;$A191&amp;"'!C8")</f>
        <v/>
      </c>
      <c r="G191" s="30">
        <f t="array" ref="G191">INDIRECT("'"&amp;$A191&amp;"'!D8")</f>
        <v/>
      </c>
      <c r="H191" s="30">
        <f t="array" ref="H191">INDIRECT("'"&amp;$A191&amp;"'!E8")</f>
        <v/>
      </c>
      <c r="I191" s="30">
        <f t="array" ref="I191">INDIRECT("'"&amp;$A191&amp;"'!F8")</f>
        <v/>
      </c>
      <c r="J191" s="30">
        <f t="array" ref="J191">INDIRECT("'"&amp;$A191&amp;"'!G8")</f>
        <v/>
      </c>
      <c r="K191" s="30">
        <f t="array" ref="K191">INDIRECT("'"&amp;$A191&amp;"'!H8")</f>
        <v/>
      </c>
      <c r="L191" s="30">
        <f t="array" ref="L191">INDIRECT("'"&amp;$A191&amp;"'!I8")</f>
        <v/>
      </c>
      <c r="M191" s="30">
        <f t="array" ref="M191">INDIRECT("'"&amp;$A191&amp;"'!J8")</f>
        <v/>
      </c>
      <c r="N191" s="30">
        <f t="array" ref="N191">INDIRECT("'"&amp;$A191&amp;"'!K8")</f>
        <v/>
      </c>
      <c r="O191" s="30">
        <f t="array" ref="O191">INDIRECT("'"&amp;$A191&amp;"'!L8")</f>
        <v/>
      </c>
      <c r="P191" s="30">
        <f t="array" ref="P191">INDIRECT("'"&amp;$A191&amp;"'!M8")</f>
        <v/>
      </c>
      <c r="Q191" s="30">
        <f t="array" ref="Q191">INDIRECT("'"&amp;$A191&amp;"'!N8")</f>
        <v/>
      </c>
      <c r="R191" s="30">
        <f t="array" ref="R191">INDIRECT("'"&amp;$A191&amp;"'!O8")</f>
        <v/>
      </c>
      <c r="S191" s="30">
        <f t="array" ref="S191">INDIRECT("'"&amp;$A191&amp;"'!P8")</f>
        <v/>
      </c>
      <c r="T191" s="30">
        <f t="array" ref="T191">INDIRECT("'"&amp;$A191&amp;"'!Q8")</f>
        <v/>
      </c>
      <c r="U191" s="30">
        <f t="array" ref="U191">INDIRECT("'"&amp;$A191&amp;"'!R8")</f>
        <v/>
      </c>
      <c r="V191" s="30">
        <f t="array" ref="V191">INDIRECT("'"&amp;$A191&amp;"'!S8")</f>
        <v/>
      </c>
      <c r="W191" s="30">
        <f t="array" ref="W191">INDIRECT("'"&amp;$A191&amp;"'!T8")</f>
        <v/>
      </c>
      <c r="X191" s="30">
        <f t="array" ref="X191">INDIRECT("'"&amp;$A191&amp;"'!U8")</f>
        <v/>
      </c>
      <c r="Y191" s="30">
        <f t="array" ref="Y191">INDIRECT("'"&amp;$A191&amp;"'!V8")</f>
        <v/>
      </c>
      <c r="Z191" s="30">
        <f t="array" ref="Z191">INDIRECT("'"&amp;$A191&amp;"'!W8")</f>
        <v/>
      </c>
      <c r="AA191" s="30">
        <f t="array" ref="AA191">INDIRECT("'"&amp;$A191&amp;"'!X8")</f>
        <v/>
      </c>
      <c r="AB191" s="30">
        <f t="array" ref="AB191">INDIRECT("'"&amp;$A191&amp;"'!Y8")</f>
        <v/>
      </c>
      <c r="AC191" s="30">
        <f t="array" ref="AC191">INDIRECT("'"&amp;$A191&amp;"'!Z8")</f>
        <v/>
      </c>
      <c r="AD191" s="31">
        <f t="array" ref="AD191">INDIRECT("'"&amp;$A191&amp;"'!AA8")</f>
        <v/>
      </c>
      <c r="AE191" s="79">
        <f t="array" ref="AE191">INDIRECT("'"&amp;$A192&amp;"'!J2")</f>
        <v/>
      </c>
      <c r="AF191" s="53">
        <f t="array" ref="AF191">INDIRECT("'"&amp;$A192&amp;"'!AD1")</f>
        <v/>
      </c>
    </row>
    <row r="192">
      <c r="A192" s="58" t="n">
        <v>64</v>
      </c>
      <c r="B192" s="105" t="n"/>
      <c r="C192" s="67">
        <f t="array" ref="C192">CONCATENATE("粮 ",INDIRECT("'"&amp;$A192&amp;"'!D4"))</f>
        <v/>
      </c>
      <c r="D192" s="55" t="inlineStr">
        <is>
          <t>2队</t>
        </is>
      </c>
      <c r="E192" s="80">
        <f t="array" ref="E192">INDIRECT("'"&amp;$A192&amp;"'!I3")</f>
        <v/>
      </c>
      <c r="F192" s="52">
        <f t="array" ref="F192">INDIRECT("'"&amp;$A192&amp;"'!C11")</f>
        <v/>
      </c>
      <c r="G192" s="3">
        <f t="array" ref="G192">INDIRECT("'"&amp;$A192&amp;"'!D11")</f>
        <v/>
      </c>
      <c r="H192" s="3">
        <f t="array" ref="H192">INDIRECT("'"&amp;$A192&amp;"'!E11")</f>
        <v/>
      </c>
      <c r="I192" s="3">
        <f t="array" ref="I192">INDIRECT("'"&amp;$A192&amp;"'!F11")</f>
        <v/>
      </c>
      <c r="J192" s="3">
        <f t="array" ref="J192">INDIRECT("'"&amp;$A192&amp;"'!G11")</f>
        <v/>
      </c>
      <c r="K192" s="3">
        <f t="array" ref="K192">INDIRECT("'"&amp;$A192&amp;"'!H11")</f>
        <v/>
      </c>
      <c r="L192" s="3">
        <f t="array" ref="L192">INDIRECT("'"&amp;$A192&amp;"'!I11")</f>
        <v/>
      </c>
      <c r="M192" s="3">
        <f t="array" ref="M192">INDIRECT("'"&amp;$A192&amp;"'!J11")</f>
        <v/>
      </c>
      <c r="N192" s="3">
        <f t="array" ref="N192">INDIRECT("'"&amp;$A192&amp;"'!K11")</f>
        <v/>
      </c>
      <c r="O192" s="3">
        <f t="array" ref="O192">INDIRECT("'"&amp;$A192&amp;"'!L11")</f>
        <v/>
      </c>
      <c r="P192" s="3">
        <f t="array" ref="P192">INDIRECT("'"&amp;$A192&amp;"'!M11")</f>
        <v/>
      </c>
      <c r="Q192" s="3">
        <f t="array" ref="Q192">INDIRECT("'"&amp;$A192&amp;"'!N11")</f>
        <v/>
      </c>
      <c r="R192" s="3">
        <f t="array" ref="R192">INDIRECT("'"&amp;$A192&amp;"'!O11")</f>
        <v/>
      </c>
      <c r="S192" s="3">
        <f t="array" ref="S192">INDIRECT("'"&amp;$A192&amp;"'!P11")</f>
        <v/>
      </c>
      <c r="T192" s="3">
        <f t="array" ref="T192">INDIRECT("'"&amp;$A192&amp;"'!Q11")</f>
        <v/>
      </c>
      <c r="U192" s="3">
        <f t="array" ref="U192">INDIRECT("'"&amp;$A192&amp;"'!R11")</f>
        <v/>
      </c>
      <c r="V192" s="3">
        <f t="array" ref="V192">INDIRECT("'"&amp;$A192&amp;"'!S11")</f>
        <v/>
      </c>
      <c r="W192" s="3">
        <f t="array" ref="W192">INDIRECT("'"&amp;$A192&amp;"'!T11")</f>
        <v/>
      </c>
      <c r="X192" s="3">
        <f t="array" ref="X192">INDIRECT("'"&amp;$A192&amp;"'!U11")</f>
        <v/>
      </c>
      <c r="Y192" s="3">
        <f t="array" ref="Y192">INDIRECT("'"&amp;$A192&amp;"'!V11")</f>
        <v/>
      </c>
      <c r="Z192" s="3">
        <f t="array" ref="Z192">INDIRECT("'"&amp;$A192&amp;"'!W11")</f>
        <v/>
      </c>
      <c r="AA192" s="3">
        <f t="array" ref="AA192">INDIRECT("'"&amp;$A192&amp;"'!X11")</f>
        <v/>
      </c>
      <c r="AB192" s="3">
        <f t="array" ref="AB192">INDIRECT("'"&amp;$A192&amp;"'!Y11")</f>
        <v/>
      </c>
      <c r="AC192" s="3">
        <f t="array" ref="AC192">INDIRECT("'"&amp;$A192&amp;"'!Z11")</f>
        <v/>
      </c>
      <c r="AD192" s="32">
        <f t="array" ref="AD192">INDIRECT("'"&amp;$A192&amp;"'!AA11")</f>
        <v/>
      </c>
      <c r="AE192" s="80">
        <f t="array" ref="AE192">INDIRECT("'"&amp;$A192&amp;"'!J3")</f>
        <v/>
      </c>
      <c r="AF192" s="53">
        <f t="array" ref="AF192">INDIRECT("'"&amp;$A192&amp;"'!AC1")</f>
        <v/>
      </c>
    </row>
    <row r="193" ht="15.75" customHeight="1" thickBot="1">
      <c r="A193" s="58" t="n">
        <v>64</v>
      </c>
      <c r="B193" s="106" t="n"/>
      <c r="C193" s="77">
        <f t="array" ref="C193">CONCATENATE("分 ",INDIRECT("'"&amp;$A192&amp;"'!D6"))</f>
        <v/>
      </c>
      <c r="D193" s="56" t="inlineStr">
        <is>
          <t>3队</t>
        </is>
      </c>
      <c r="E193" s="81">
        <f t="array" ref="E193">INDIRECT("'"&amp;$A192&amp;"'!I4")</f>
        <v/>
      </c>
      <c r="F193" s="52">
        <f t="array" ref="F193">INDIRECT("'"&amp;$A193&amp;"'!C14")</f>
        <v/>
      </c>
      <c r="G193" s="3">
        <f t="array" ref="G193">INDIRECT("'"&amp;$A193&amp;"'!D14")</f>
        <v/>
      </c>
      <c r="H193" s="3">
        <f t="array" ref="H193">INDIRECT("'"&amp;$A193&amp;"'!E14")</f>
        <v/>
      </c>
      <c r="I193" s="3">
        <f t="array" ref="I193">INDIRECT("'"&amp;$A193&amp;"'!F14")</f>
        <v/>
      </c>
      <c r="J193" s="3">
        <f t="array" ref="J193">INDIRECT("'"&amp;$A193&amp;"'!G14")</f>
        <v/>
      </c>
      <c r="K193" s="3">
        <f t="array" ref="K193">INDIRECT("'"&amp;$A193&amp;"'!H14")</f>
        <v/>
      </c>
      <c r="L193" s="3">
        <f t="array" ref="L193">INDIRECT("'"&amp;$A193&amp;"'!I14")</f>
        <v/>
      </c>
      <c r="M193" s="3">
        <f t="array" ref="M193">INDIRECT("'"&amp;$A193&amp;"'!J14")</f>
        <v/>
      </c>
      <c r="N193" s="3">
        <f t="array" ref="N193">INDIRECT("'"&amp;$A193&amp;"'!K14")</f>
        <v/>
      </c>
      <c r="O193" s="3">
        <f t="array" ref="O193">INDIRECT("'"&amp;$A193&amp;"'!L14")</f>
        <v/>
      </c>
      <c r="P193" s="3">
        <f t="array" ref="P193">INDIRECT("'"&amp;$A193&amp;"'!M14")</f>
        <v/>
      </c>
      <c r="Q193" s="3">
        <f t="array" ref="Q193">INDIRECT("'"&amp;$A193&amp;"'!N14")</f>
        <v/>
      </c>
      <c r="R193" s="3">
        <f t="array" ref="R193">INDIRECT("'"&amp;$A193&amp;"'!O14")</f>
        <v/>
      </c>
      <c r="S193" s="3">
        <f t="array" ref="S193">INDIRECT("'"&amp;$A193&amp;"'!P14")</f>
        <v/>
      </c>
      <c r="T193" s="3">
        <f t="array" ref="T193">INDIRECT("'"&amp;$A193&amp;"'!Q14")</f>
        <v/>
      </c>
      <c r="U193" s="3">
        <f t="array" ref="U193">INDIRECT("'"&amp;$A193&amp;"'!R14")</f>
        <v/>
      </c>
      <c r="V193" s="3">
        <f t="array" ref="V193">INDIRECT("'"&amp;$A193&amp;"'!S14")</f>
        <v/>
      </c>
      <c r="W193" s="3">
        <f t="array" ref="W193">INDIRECT("'"&amp;$A193&amp;"'!T14")</f>
        <v/>
      </c>
      <c r="X193" s="3">
        <f t="array" ref="X193">INDIRECT("'"&amp;$A193&amp;"'!U14")</f>
        <v/>
      </c>
      <c r="Y193" s="3">
        <f t="array" ref="Y193">INDIRECT("'"&amp;$A193&amp;"'!V14")</f>
        <v/>
      </c>
      <c r="Z193" s="3">
        <f t="array" ref="Z193">INDIRECT("'"&amp;$A193&amp;"'!W14")</f>
        <v/>
      </c>
      <c r="AA193" s="3">
        <f t="array" ref="AA193">INDIRECT("'"&amp;$A193&amp;"'!X14")</f>
        <v/>
      </c>
      <c r="AB193" s="3">
        <f t="array" ref="AB193">INDIRECT("'"&amp;$A193&amp;"'!Y14")</f>
        <v/>
      </c>
      <c r="AC193" s="3">
        <f t="array" ref="AC193">INDIRECT("'"&amp;$A193&amp;"'!Z14")</f>
        <v/>
      </c>
      <c r="AD193" s="32">
        <f t="array" ref="AD193">INDIRECT("'"&amp;$A193&amp;"'!AA14")</f>
        <v/>
      </c>
      <c r="AE193" s="81">
        <f t="array" ref="AE193">INDIRECT("'"&amp;$A192&amp;"'!J4")</f>
        <v/>
      </c>
      <c r="AF193" s="53" t="n"/>
    </row>
    <row r="194">
      <c r="A194" s="58" t="n">
        <v>65</v>
      </c>
      <c r="B194" s="103">
        <f>INDEX(data!$I$2:$I$98,MATCH(A194*1,data!$G$2:$G$98,0))</f>
        <v/>
      </c>
      <c r="C194" s="66">
        <f>HYPERLINK("#'" &amp; A194 &amp; "'!A1", "编辑")</f>
        <v/>
      </c>
      <c r="D194" s="54" t="inlineStr">
        <is>
          <t>1队</t>
        </is>
      </c>
      <c r="E194" s="79">
        <f t="array" ref="E194">INDIRECT("'"&amp;$A195&amp;"'!I2")</f>
        <v/>
      </c>
      <c r="F194" s="29">
        <f t="array" ref="F194">INDIRECT("'"&amp;$A194&amp;"'!C8")</f>
        <v/>
      </c>
      <c r="G194" s="30">
        <f t="array" ref="G194">INDIRECT("'"&amp;$A194&amp;"'!D8")</f>
        <v/>
      </c>
      <c r="H194" s="30">
        <f t="array" ref="H194">INDIRECT("'"&amp;$A194&amp;"'!E8")</f>
        <v/>
      </c>
      <c r="I194" s="30">
        <f t="array" ref="I194">INDIRECT("'"&amp;$A194&amp;"'!F8")</f>
        <v/>
      </c>
      <c r="J194" s="30">
        <f t="array" ref="J194">INDIRECT("'"&amp;$A194&amp;"'!G8")</f>
        <v/>
      </c>
      <c r="K194" s="30">
        <f t="array" ref="K194">INDIRECT("'"&amp;$A194&amp;"'!H8")</f>
        <v/>
      </c>
      <c r="L194" s="30">
        <f t="array" ref="L194">INDIRECT("'"&amp;$A194&amp;"'!I8")</f>
        <v/>
      </c>
      <c r="M194" s="30">
        <f t="array" ref="M194">INDIRECT("'"&amp;$A194&amp;"'!J8")</f>
        <v/>
      </c>
      <c r="N194" s="30">
        <f t="array" ref="N194">INDIRECT("'"&amp;$A194&amp;"'!K8")</f>
        <v/>
      </c>
      <c r="O194" s="30">
        <f t="array" ref="O194">INDIRECT("'"&amp;$A194&amp;"'!L8")</f>
        <v/>
      </c>
      <c r="P194" s="30">
        <f t="array" ref="P194">INDIRECT("'"&amp;$A194&amp;"'!M8")</f>
        <v/>
      </c>
      <c r="Q194" s="30">
        <f t="array" ref="Q194">INDIRECT("'"&amp;$A194&amp;"'!N8")</f>
        <v/>
      </c>
      <c r="R194" s="30">
        <f t="array" ref="R194">INDIRECT("'"&amp;$A194&amp;"'!O8")</f>
        <v/>
      </c>
      <c r="S194" s="30">
        <f t="array" ref="S194">INDIRECT("'"&amp;$A194&amp;"'!P8")</f>
        <v/>
      </c>
      <c r="T194" s="30">
        <f t="array" ref="T194">INDIRECT("'"&amp;$A194&amp;"'!Q8")</f>
        <v/>
      </c>
      <c r="U194" s="30">
        <f t="array" ref="U194">INDIRECT("'"&amp;$A194&amp;"'!R8")</f>
        <v/>
      </c>
      <c r="V194" s="30">
        <f t="array" ref="V194">INDIRECT("'"&amp;$A194&amp;"'!S8")</f>
        <v/>
      </c>
      <c r="W194" s="30">
        <f t="array" ref="W194">INDIRECT("'"&amp;$A194&amp;"'!T8")</f>
        <v/>
      </c>
      <c r="X194" s="30">
        <f t="array" ref="X194">INDIRECT("'"&amp;$A194&amp;"'!U8")</f>
        <v/>
      </c>
      <c r="Y194" s="30">
        <f t="array" ref="Y194">INDIRECT("'"&amp;$A194&amp;"'!V8")</f>
        <v/>
      </c>
      <c r="Z194" s="30">
        <f t="array" ref="Z194">INDIRECT("'"&amp;$A194&amp;"'!W8")</f>
        <v/>
      </c>
      <c r="AA194" s="30">
        <f t="array" ref="AA194">INDIRECT("'"&amp;$A194&amp;"'!X8")</f>
        <v/>
      </c>
      <c r="AB194" s="30">
        <f t="array" ref="AB194">INDIRECT("'"&amp;$A194&amp;"'!Y8")</f>
        <v/>
      </c>
      <c r="AC194" s="30">
        <f t="array" ref="AC194">INDIRECT("'"&amp;$A194&amp;"'!Z8")</f>
        <v/>
      </c>
      <c r="AD194" s="31">
        <f t="array" ref="AD194">INDIRECT("'"&amp;$A194&amp;"'!AA8")</f>
        <v/>
      </c>
      <c r="AE194" s="79">
        <f t="array" ref="AE194">INDIRECT("'"&amp;$A195&amp;"'!J2")</f>
        <v/>
      </c>
      <c r="AF194" s="53">
        <f t="array" ref="AF194">INDIRECT("'"&amp;$A195&amp;"'!AD1")</f>
        <v/>
      </c>
    </row>
    <row r="195">
      <c r="A195" s="58" t="n">
        <v>65</v>
      </c>
      <c r="B195" s="105" t="n"/>
      <c r="C195" s="67">
        <f t="array" ref="C195">CONCATENATE("粮 ",INDIRECT("'"&amp;$A195&amp;"'!D4"))</f>
        <v/>
      </c>
      <c r="D195" s="55" t="inlineStr">
        <is>
          <t>2队</t>
        </is>
      </c>
      <c r="E195" s="80">
        <f t="array" ref="E195">INDIRECT("'"&amp;$A195&amp;"'!I3")</f>
        <v/>
      </c>
      <c r="F195" s="52">
        <f t="array" ref="F195">INDIRECT("'"&amp;$A195&amp;"'!C11")</f>
        <v/>
      </c>
      <c r="G195" s="3">
        <f t="array" ref="G195">INDIRECT("'"&amp;$A195&amp;"'!D11")</f>
        <v/>
      </c>
      <c r="H195" s="3">
        <f t="array" ref="H195">INDIRECT("'"&amp;$A195&amp;"'!E11")</f>
        <v/>
      </c>
      <c r="I195" s="3">
        <f t="array" ref="I195">INDIRECT("'"&amp;$A195&amp;"'!F11")</f>
        <v/>
      </c>
      <c r="J195" s="3">
        <f t="array" ref="J195">INDIRECT("'"&amp;$A195&amp;"'!G11")</f>
        <v/>
      </c>
      <c r="K195" s="3">
        <f t="array" ref="K195">INDIRECT("'"&amp;$A195&amp;"'!H11")</f>
        <v/>
      </c>
      <c r="L195" s="3">
        <f t="array" ref="L195">INDIRECT("'"&amp;$A195&amp;"'!I11")</f>
        <v/>
      </c>
      <c r="M195" s="3">
        <f t="array" ref="M195">INDIRECT("'"&amp;$A195&amp;"'!J11")</f>
        <v/>
      </c>
      <c r="N195" s="3">
        <f t="array" ref="N195">INDIRECT("'"&amp;$A195&amp;"'!K11")</f>
        <v/>
      </c>
      <c r="O195" s="3">
        <f t="array" ref="O195">INDIRECT("'"&amp;$A195&amp;"'!L11")</f>
        <v/>
      </c>
      <c r="P195" s="3">
        <f t="array" ref="P195">INDIRECT("'"&amp;$A195&amp;"'!M11")</f>
        <v/>
      </c>
      <c r="Q195" s="3">
        <f t="array" ref="Q195">INDIRECT("'"&amp;$A195&amp;"'!N11")</f>
        <v/>
      </c>
      <c r="R195" s="3">
        <f t="array" ref="R195">INDIRECT("'"&amp;$A195&amp;"'!O11")</f>
        <v/>
      </c>
      <c r="S195" s="3">
        <f t="array" ref="S195">INDIRECT("'"&amp;$A195&amp;"'!P11")</f>
        <v/>
      </c>
      <c r="T195" s="3">
        <f t="array" ref="T195">INDIRECT("'"&amp;$A195&amp;"'!Q11")</f>
        <v/>
      </c>
      <c r="U195" s="3">
        <f t="array" ref="U195">INDIRECT("'"&amp;$A195&amp;"'!R11")</f>
        <v/>
      </c>
      <c r="V195" s="3">
        <f t="array" ref="V195">INDIRECT("'"&amp;$A195&amp;"'!S11")</f>
        <v/>
      </c>
      <c r="W195" s="3">
        <f t="array" ref="W195">INDIRECT("'"&amp;$A195&amp;"'!T11")</f>
        <v/>
      </c>
      <c r="X195" s="3">
        <f t="array" ref="X195">INDIRECT("'"&amp;$A195&amp;"'!U11")</f>
        <v/>
      </c>
      <c r="Y195" s="3">
        <f t="array" ref="Y195">INDIRECT("'"&amp;$A195&amp;"'!V11")</f>
        <v/>
      </c>
      <c r="Z195" s="3">
        <f t="array" ref="Z195">INDIRECT("'"&amp;$A195&amp;"'!W11")</f>
        <v/>
      </c>
      <c r="AA195" s="3">
        <f t="array" ref="AA195">INDIRECT("'"&amp;$A195&amp;"'!X11")</f>
        <v/>
      </c>
      <c r="AB195" s="3">
        <f t="array" ref="AB195">INDIRECT("'"&amp;$A195&amp;"'!Y11")</f>
        <v/>
      </c>
      <c r="AC195" s="3">
        <f t="array" ref="AC195">INDIRECT("'"&amp;$A195&amp;"'!Z11")</f>
        <v/>
      </c>
      <c r="AD195" s="32">
        <f t="array" ref="AD195">INDIRECT("'"&amp;$A195&amp;"'!AA11")</f>
        <v/>
      </c>
      <c r="AE195" s="80">
        <f t="array" ref="AE195">INDIRECT("'"&amp;$A195&amp;"'!J3")</f>
        <v/>
      </c>
      <c r="AF195" s="53">
        <f t="array" ref="AF195">INDIRECT("'"&amp;$A195&amp;"'!AC1")</f>
        <v/>
      </c>
    </row>
    <row r="196" ht="15.75" customHeight="1" thickBot="1">
      <c r="A196" s="58" t="n">
        <v>65</v>
      </c>
      <c r="B196" s="106" t="n"/>
      <c r="C196" s="77">
        <f t="array" ref="C196">CONCATENATE("分 ",INDIRECT("'"&amp;$A195&amp;"'!D6"))</f>
        <v/>
      </c>
      <c r="D196" s="56" t="inlineStr">
        <is>
          <t>3队</t>
        </is>
      </c>
      <c r="E196" s="81">
        <f t="array" ref="E196">INDIRECT("'"&amp;$A195&amp;"'!I4")</f>
        <v/>
      </c>
      <c r="F196" s="52">
        <f t="array" ref="F196">INDIRECT("'"&amp;$A196&amp;"'!C14")</f>
        <v/>
      </c>
      <c r="G196" s="3">
        <f t="array" ref="G196">INDIRECT("'"&amp;$A196&amp;"'!D14")</f>
        <v/>
      </c>
      <c r="H196" s="3">
        <f t="array" ref="H196">INDIRECT("'"&amp;$A196&amp;"'!E14")</f>
        <v/>
      </c>
      <c r="I196" s="3">
        <f t="array" ref="I196">INDIRECT("'"&amp;$A196&amp;"'!F14")</f>
        <v/>
      </c>
      <c r="J196" s="3">
        <f t="array" ref="J196">INDIRECT("'"&amp;$A196&amp;"'!G14")</f>
        <v/>
      </c>
      <c r="K196" s="3">
        <f t="array" ref="K196">INDIRECT("'"&amp;$A196&amp;"'!H14")</f>
        <v/>
      </c>
      <c r="L196" s="3">
        <f t="array" ref="L196">INDIRECT("'"&amp;$A196&amp;"'!I14")</f>
        <v/>
      </c>
      <c r="M196" s="3">
        <f t="array" ref="M196">INDIRECT("'"&amp;$A196&amp;"'!J14")</f>
        <v/>
      </c>
      <c r="N196" s="3">
        <f t="array" ref="N196">INDIRECT("'"&amp;$A196&amp;"'!K14")</f>
        <v/>
      </c>
      <c r="O196" s="3">
        <f t="array" ref="O196">INDIRECT("'"&amp;$A196&amp;"'!L14")</f>
        <v/>
      </c>
      <c r="P196" s="3">
        <f t="array" ref="P196">INDIRECT("'"&amp;$A196&amp;"'!M14")</f>
        <v/>
      </c>
      <c r="Q196" s="3">
        <f t="array" ref="Q196">INDIRECT("'"&amp;$A196&amp;"'!N14")</f>
        <v/>
      </c>
      <c r="R196" s="3">
        <f t="array" ref="R196">INDIRECT("'"&amp;$A196&amp;"'!O14")</f>
        <v/>
      </c>
      <c r="S196" s="3">
        <f t="array" ref="S196">INDIRECT("'"&amp;$A196&amp;"'!P14")</f>
        <v/>
      </c>
      <c r="T196" s="3">
        <f t="array" ref="T196">INDIRECT("'"&amp;$A196&amp;"'!Q14")</f>
        <v/>
      </c>
      <c r="U196" s="3">
        <f t="array" ref="U196">INDIRECT("'"&amp;$A196&amp;"'!R14")</f>
        <v/>
      </c>
      <c r="V196" s="3">
        <f t="array" ref="V196">INDIRECT("'"&amp;$A196&amp;"'!S14")</f>
        <v/>
      </c>
      <c r="W196" s="3">
        <f t="array" ref="W196">INDIRECT("'"&amp;$A196&amp;"'!T14")</f>
        <v/>
      </c>
      <c r="X196" s="3">
        <f t="array" ref="X196">INDIRECT("'"&amp;$A196&amp;"'!U14")</f>
        <v/>
      </c>
      <c r="Y196" s="3">
        <f t="array" ref="Y196">INDIRECT("'"&amp;$A196&amp;"'!V14")</f>
        <v/>
      </c>
      <c r="Z196" s="3">
        <f t="array" ref="Z196">INDIRECT("'"&amp;$A196&amp;"'!W14")</f>
        <v/>
      </c>
      <c r="AA196" s="3">
        <f t="array" ref="AA196">INDIRECT("'"&amp;$A196&amp;"'!X14")</f>
        <v/>
      </c>
      <c r="AB196" s="3">
        <f t="array" ref="AB196">INDIRECT("'"&amp;$A196&amp;"'!Y14")</f>
        <v/>
      </c>
      <c r="AC196" s="3">
        <f t="array" ref="AC196">INDIRECT("'"&amp;$A196&amp;"'!Z14")</f>
        <v/>
      </c>
      <c r="AD196" s="32">
        <f t="array" ref="AD196">INDIRECT("'"&amp;$A196&amp;"'!AA14")</f>
        <v/>
      </c>
      <c r="AE196" s="81">
        <f t="array" ref="AE196">INDIRECT("'"&amp;$A195&amp;"'!J4")</f>
        <v/>
      </c>
      <c r="AF196" s="53" t="n"/>
    </row>
    <row r="197">
      <c r="A197" s="58" t="n">
        <v>66</v>
      </c>
      <c r="B197" s="103">
        <f>INDEX(data!$I$2:$I$98,MATCH(A197*1,data!$G$2:$G$98,0))</f>
        <v/>
      </c>
      <c r="C197" s="66">
        <f>HYPERLINK("#'" &amp; A197 &amp; "'!A1", "编辑")</f>
        <v/>
      </c>
      <c r="D197" s="54" t="inlineStr">
        <is>
          <t>1队</t>
        </is>
      </c>
      <c r="E197" s="79">
        <f t="array" ref="E197">INDIRECT("'"&amp;$A198&amp;"'!I2")</f>
        <v/>
      </c>
      <c r="F197" s="29">
        <f t="array" ref="F197">INDIRECT("'"&amp;$A197&amp;"'!C8")</f>
        <v/>
      </c>
      <c r="G197" s="30">
        <f t="array" ref="G197">INDIRECT("'"&amp;$A197&amp;"'!D8")</f>
        <v/>
      </c>
      <c r="H197" s="30">
        <f t="array" ref="H197">INDIRECT("'"&amp;$A197&amp;"'!E8")</f>
        <v/>
      </c>
      <c r="I197" s="30">
        <f t="array" ref="I197">INDIRECT("'"&amp;$A197&amp;"'!F8")</f>
        <v/>
      </c>
      <c r="J197" s="30">
        <f t="array" ref="J197">INDIRECT("'"&amp;$A197&amp;"'!G8")</f>
        <v/>
      </c>
      <c r="K197" s="30">
        <f t="array" ref="K197">INDIRECT("'"&amp;$A197&amp;"'!H8")</f>
        <v/>
      </c>
      <c r="L197" s="30">
        <f t="array" ref="L197">INDIRECT("'"&amp;$A197&amp;"'!I8")</f>
        <v/>
      </c>
      <c r="M197" s="30">
        <f t="array" ref="M197">INDIRECT("'"&amp;$A197&amp;"'!J8")</f>
        <v/>
      </c>
      <c r="N197" s="30">
        <f t="array" ref="N197">INDIRECT("'"&amp;$A197&amp;"'!K8")</f>
        <v/>
      </c>
      <c r="O197" s="30">
        <f t="array" ref="O197">INDIRECT("'"&amp;$A197&amp;"'!L8")</f>
        <v/>
      </c>
      <c r="P197" s="30">
        <f t="array" ref="P197">INDIRECT("'"&amp;$A197&amp;"'!M8")</f>
        <v/>
      </c>
      <c r="Q197" s="30">
        <f t="array" ref="Q197">INDIRECT("'"&amp;$A197&amp;"'!N8")</f>
        <v/>
      </c>
      <c r="R197" s="30">
        <f t="array" ref="R197">INDIRECT("'"&amp;$A197&amp;"'!O8")</f>
        <v/>
      </c>
      <c r="S197" s="30">
        <f t="array" ref="S197">INDIRECT("'"&amp;$A197&amp;"'!P8")</f>
        <v/>
      </c>
      <c r="T197" s="30">
        <f t="array" ref="T197">INDIRECT("'"&amp;$A197&amp;"'!Q8")</f>
        <v/>
      </c>
      <c r="U197" s="30">
        <f t="array" ref="U197">INDIRECT("'"&amp;$A197&amp;"'!R8")</f>
        <v/>
      </c>
      <c r="V197" s="30">
        <f t="array" ref="V197">INDIRECT("'"&amp;$A197&amp;"'!S8")</f>
        <v/>
      </c>
      <c r="W197" s="30">
        <f t="array" ref="W197">INDIRECT("'"&amp;$A197&amp;"'!T8")</f>
        <v/>
      </c>
      <c r="X197" s="30">
        <f t="array" ref="X197">INDIRECT("'"&amp;$A197&amp;"'!U8")</f>
        <v/>
      </c>
      <c r="Y197" s="30">
        <f t="array" ref="Y197">INDIRECT("'"&amp;$A197&amp;"'!V8")</f>
        <v/>
      </c>
      <c r="Z197" s="30">
        <f t="array" ref="Z197">INDIRECT("'"&amp;$A197&amp;"'!W8")</f>
        <v/>
      </c>
      <c r="AA197" s="30">
        <f t="array" ref="AA197">INDIRECT("'"&amp;$A197&amp;"'!X8")</f>
        <v/>
      </c>
      <c r="AB197" s="30">
        <f t="array" ref="AB197">INDIRECT("'"&amp;$A197&amp;"'!Y8")</f>
        <v/>
      </c>
      <c r="AC197" s="30">
        <f t="array" ref="AC197">INDIRECT("'"&amp;$A197&amp;"'!Z8")</f>
        <v/>
      </c>
      <c r="AD197" s="31">
        <f t="array" ref="AD197">INDIRECT("'"&amp;$A197&amp;"'!AA8")</f>
        <v/>
      </c>
      <c r="AE197" s="79">
        <f t="array" ref="AE197">INDIRECT("'"&amp;$A198&amp;"'!J2")</f>
        <v/>
      </c>
      <c r="AF197" s="53">
        <f t="array" ref="AF197">INDIRECT("'"&amp;$A198&amp;"'!AD1")</f>
        <v/>
      </c>
    </row>
    <row r="198">
      <c r="A198" s="58" t="n">
        <v>66</v>
      </c>
      <c r="B198" s="105" t="n"/>
      <c r="C198" s="67">
        <f t="array" ref="C198">CONCATENATE("粮 ",INDIRECT("'"&amp;$A198&amp;"'!D4"))</f>
        <v/>
      </c>
      <c r="D198" s="55" t="inlineStr">
        <is>
          <t>2队</t>
        </is>
      </c>
      <c r="E198" s="80">
        <f t="array" ref="E198">INDIRECT("'"&amp;$A198&amp;"'!I3")</f>
        <v/>
      </c>
      <c r="F198" s="52">
        <f t="array" ref="F198">INDIRECT("'"&amp;$A198&amp;"'!C11")</f>
        <v/>
      </c>
      <c r="G198" s="3">
        <f t="array" ref="G198">INDIRECT("'"&amp;$A198&amp;"'!D11")</f>
        <v/>
      </c>
      <c r="H198" s="3">
        <f t="array" ref="H198">INDIRECT("'"&amp;$A198&amp;"'!E11")</f>
        <v/>
      </c>
      <c r="I198" s="3">
        <f t="array" ref="I198">INDIRECT("'"&amp;$A198&amp;"'!F11")</f>
        <v/>
      </c>
      <c r="J198" s="3">
        <f t="array" ref="J198">INDIRECT("'"&amp;$A198&amp;"'!G11")</f>
        <v/>
      </c>
      <c r="K198" s="3">
        <f t="array" ref="K198">INDIRECT("'"&amp;$A198&amp;"'!H11")</f>
        <v/>
      </c>
      <c r="L198" s="3">
        <f t="array" ref="L198">INDIRECT("'"&amp;$A198&amp;"'!I11")</f>
        <v/>
      </c>
      <c r="M198" s="3">
        <f t="array" ref="M198">INDIRECT("'"&amp;$A198&amp;"'!J11")</f>
        <v/>
      </c>
      <c r="N198" s="3">
        <f t="array" ref="N198">INDIRECT("'"&amp;$A198&amp;"'!K11")</f>
        <v/>
      </c>
      <c r="O198" s="3">
        <f t="array" ref="O198">INDIRECT("'"&amp;$A198&amp;"'!L11")</f>
        <v/>
      </c>
      <c r="P198" s="3">
        <f t="array" ref="P198">INDIRECT("'"&amp;$A198&amp;"'!M11")</f>
        <v/>
      </c>
      <c r="Q198" s="3">
        <f t="array" ref="Q198">INDIRECT("'"&amp;$A198&amp;"'!N11")</f>
        <v/>
      </c>
      <c r="R198" s="3">
        <f t="array" ref="R198">INDIRECT("'"&amp;$A198&amp;"'!O11")</f>
        <v/>
      </c>
      <c r="S198" s="3">
        <f t="array" ref="S198">INDIRECT("'"&amp;$A198&amp;"'!P11")</f>
        <v/>
      </c>
      <c r="T198" s="3">
        <f t="array" ref="T198">INDIRECT("'"&amp;$A198&amp;"'!Q11")</f>
        <v/>
      </c>
      <c r="U198" s="3">
        <f t="array" ref="U198">INDIRECT("'"&amp;$A198&amp;"'!R11")</f>
        <v/>
      </c>
      <c r="V198" s="3">
        <f t="array" ref="V198">INDIRECT("'"&amp;$A198&amp;"'!S11")</f>
        <v/>
      </c>
      <c r="W198" s="3">
        <f t="array" ref="W198">INDIRECT("'"&amp;$A198&amp;"'!T11")</f>
        <v/>
      </c>
      <c r="X198" s="3">
        <f t="array" ref="X198">INDIRECT("'"&amp;$A198&amp;"'!U11")</f>
        <v/>
      </c>
      <c r="Y198" s="3">
        <f t="array" ref="Y198">INDIRECT("'"&amp;$A198&amp;"'!V11")</f>
        <v/>
      </c>
      <c r="Z198" s="3">
        <f t="array" ref="Z198">INDIRECT("'"&amp;$A198&amp;"'!W11")</f>
        <v/>
      </c>
      <c r="AA198" s="3">
        <f t="array" ref="AA198">INDIRECT("'"&amp;$A198&amp;"'!X11")</f>
        <v/>
      </c>
      <c r="AB198" s="3">
        <f t="array" ref="AB198">INDIRECT("'"&amp;$A198&amp;"'!Y11")</f>
        <v/>
      </c>
      <c r="AC198" s="3">
        <f t="array" ref="AC198">INDIRECT("'"&amp;$A198&amp;"'!Z11")</f>
        <v/>
      </c>
      <c r="AD198" s="32">
        <f t="array" ref="AD198">INDIRECT("'"&amp;$A198&amp;"'!AA11")</f>
        <v/>
      </c>
      <c r="AE198" s="80">
        <f t="array" ref="AE198">INDIRECT("'"&amp;$A198&amp;"'!J3")</f>
        <v/>
      </c>
      <c r="AF198" s="53">
        <f t="array" ref="AF198">INDIRECT("'"&amp;$A198&amp;"'!AC1")</f>
        <v/>
      </c>
    </row>
    <row r="199" ht="15.75" customHeight="1" thickBot="1">
      <c r="A199" s="58" t="n">
        <v>66</v>
      </c>
      <c r="B199" s="106" t="n"/>
      <c r="C199" s="77">
        <f t="array" ref="C199">CONCATENATE("分 ",INDIRECT("'"&amp;$A198&amp;"'!D6"))</f>
        <v/>
      </c>
      <c r="D199" s="56" t="inlineStr">
        <is>
          <t>3队</t>
        </is>
      </c>
      <c r="E199" s="81">
        <f t="array" ref="E199">INDIRECT("'"&amp;$A198&amp;"'!I4")</f>
        <v/>
      </c>
      <c r="F199" s="52">
        <f t="array" ref="F199">INDIRECT("'"&amp;$A199&amp;"'!C14")</f>
        <v/>
      </c>
      <c r="G199" s="3">
        <f t="array" ref="G199">INDIRECT("'"&amp;$A199&amp;"'!D14")</f>
        <v/>
      </c>
      <c r="H199" s="3">
        <f t="array" ref="H199">INDIRECT("'"&amp;$A199&amp;"'!E14")</f>
        <v/>
      </c>
      <c r="I199" s="3">
        <f t="array" ref="I199">INDIRECT("'"&amp;$A199&amp;"'!F14")</f>
        <v/>
      </c>
      <c r="J199" s="3">
        <f t="array" ref="J199">INDIRECT("'"&amp;$A199&amp;"'!G14")</f>
        <v/>
      </c>
      <c r="K199" s="3">
        <f t="array" ref="K199">INDIRECT("'"&amp;$A199&amp;"'!H14")</f>
        <v/>
      </c>
      <c r="L199" s="3">
        <f t="array" ref="L199">INDIRECT("'"&amp;$A199&amp;"'!I14")</f>
        <v/>
      </c>
      <c r="M199" s="3">
        <f t="array" ref="M199">INDIRECT("'"&amp;$A199&amp;"'!J14")</f>
        <v/>
      </c>
      <c r="N199" s="3">
        <f t="array" ref="N199">INDIRECT("'"&amp;$A199&amp;"'!K14")</f>
        <v/>
      </c>
      <c r="O199" s="3">
        <f t="array" ref="O199">INDIRECT("'"&amp;$A199&amp;"'!L14")</f>
        <v/>
      </c>
      <c r="P199" s="3">
        <f t="array" ref="P199">INDIRECT("'"&amp;$A199&amp;"'!M14")</f>
        <v/>
      </c>
      <c r="Q199" s="3">
        <f t="array" ref="Q199">INDIRECT("'"&amp;$A199&amp;"'!N14")</f>
        <v/>
      </c>
      <c r="R199" s="3">
        <f t="array" ref="R199">INDIRECT("'"&amp;$A199&amp;"'!O14")</f>
        <v/>
      </c>
      <c r="S199" s="3">
        <f t="array" ref="S199">INDIRECT("'"&amp;$A199&amp;"'!P14")</f>
        <v/>
      </c>
      <c r="T199" s="3">
        <f t="array" ref="T199">INDIRECT("'"&amp;$A199&amp;"'!Q14")</f>
        <v/>
      </c>
      <c r="U199" s="3">
        <f t="array" ref="U199">INDIRECT("'"&amp;$A199&amp;"'!R14")</f>
        <v/>
      </c>
      <c r="V199" s="3">
        <f t="array" ref="V199">INDIRECT("'"&amp;$A199&amp;"'!S14")</f>
        <v/>
      </c>
      <c r="W199" s="3">
        <f t="array" ref="W199">INDIRECT("'"&amp;$A199&amp;"'!T14")</f>
        <v/>
      </c>
      <c r="X199" s="3">
        <f t="array" ref="X199">INDIRECT("'"&amp;$A199&amp;"'!U14")</f>
        <v/>
      </c>
      <c r="Y199" s="3">
        <f t="array" ref="Y199">INDIRECT("'"&amp;$A199&amp;"'!V14")</f>
        <v/>
      </c>
      <c r="Z199" s="3">
        <f t="array" ref="Z199">INDIRECT("'"&amp;$A199&amp;"'!W14")</f>
        <v/>
      </c>
      <c r="AA199" s="3">
        <f t="array" ref="AA199">INDIRECT("'"&amp;$A199&amp;"'!X14")</f>
        <v/>
      </c>
      <c r="AB199" s="3">
        <f t="array" ref="AB199">INDIRECT("'"&amp;$A199&amp;"'!Y14")</f>
        <v/>
      </c>
      <c r="AC199" s="3">
        <f t="array" ref="AC199">INDIRECT("'"&amp;$A199&amp;"'!Z14")</f>
        <v/>
      </c>
      <c r="AD199" s="32">
        <f t="array" ref="AD199">INDIRECT("'"&amp;$A199&amp;"'!AA14")</f>
        <v/>
      </c>
      <c r="AE199" s="81">
        <f t="array" ref="AE199">INDIRECT("'"&amp;$A198&amp;"'!J4")</f>
        <v/>
      </c>
      <c r="AF199" s="53" t="n"/>
    </row>
    <row r="200">
      <c r="A200" s="58" t="n">
        <v>67</v>
      </c>
      <c r="B200" s="103">
        <f>INDEX(data!$I$2:$I$98,MATCH(A200*1,data!$G$2:$G$98,0))</f>
        <v/>
      </c>
      <c r="C200" s="66">
        <f>HYPERLINK("#'" &amp; A200 &amp; "'!A1", "编辑")</f>
        <v/>
      </c>
      <c r="D200" s="54" t="inlineStr">
        <is>
          <t>1队</t>
        </is>
      </c>
      <c r="E200" s="79">
        <f t="array" ref="E200">INDIRECT("'"&amp;$A201&amp;"'!I2")</f>
        <v/>
      </c>
      <c r="F200" s="29">
        <f t="array" ref="F200">INDIRECT("'"&amp;$A200&amp;"'!C8")</f>
        <v/>
      </c>
      <c r="G200" s="30">
        <f t="array" ref="G200">INDIRECT("'"&amp;$A200&amp;"'!D8")</f>
        <v/>
      </c>
      <c r="H200" s="30">
        <f t="array" ref="H200">INDIRECT("'"&amp;$A200&amp;"'!E8")</f>
        <v/>
      </c>
      <c r="I200" s="30">
        <f t="array" ref="I200">INDIRECT("'"&amp;$A200&amp;"'!F8")</f>
        <v/>
      </c>
      <c r="J200" s="30">
        <f t="array" ref="J200">INDIRECT("'"&amp;$A200&amp;"'!G8")</f>
        <v/>
      </c>
      <c r="K200" s="30">
        <f t="array" ref="K200">INDIRECT("'"&amp;$A200&amp;"'!H8")</f>
        <v/>
      </c>
      <c r="L200" s="30">
        <f t="array" ref="L200">INDIRECT("'"&amp;$A200&amp;"'!I8")</f>
        <v/>
      </c>
      <c r="M200" s="30">
        <f t="array" ref="M200">INDIRECT("'"&amp;$A200&amp;"'!J8")</f>
        <v/>
      </c>
      <c r="N200" s="30">
        <f t="array" ref="N200">INDIRECT("'"&amp;$A200&amp;"'!K8")</f>
        <v/>
      </c>
      <c r="O200" s="30">
        <f t="array" ref="O200">INDIRECT("'"&amp;$A200&amp;"'!L8")</f>
        <v/>
      </c>
      <c r="P200" s="30">
        <f t="array" ref="P200">INDIRECT("'"&amp;$A200&amp;"'!M8")</f>
        <v/>
      </c>
      <c r="Q200" s="30">
        <f t="array" ref="Q200">INDIRECT("'"&amp;$A200&amp;"'!N8")</f>
        <v/>
      </c>
      <c r="R200" s="30">
        <f t="array" ref="R200">INDIRECT("'"&amp;$A200&amp;"'!O8")</f>
        <v/>
      </c>
      <c r="S200" s="30">
        <f t="array" ref="S200">INDIRECT("'"&amp;$A200&amp;"'!P8")</f>
        <v/>
      </c>
      <c r="T200" s="30">
        <f t="array" ref="T200">INDIRECT("'"&amp;$A200&amp;"'!Q8")</f>
        <v/>
      </c>
      <c r="U200" s="30">
        <f t="array" ref="U200">INDIRECT("'"&amp;$A200&amp;"'!R8")</f>
        <v/>
      </c>
      <c r="V200" s="30">
        <f t="array" ref="V200">INDIRECT("'"&amp;$A200&amp;"'!S8")</f>
        <v/>
      </c>
      <c r="W200" s="30">
        <f t="array" ref="W200">INDIRECT("'"&amp;$A200&amp;"'!T8")</f>
        <v/>
      </c>
      <c r="X200" s="30">
        <f t="array" ref="X200">INDIRECT("'"&amp;$A200&amp;"'!U8")</f>
        <v/>
      </c>
      <c r="Y200" s="30">
        <f t="array" ref="Y200">INDIRECT("'"&amp;$A200&amp;"'!V8")</f>
        <v/>
      </c>
      <c r="Z200" s="30">
        <f t="array" ref="Z200">INDIRECT("'"&amp;$A200&amp;"'!W8")</f>
        <v/>
      </c>
      <c r="AA200" s="30">
        <f t="array" ref="AA200">INDIRECT("'"&amp;$A200&amp;"'!X8")</f>
        <v/>
      </c>
      <c r="AB200" s="30">
        <f t="array" ref="AB200">INDIRECT("'"&amp;$A200&amp;"'!Y8")</f>
        <v/>
      </c>
      <c r="AC200" s="30">
        <f t="array" ref="AC200">INDIRECT("'"&amp;$A200&amp;"'!Z8")</f>
        <v/>
      </c>
      <c r="AD200" s="31">
        <f t="array" ref="AD200">INDIRECT("'"&amp;$A200&amp;"'!AA8")</f>
        <v/>
      </c>
      <c r="AE200" s="79">
        <f t="array" ref="AE200">INDIRECT("'"&amp;$A201&amp;"'!J2")</f>
        <v/>
      </c>
      <c r="AF200" s="53">
        <f t="array" ref="AF200">INDIRECT("'"&amp;$A201&amp;"'!AD1")</f>
        <v/>
      </c>
    </row>
    <row r="201">
      <c r="A201" s="58" t="n">
        <v>67</v>
      </c>
      <c r="B201" s="105" t="n"/>
      <c r="C201" s="67">
        <f t="array" ref="C201">CONCATENATE("粮 ",INDIRECT("'"&amp;$A201&amp;"'!D4"))</f>
        <v/>
      </c>
      <c r="D201" s="55" t="inlineStr">
        <is>
          <t>2队</t>
        </is>
      </c>
      <c r="E201" s="80">
        <f t="array" ref="E201">INDIRECT("'"&amp;$A201&amp;"'!I3")</f>
        <v/>
      </c>
      <c r="F201" s="52">
        <f t="array" ref="F201">INDIRECT("'"&amp;$A201&amp;"'!C11")</f>
        <v/>
      </c>
      <c r="G201" s="3">
        <f t="array" ref="G201">INDIRECT("'"&amp;$A201&amp;"'!D11")</f>
        <v/>
      </c>
      <c r="H201" s="3">
        <f t="array" ref="H201">INDIRECT("'"&amp;$A201&amp;"'!E11")</f>
        <v/>
      </c>
      <c r="I201" s="3">
        <f t="array" ref="I201">INDIRECT("'"&amp;$A201&amp;"'!F11")</f>
        <v/>
      </c>
      <c r="J201" s="3">
        <f t="array" ref="J201">INDIRECT("'"&amp;$A201&amp;"'!G11")</f>
        <v/>
      </c>
      <c r="K201" s="3">
        <f t="array" ref="K201">INDIRECT("'"&amp;$A201&amp;"'!H11")</f>
        <v/>
      </c>
      <c r="L201" s="3">
        <f t="array" ref="L201">INDIRECT("'"&amp;$A201&amp;"'!I11")</f>
        <v/>
      </c>
      <c r="M201" s="3">
        <f t="array" ref="M201">INDIRECT("'"&amp;$A201&amp;"'!J11")</f>
        <v/>
      </c>
      <c r="N201" s="3">
        <f t="array" ref="N201">INDIRECT("'"&amp;$A201&amp;"'!K11")</f>
        <v/>
      </c>
      <c r="O201" s="3">
        <f t="array" ref="O201">INDIRECT("'"&amp;$A201&amp;"'!L11")</f>
        <v/>
      </c>
      <c r="P201" s="3">
        <f t="array" ref="P201">INDIRECT("'"&amp;$A201&amp;"'!M11")</f>
        <v/>
      </c>
      <c r="Q201" s="3">
        <f t="array" ref="Q201">INDIRECT("'"&amp;$A201&amp;"'!N11")</f>
        <v/>
      </c>
      <c r="R201" s="3">
        <f t="array" ref="R201">INDIRECT("'"&amp;$A201&amp;"'!O11")</f>
        <v/>
      </c>
      <c r="S201" s="3">
        <f t="array" ref="S201">INDIRECT("'"&amp;$A201&amp;"'!P11")</f>
        <v/>
      </c>
      <c r="T201" s="3">
        <f t="array" ref="T201">INDIRECT("'"&amp;$A201&amp;"'!Q11")</f>
        <v/>
      </c>
      <c r="U201" s="3">
        <f t="array" ref="U201">INDIRECT("'"&amp;$A201&amp;"'!R11")</f>
        <v/>
      </c>
      <c r="V201" s="3">
        <f t="array" ref="V201">INDIRECT("'"&amp;$A201&amp;"'!S11")</f>
        <v/>
      </c>
      <c r="W201" s="3">
        <f t="array" ref="W201">INDIRECT("'"&amp;$A201&amp;"'!T11")</f>
        <v/>
      </c>
      <c r="X201" s="3">
        <f t="array" ref="X201">INDIRECT("'"&amp;$A201&amp;"'!U11")</f>
        <v/>
      </c>
      <c r="Y201" s="3">
        <f t="array" ref="Y201">INDIRECT("'"&amp;$A201&amp;"'!V11")</f>
        <v/>
      </c>
      <c r="Z201" s="3">
        <f t="array" ref="Z201">INDIRECT("'"&amp;$A201&amp;"'!W11")</f>
        <v/>
      </c>
      <c r="AA201" s="3">
        <f t="array" ref="AA201">INDIRECT("'"&amp;$A201&amp;"'!X11")</f>
        <v/>
      </c>
      <c r="AB201" s="3">
        <f t="array" ref="AB201">INDIRECT("'"&amp;$A201&amp;"'!Y11")</f>
        <v/>
      </c>
      <c r="AC201" s="3">
        <f t="array" ref="AC201">INDIRECT("'"&amp;$A201&amp;"'!Z11")</f>
        <v/>
      </c>
      <c r="AD201" s="32">
        <f t="array" ref="AD201">INDIRECT("'"&amp;$A201&amp;"'!AA11")</f>
        <v/>
      </c>
      <c r="AE201" s="80">
        <f t="array" ref="AE201">INDIRECT("'"&amp;$A201&amp;"'!J3")</f>
        <v/>
      </c>
      <c r="AF201" s="53">
        <f t="array" ref="AF201">INDIRECT("'"&amp;$A201&amp;"'!AC1")</f>
        <v/>
      </c>
    </row>
    <row r="202" ht="15.75" customHeight="1" thickBot="1">
      <c r="A202" s="58" t="n">
        <v>67</v>
      </c>
      <c r="B202" s="106" t="n"/>
      <c r="C202" s="77">
        <f t="array" ref="C202">CONCATENATE("分 ",INDIRECT("'"&amp;$A201&amp;"'!D6"))</f>
        <v/>
      </c>
      <c r="D202" s="56" t="inlineStr">
        <is>
          <t>3队</t>
        </is>
      </c>
      <c r="E202" s="81">
        <f t="array" ref="E202">INDIRECT("'"&amp;$A201&amp;"'!I4")</f>
        <v/>
      </c>
      <c r="F202" s="52">
        <f t="array" ref="F202">INDIRECT("'"&amp;$A202&amp;"'!C14")</f>
        <v/>
      </c>
      <c r="G202" s="3">
        <f t="array" ref="G202">INDIRECT("'"&amp;$A202&amp;"'!D14")</f>
        <v/>
      </c>
      <c r="H202" s="3">
        <f t="array" ref="H202">INDIRECT("'"&amp;$A202&amp;"'!E14")</f>
        <v/>
      </c>
      <c r="I202" s="3">
        <f t="array" ref="I202">INDIRECT("'"&amp;$A202&amp;"'!F14")</f>
        <v/>
      </c>
      <c r="J202" s="3">
        <f t="array" ref="J202">INDIRECT("'"&amp;$A202&amp;"'!G14")</f>
        <v/>
      </c>
      <c r="K202" s="3">
        <f t="array" ref="K202">INDIRECT("'"&amp;$A202&amp;"'!H14")</f>
        <v/>
      </c>
      <c r="L202" s="3">
        <f t="array" ref="L202">INDIRECT("'"&amp;$A202&amp;"'!I14")</f>
        <v/>
      </c>
      <c r="M202" s="3">
        <f t="array" ref="M202">INDIRECT("'"&amp;$A202&amp;"'!J14")</f>
        <v/>
      </c>
      <c r="N202" s="3">
        <f t="array" ref="N202">INDIRECT("'"&amp;$A202&amp;"'!K14")</f>
        <v/>
      </c>
      <c r="O202" s="3">
        <f t="array" ref="O202">INDIRECT("'"&amp;$A202&amp;"'!L14")</f>
        <v/>
      </c>
      <c r="P202" s="3">
        <f t="array" ref="P202">INDIRECT("'"&amp;$A202&amp;"'!M14")</f>
        <v/>
      </c>
      <c r="Q202" s="3">
        <f t="array" ref="Q202">INDIRECT("'"&amp;$A202&amp;"'!N14")</f>
        <v/>
      </c>
      <c r="R202" s="3">
        <f t="array" ref="R202">INDIRECT("'"&amp;$A202&amp;"'!O14")</f>
        <v/>
      </c>
      <c r="S202" s="3">
        <f t="array" ref="S202">INDIRECT("'"&amp;$A202&amp;"'!P14")</f>
        <v/>
      </c>
      <c r="T202" s="3">
        <f t="array" ref="T202">INDIRECT("'"&amp;$A202&amp;"'!Q14")</f>
        <v/>
      </c>
      <c r="U202" s="3">
        <f t="array" ref="U202">INDIRECT("'"&amp;$A202&amp;"'!R14")</f>
        <v/>
      </c>
      <c r="V202" s="3">
        <f t="array" ref="V202">INDIRECT("'"&amp;$A202&amp;"'!S14")</f>
        <v/>
      </c>
      <c r="W202" s="3">
        <f t="array" ref="W202">INDIRECT("'"&amp;$A202&amp;"'!T14")</f>
        <v/>
      </c>
      <c r="X202" s="3">
        <f t="array" ref="X202">INDIRECT("'"&amp;$A202&amp;"'!U14")</f>
        <v/>
      </c>
      <c r="Y202" s="3">
        <f t="array" ref="Y202">INDIRECT("'"&amp;$A202&amp;"'!V14")</f>
        <v/>
      </c>
      <c r="Z202" s="3">
        <f t="array" ref="Z202">INDIRECT("'"&amp;$A202&amp;"'!W14")</f>
        <v/>
      </c>
      <c r="AA202" s="3">
        <f t="array" ref="AA202">INDIRECT("'"&amp;$A202&amp;"'!X14")</f>
        <v/>
      </c>
      <c r="AB202" s="3">
        <f t="array" ref="AB202">INDIRECT("'"&amp;$A202&amp;"'!Y14")</f>
        <v/>
      </c>
      <c r="AC202" s="3">
        <f t="array" ref="AC202">INDIRECT("'"&amp;$A202&amp;"'!Z14")</f>
        <v/>
      </c>
      <c r="AD202" s="32">
        <f t="array" ref="AD202">INDIRECT("'"&amp;$A202&amp;"'!AA14")</f>
        <v/>
      </c>
      <c r="AE202" s="81">
        <f t="array" ref="AE202">INDIRECT("'"&amp;$A201&amp;"'!J4")</f>
        <v/>
      </c>
      <c r="AF202" s="53" t="n"/>
    </row>
    <row r="203">
      <c r="A203" s="58" t="n">
        <v>68</v>
      </c>
      <c r="B203" s="103">
        <f>INDEX(data!$I$2:$I$98,MATCH(A203*1,data!$G$2:$G$98,0))</f>
        <v/>
      </c>
      <c r="C203" s="66">
        <f>HYPERLINK("#'" &amp; A203 &amp; "'!A1", "编辑")</f>
        <v/>
      </c>
      <c r="D203" s="54" t="inlineStr">
        <is>
          <t>1队</t>
        </is>
      </c>
      <c r="E203" s="79">
        <f t="array" ref="E203">INDIRECT("'"&amp;$A204&amp;"'!I2")</f>
        <v/>
      </c>
      <c r="F203" s="29">
        <f t="array" ref="F203">INDIRECT("'"&amp;$A203&amp;"'!C8")</f>
        <v/>
      </c>
      <c r="G203" s="30">
        <f t="array" ref="G203">INDIRECT("'"&amp;$A203&amp;"'!D8")</f>
        <v/>
      </c>
      <c r="H203" s="30">
        <f t="array" ref="H203">INDIRECT("'"&amp;$A203&amp;"'!E8")</f>
        <v/>
      </c>
      <c r="I203" s="30">
        <f t="array" ref="I203">INDIRECT("'"&amp;$A203&amp;"'!F8")</f>
        <v/>
      </c>
      <c r="J203" s="30">
        <f t="array" ref="J203">INDIRECT("'"&amp;$A203&amp;"'!G8")</f>
        <v/>
      </c>
      <c r="K203" s="30">
        <f t="array" ref="K203">INDIRECT("'"&amp;$A203&amp;"'!H8")</f>
        <v/>
      </c>
      <c r="L203" s="30">
        <f t="array" ref="L203">INDIRECT("'"&amp;$A203&amp;"'!I8")</f>
        <v/>
      </c>
      <c r="M203" s="30">
        <f t="array" ref="M203">INDIRECT("'"&amp;$A203&amp;"'!J8")</f>
        <v/>
      </c>
      <c r="N203" s="30">
        <f t="array" ref="N203">INDIRECT("'"&amp;$A203&amp;"'!K8")</f>
        <v/>
      </c>
      <c r="O203" s="30">
        <f t="array" ref="O203">INDIRECT("'"&amp;$A203&amp;"'!L8")</f>
        <v/>
      </c>
      <c r="P203" s="30">
        <f t="array" ref="P203">INDIRECT("'"&amp;$A203&amp;"'!M8")</f>
        <v/>
      </c>
      <c r="Q203" s="30">
        <f t="array" ref="Q203">INDIRECT("'"&amp;$A203&amp;"'!N8")</f>
        <v/>
      </c>
      <c r="R203" s="30">
        <f t="array" ref="R203">INDIRECT("'"&amp;$A203&amp;"'!O8")</f>
        <v/>
      </c>
      <c r="S203" s="30">
        <f t="array" ref="S203">INDIRECT("'"&amp;$A203&amp;"'!P8")</f>
        <v/>
      </c>
      <c r="T203" s="30">
        <f t="array" ref="T203">INDIRECT("'"&amp;$A203&amp;"'!Q8")</f>
        <v/>
      </c>
      <c r="U203" s="30">
        <f t="array" ref="U203">INDIRECT("'"&amp;$A203&amp;"'!R8")</f>
        <v/>
      </c>
      <c r="V203" s="30">
        <f t="array" ref="V203">INDIRECT("'"&amp;$A203&amp;"'!S8")</f>
        <v/>
      </c>
      <c r="W203" s="30">
        <f t="array" ref="W203">INDIRECT("'"&amp;$A203&amp;"'!T8")</f>
        <v/>
      </c>
      <c r="X203" s="30">
        <f t="array" ref="X203">INDIRECT("'"&amp;$A203&amp;"'!U8")</f>
        <v/>
      </c>
      <c r="Y203" s="30">
        <f t="array" ref="Y203">INDIRECT("'"&amp;$A203&amp;"'!V8")</f>
        <v/>
      </c>
      <c r="Z203" s="30">
        <f t="array" ref="Z203">INDIRECT("'"&amp;$A203&amp;"'!W8")</f>
        <v/>
      </c>
      <c r="AA203" s="30">
        <f t="array" ref="AA203">INDIRECT("'"&amp;$A203&amp;"'!X8")</f>
        <v/>
      </c>
      <c r="AB203" s="30">
        <f t="array" ref="AB203">INDIRECT("'"&amp;$A203&amp;"'!Y8")</f>
        <v/>
      </c>
      <c r="AC203" s="30">
        <f t="array" ref="AC203">INDIRECT("'"&amp;$A203&amp;"'!Z8")</f>
        <v/>
      </c>
      <c r="AD203" s="31">
        <f t="array" ref="AD203">INDIRECT("'"&amp;$A203&amp;"'!AA8")</f>
        <v/>
      </c>
      <c r="AE203" s="79">
        <f t="array" ref="AE203">INDIRECT("'"&amp;$A204&amp;"'!J2")</f>
        <v/>
      </c>
      <c r="AF203" s="53">
        <f t="array" ref="AF203">INDIRECT("'"&amp;$A204&amp;"'!AD1")</f>
        <v/>
      </c>
    </row>
    <row r="204">
      <c r="A204" s="58" t="n">
        <v>68</v>
      </c>
      <c r="B204" s="105" t="n"/>
      <c r="C204" s="67">
        <f t="array" ref="C204">CONCATENATE("粮 ",INDIRECT("'"&amp;$A204&amp;"'!D4"))</f>
        <v/>
      </c>
      <c r="D204" s="55" t="inlineStr">
        <is>
          <t>2队</t>
        </is>
      </c>
      <c r="E204" s="80">
        <f t="array" ref="E204">INDIRECT("'"&amp;$A204&amp;"'!I3")</f>
        <v/>
      </c>
      <c r="F204" s="52">
        <f t="array" ref="F204">INDIRECT("'"&amp;$A204&amp;"'!C11")</f>
        <v/>
      </c>
      <c r="G204" s="3">
        <f t="array" ref="G204">INDIRECT("'"&amp;$A204&amp;"'!D11")</f>
        <v/>
      </c>
      <c r="H204" s="3">
        <f t="array" ref="H204">INDIRECT("'"&amp;$A204&amp;"'!E11")</f>
        <v/>
      </c>
      <c r="I204" s="3">
        <f t="array" ref="I204">INDIRECT("'"&amp;$A204&amp;"'!F11")</f>
        <v/>
      </c>
      <c r="J204" s="3">
        <f t="array" ref="J204">INDIRECT("'"&amp;$A204&amp;"'!G11")</f>
        <v/>
      </c>
      <c r="K204" s="3">
        <f t="array" ref="K204">INDIRECT("'"&amp;$A204&amp;"'!H11")</f>
        <v/>
      </c>
      <c r="L204" s="3">
        <f t="array" ref="L204">INDIRECT("'"&amp;$A204&amp;"'!I11")</f>
        <v/>
      </c>
      <c r="M204" s="3">
        <f t="array" ref="M204">INDIRECT("'"&amp;$A204&amp;"'!J11")</f>
        <v/>
      </c>
      <c r="N204" s="3">
        <f t="array" ref="N204">INDIRECT("'"&amp;$A204&amp;"'!K11")</f>
        <v/>
      </c>
      <c r="O204" s="3">
        <f t="array" ref="O204">INDIRECT("'"&amp;$A204&amp;"'!L11")</f>
        <v/>
      </c>
      <c r="P204" s="3">
        <f t="array" ref="P204">INDIRECT("'"&amp;$A204&amp;"'!M11")</f>
        <v/>
      </c>
      <c r="Q204" s="3">
        <f t="array" ref="Q204">INDIRECT("'"&amp;$A204&amp;"'!N11")</f>
        <v/>
      </c>
      <c r="R204" s="3">
        <f t="array" ref="R204">INDIRECT("'"&amp;$A204&amp;"'!O11")</f>
        <v/>
      </c>
      <c r="S204" s="3">
        <f t="array" ref="S204">INDIRECT("'"&amp;$A204&amp;"'!P11")</f>
        <v/>
      </c>
      <c r="T204" s="3">
        <f t="array" ref="T204">INDIRECT("'"&amp;$A204&amp;"'!Q11")</f>
        <v/>
      </c>
      <c r="U204" s="3">
        <f t="array" ref="U204">INDIRECT("'"&amp;$A204&amp;"'!R11")</f>
        <v/>
      </c>
      <c r="V204" s="3">
        <f t="array" ref="V204">INDIRECT("'"&amp;$A204&amp;"'!S11")</f>
        <v/>
      </c>
      <c r="W204" s="3">
        <f t="array" ref="W204">INDIRECT("'"&amp;$A204&amp;"'!T11")</f>
        <v/>
      </c>
      <c r="X204" s="3">
        <f t="array" ref="X204">INDIRECT("'"&amp;$A204&amp;"'!U11")</f>
        <v/>
      </c>
      <c r="Y204" s="3">
        <f t="array" ref="Y204">INDIRECT("'"&amp;$A204&amp;"'!V11")</f>
        <v/>
      </c>
      <c r="Z204" s="3">
        <f t="array" ref="Z204">INDIRECT("'"&amp;$A204&amp;"'!W11")</f>
        <v/>
      </c>
      <c r="AA204" s="3">
        <f t="array" ref="AA204">INDIRECT("'"&amp;$A204&amp;"'!X11")</f>
        <v/>
      </c>
      <c r="AB204" s="3">
        <f t="array" ref="AB204">INDIRECT("'"&amp;$A204&amp;"'!Y11")</f>
        <v/>
      </c>
      <c r="AC204" s="3">
        <f t="array" ref="AC204">INDIRECT("'"&amp;$A204&amp;"'!Z11")</f>
        <v/>
      </c>
      <c r="AD204" s="32">
        <f t="array" ref="AD204">INDIRECT("'"&amp;$A204&amp;"'!AA11")</f>
        <v/>
      </c>
      <c r="AE204" s="80">
        <f t="array" ref="AE204">INDIRECT("'"&amp;$A204&amp;"'!J3")</f>
        <v/>
      </c>
      <c r="AF204" s="53">
        <f t="array" ref="AF204">INDIRECT("'"&amp;$A204&amp;"'!AC1")</f>
        <v/>
      </c>
    </row>
    <row r="205" ht="15.75" customHeight="1" thickBot="1">
      <c r="A205" s="58" t="n">
        <v>68</v>
      </c>
      <c r="B205" s="106" t="n"/>
      <c r="C205" s="77">
        <f t="array" ref="C205">CONCATENATE("分 ",INDIRECT("'"&amp;$A204&amp;"'!D6"))</f>
        <v/>
      </c>
      <c r="D205" s="56" t="inlineStr">
        <is>
          <t>3队</t>
        </is>
      </c>
      <c r="E205" s="81">
        <f t="array" ref="E205">INDIRECT("'"&amp;$A204&amp;"'!I4")</f>
        <v/>
      </c>
      <c r="F205" s="52">
        <f t="array" ref="F205">INDIRECT("'"&amp;$A205&amp;"'!C14")</f>
        <v/>
      </c>
      <c r="G205" s="3">
        <f t="array" ref="G205">INDIRECT("'"&amp;$A205&amp;"'!D14")</f>
        <v/>
      </c>
      <c r="H205" s="3">
        <f t="array" ref="H205">INDIRECT("'"&amp;$A205&amp;"'!E14")</f>
        <v/>
      </c>
      <c r="I205" s="3">
        <f t="array" ref="I205">INDIRECT("'"&amp;$A205&amp;"'!F14")</f>
        <v/>
      </c>
      <c r="J205" s="3">
        <f t="array" ref="J205">INDIRECT("'"&amp;$A205&amp;"'!G14")</f>
        <v/>
      </c>
      <c r="K205" s="3">
        <f t="array" ref="K205">INDIRECT("'"&amp;$A205&amp;"'!H14")</f>
        <v/>
      </c>
      <c r="L205" s="3">
        <f t="array" ref="L205">INDIRECT("'"&amp;$A205&amp;"'!I14")</f>
        <v/>
      </c>
      <c r="M205" s="3">
        <f t="array" ref="M205">INDIRECT("'"&amp;$A205&amp;"'!J14")</f>
        <v/>
      </c>
      <c r="N205" s="3">
        <f t="array" ref="N205">INDIRECT("'"&amp;$A205&amp;"'!K14")</f>
        <v/>
      </c>
      <c r="O205" s="3">
        <f t="array" ref="O205">INDIRECT("'"&amp;$A205&amp;"'!L14")</f>
        <v/>
      </c>
      <c r="P205" s="3">
        <f t="array" ref="P205">INDIRECT("'"&amp;$A205&amp;"'!M14")</f>
        <v/>
      </c>
      <c r="Q205" s="3">
        <f t="array" ref="Q205">INDIRECT("'"&amp;$A205&amp;"'!N14")</f>
        <v/>
      </c>
      <c r="R205" s="3">
        <f t="array" ref="R205">INDIRECT("'"&amp;$A205&amp;"'!O14")</f>
        <v/>
      </c>
      <c r="S205" s="3">
        <f t="array" ref="S205">INDIRECT("'"&amp;$A205&amp;"'!P14")</f>
        <v/>
      </c>
      <c r="T205" s="3">
        <f t="array" ref="T205">INDIRECT("'"&amp;$A205&amp;"'!Q14")</f>
        <v/>
      </c>
      <c r="U205" s="3">
        <f t="array" ref="U205">INDIRECT("'"&amp;$A205&amp;"'!R14")</f>
        <v/>
      </c>
      <c r="V205" s="3">
        <f t="array" ref="V205">INDIRECT("'"&amp;$A205&amp;"'!S14")</f>
        <v/>
      </c>
      <c r="W205" s="3">
        <f t="array" ref="W205">INDIRECT("'"&amp;$A205&amp;"'!T14")</f>
        <v/>
      </c>
      <c r="X205" s="3">
        <f t="array" ref="X205">INDIRECT("'"&amp;$A205&amp;"'!U14")</f>
        <v/>
      </c>
      <c r="Y205" s="3">
        <f t="array" ref="Y205">INDIRECT("'"&amp;$A205&amp;"'!V14")</f>
        <v/>
      </c>
      <c r="Z205" s="3">
        <f t="array" ref="Z205">INDIRECT("'"&amp;$A205&amp;"'!W14")</f>
        <v/>
      </c>
      <c r="AA205" s="3">
        <f t="array" ref="AA205">INDIRECT("'"&amp;$A205&amp;"'!X14")</f>
        <v/>
      </c>
      <c r="AB205" s="3">
        <f t="array" ref="AB205">INDIRECT("'"&amp;$A205&amp;"'!Y14")</f>
        <v/>
      </c>
      <c r="AC205" s="3">
        <f t="array" ref="AC205">INDIRECT("'"&amp;$A205&amp;"'!Z14")</f>
        <v/>
      </c>
      <c r="AD205" s="32">
        <f t="array" ref="AD205">INDIRECT("'"&amp;$A205&amp;"'!AA14")</f>
        <v/>
      </c>
      <c r="AE205" s="81">
        <f t="array" ref="AE205">INDIRECT("'"&amp;$A204&amp;"'!J4")</f>
        <v/>
      </c>
      <c r="AF205" s="53" t="n"/>
    </row>
    <row r="206">
      <c r="A206" s="58" t="n">
        <v>69</v>
      </c>
      <c r="B206" s="103">
        <f>INDEX(data!$I$2:$I$98,MATCH(A206*1,data!$G$2:$G$98,0))</f>
        <v/>
      </c>
      <c r="C206" s="66">
        <f>HYPERLINK("#'" &amp; A206 &amp; "'!A1", "编辑")</f>
        <v/>
      </c>
      <c r="D206" s="54" t="inlineStr">
        <is>
          <t>1队</t>
        </is>
      </c>
      <c r="E206" s="79">
        <f t="array" ref="E206">INDIRECT("'"&amp;$A207&amp;"'!I2")</f>
        <v/>
      </c>
      <c r="F206" s="29">
        <f t="array" ref="F206">INDIRECT("'"&amp;$A206&amp;"'!C8")</f>
        <v/>
      </c>
      <c r="G206" s="30">
        <f t="array" ref="G206">INDIRECT("'"&amp;$A206&amp;"'!D8")</f>
        <v/>
      </c>
      <c r="H206" s="30">
        <f t="array" ref="H206">INDIRECT("'"&amp;$A206&amp;"'!E8")</f>
        <v/>
      </c>
      <c r="I206" s="30">
        <f t="array" ref="I206">INDIRECT("'"&amp;$A206&amp;"'!F8")</f>
        <v/>
      </c>
      <c r="J206" s="30">
        <f t="array" ref="J206">INDIRECT("'"&amp;$A206&amp;"'!G8")</f>
        <v/>
      </c>
      <c r="K206" s="30">
        <f t="array" ref="K206">INDIRECT("'"&amp;$A206&amp;"'!H8")</f>
        <v/>
      </c>
      <c r="L206" s="30">
        <f t="array" ref="L206">INDIRECT("'"&amp;$A206&amp;"'!I8")</f>
        <v/>
      </c>
      <c r="M206" s="30">
        <f t="array" ref="M206">INDIRECT("'"&amp;$A206&amp;"'!J8")</f>
        <v/>
      </c>
      <c r="N206" s="30">
        <f t="array" ref="N206">INDIRECT("'"&amp;$A206&amp;"'!K8")</f>
        <v/>
      </c>
      <c r="O206" s="30">
        <f t="array" ref="O206">INDIRECT("'"&amp;$A206&amp;"'!L8")</f>
        <v/>
      </c>
      <c r="P206" s="30">
        <f t="array" ref="P206">INDIRECT("'"&amp;$A206&amp;"'!M8")</f>
        <v/>
      </c>
      <c r="Q206" s="30">
        <f t="array" ref="Q206">INDIRECT("'"&amp;$A206&amp;"'!N8")</f>
        <v/>
      </c>
      <c r="R206" s="30">
        <f t="array" ref="R206">INDIRECT("'"&amp;$A206&amp;"'!O8")</f>
        <v/>
      </c>
      <c r="S206" s="30">
        <f t="array" ref="S206">INDIRECT("'"&amp;$A206&amp;"'!P8")</f>
        <v/>
      </c>
      <c r="T206" s="30">
        <f t="array" ref="T206">INDIRECT("'"&amp;$A206&amp;"'!Q8")</f>
        <v/>
      </c>
      <c r="U206" s="30">
        <f t="array" ref="U206">INDIRECT("'"&amp;$A206&amp;"'!R8")</f>
        <v/>
      </c>
      <c r="V206" s="30">
        <f t="array" ref="V206">INDIRECT("'"&amp;$A206&amp;"'!S8")</f>
        <v/>
      </c>
      <c r="W206" s="30">
        <f t="array" ref="W206">INDIRECT("'"&amp;$A206&amp;"'!T8")</f>
        <v/>
      </c>
      <c r="X206" s="30">
        <f t="array" ref="X206">INDIRECT("'"&amp;$A206&amp;"'!U8")</f>
        <v/>
      </c>
      <c r="Y206" s="30">
        <f t="array" ref="Y206">INDIRECT("'"&amp;$A206&amp;"'!V8")</f>
        <v/>
      </c>
      <c r="Z206" s="30">
        <f t="array" ref="Z206">INDIRECT("'"&amp;$A206&amp;"'!W8")</f>
        <v/>
      </c>
      <c r="AA206" s="30">
        <f t="array" ref="AA206">INDIRECT("'"&amp;$A206&amp;"'!X8")</f>
        <v/>
      </c>
      <c r="AB206" s="30">
        <f t="array" ref="AB206">INDIRECT("'"&amp;$A206&amp;"'!Y8")</f>
        <v/>
      </c>
      <c r="AC206" s="30">
        <f t="array" ref="AC206">INDIRECT("'"&amp;$A206&amp;"'!Z8")</f>
        <v/>
      </c>
      <c r="AD206" s="31">
        <f t="array" ref="AD206">INDIRECT("'"&amp;$A206&amp;"'!AA8")</f>
        <v/>
      </c>
      <c r="AE206" s="79">
        <f t="array" ref="AE206">INDIRECT("'"&amp;$A207&amp;"'!J2")</f>
        <v/>
      </c>
      <c r="AF206" s="53">
        <f t="array" ref="AF206">INDIRECT("'"&amp;$A207&amp;"'!AD1")</f>
        <v/>
      </c>
    </row>
    <row r="207">
      <c r="A207" s="58" t="n">
        <v>69</v>
      </c>
      <c r="B207" s="105" t="n"/>
      <c r="C207" s="67">
        <f t="array" ref="C207">CONCATENATE("粮 ",INDIRECT("'"&amp;$A207&amp;"'!D4"))</f>
        <v/>
      </c>
      <c r="D207" s="55" t="inlineStr">
        <is>
          <t>2队</t>
        </is>
      </c>
      <c r="E207" s="80">
        <f t="array" ref="E207">INDIRECT("'"&amp;$A207&amp;"'!I3")</f>
        <v/>
      </c>
      <c r="F207" s="52">
        <f t="array" ref="F207">INDIRECT("'"&amp;$A207&amp;"'!C11")</f>
        <v/>
      </c>
      <c r="G207" s="3">
        <f t="array" ref="G207">INDIRECT("'"&amp;$A207&amp;"'!D11")</f>
        <v/>
      </c>
      <c r="H207" s="3">
        <f t="array" ref="H207">INDIRECT("'"&amp;$A207&amp;"'!E11")</f>
        <v/>
      </c>
      <c r="I207" s="3">
        <f t="array" ref="I207">INDIRECT("'"&amp;$A207&amp;"'!F11")</f>
        <v/>
      </c>
      <c r="J207" s="3">
        <f t="array" ref="J207">INDIRECT("'"&amp;$A207&amp;"'!G11")</f>
        <v/>
      </c>
      <c r="K207" s="3">
        <f t="array" ref="K207">INDIRECT("'"&amp;$A207&amp;"'!H11")</f>
        <v/>
      </c>
      <c r="L207" s="3">
        <f t="array" ref="L207">INDIRECT("'"&amp;$A207&amp;"'!I11")</f>
        <v/>
      </c>
      <c r="M207" s="3">
        <f t="array" ref="M207">INDIRECT("'"&amp;$A207&amp;"'!J11")</f>
        <v/>
      </c>
      <c r="N207" s="3">
        <f t="array" ref="N207">INDIRECT("'"&amp;$A207&amp;"'!K11")</f>
        <v/>
      </c>
      <c r="O207" s="3">
        <f t="array" ref="O207">INDIRECT("'"&amp;$A207&amp;"'!L11")</f>
        <v/>
      </c>
      <c r="P207" s="3">
        <f t="array" ref="P207">INDIRECT("'"&amp;$A207&amp;"'!M11")</f>
        <v/>
      </c>
      <c r="Q207" s="3">
        <f t="array" ref="Q207">INDIRECT("'"&amp;$A207&amp;"'!N11")</f>
        <v/>
      </c>
      <c r="R207" s="3">
        <f t="array" ref="R207">INDIRECT("'"&amp;$A207&amp;"'!O11")</f>
        <v/>
      </c>
      <c r="S207" s="3">
        <f t="array" ref="S207">INDIRECT("'"&amp;$A207&amp;"'!P11")</f>
        <v/>
      </c>
      <c r="T207" s="3">
        <f t="array" ref="T207">INDIRECT("'"&amp;$A207&amp;"'!Q11")</f>
        <v/>
      </c>
      <c r="U207" s="3">
        <f t="array" ref="U207">INDIRECT("'"&amp;$A207&amp;"'!R11")</f>
        <v/>
      </c>
      <c r="V207" s="3">
        <f t="array" ref="V207">INDIRECT("'"&amp;$A207&amp;"'!S11")</f>
        <v/>
      </c>
      <c r="W207" s="3">
        <f t="array" ref="W207">INDIRECT("'"&amp;$A207&amp;"'!T11")</f>
        <v/>
      </c>
      <c r="X207" s="3">
        <f t="array" ref="X207">INDIRECT("'"&amp;$A207&amp;"'!U11")</f>
        <v/>
      </c>
      <c r="Y207" s="3">
        <f t="array" ref="Y207">INDIRECT("'"&amp;$A207&amp;"'!V11")</f>
        <v/>
      </c>
      <c r="Z207" s="3">
        <f t="array" ref="Z207">INDIRECT("'"&amp;$A207&amp;"'!W11")</f>
        <v/>
      </c>
      <c r="AA207" s="3">
        <f t="array" ref="AA207">INDIRECT("'"&amp;$A207&amp;"'!X11")</f>
        <v/>
      </c>
      <c r="AB207" s="3">
        <f t="array" ref="AB207">INDIRECT("'"&amp;$A207&amp;"'!Y11")</f>
        <v/>
      </c>
      <c r="AC207" s="3">
        <f t="array" ref="AC207">INDIRECT("'"&amp;$A207&amp;"'!Z11")</f>
        <v/>
      </c>
      <c r="AD207" s="32">
        <f t="array" ref="AD207">INDIRECT("'"&amp;$A207&amp;"'!AA11")</f>
        <v/>
      </c>
      <c r="AE207" s="80">
        <f t="array" ref="AE207">INDIRECT("'"&amp;$A207&amp;"'!J3")</f>
        <v/>
      </c>
      <c r="AF207" s="53">
        <f t="array" ref="AF207">INDIRECT("'"&amp;$A207&amp;"'!AC1")</f>
        <v/>
      </c>
    </row>
    <row r="208" ht="15.75" customHeight="1" thickBot="1">
      <c r="A208" s="58" t="n">
        <v>69</v>
      </c>
      <c r="B208" s="106" t="n"/>
      <c r="C208" s="77">
        <f t="array" ref="C208">CONCATENATE("分 ",INDIRECT("'"&amp;$A207&amp;"'!D6"))</f>
        <v/>
      </c>
      <c r="D208" s="56" t="inlineStr">
        <is>
          <t>3队</t>
        </is>
      </c>
      <c r="E208" s="81">
        <f t="array" ref="E208">INDIRECT("'"&amp;$A207&amp;"'!I4")</f>
        <v/>
      </c>
      <c r="F208" s="52">
        <f t="array" ref="F208">INDIRECT("'"&amp;$A208&amp;"'!C14")</f>
        <v/>
      </c>
      <c r="G208" s="3">
        <f t="array" ref="G208">INDIRECT("'"&amp;$A208&amp;"'!D14")</f>
        <v/>
      </c>
      <c r="H208" s="3">
        <f t="array" ref="H208">INDIRECT("'"&amp;$A208&amp;"'!E14")</f>
        <v/>
      </c>
      <c r="I208" s="3">
        <f t="array" ref="I208">INDIRECT("'"&amp;$A208&amp;"'!F14")</f>
        <v/>
      </c>
      <c r="J208" s="3">
        <f t="array" ref="J208">INDIRECT("'"&amp;$A208&amp;"'!G14")</f>
        <v/>
      </c>
      <c r="K208" s="3">
        <f t="array" ref="K208">INDIRECT("'"&amp;$A208&amp;"'!H14")</f>
        <v/>
      </c>
      <c r="L208" s="3">
        <f t="array" ref="L208">INDIRECT("'"&amp;$A208&amp;"'!I14")</f>
        <v/>
      </c>
      <c r="M208" s="3">
        <f t="array" ref="M208">INDIRECT("'"&amp;$A208&amp;"'!J14")</f>
        <v/>
      </c>
      <c r="N208" s="3">
        <f t="array" ref="N208">INDIRECT("'"&amp;$A208&amp;"'!K14")</f>
        <v/>
      </c>
      <c r="O208" s="3">
        <f t="array" ref="O208">INDIRECT("'"&amp;$A208&amp;"'!L14")</f>
        <v/>
      </c>
      <c r="P208" s="3">
        <f t="array" ref="P208">INDIRECT("'"&amp;$A208&amp;"'!M14")</f>
        <v/>
      </c>
      <c r="Q208" s="3">
        <f t="array" ref="Q208">INDIRECT("'"&amp;$A208&amp;"'!N14")</f>
        <v/>
      </c>
      <c r="R208" s="3">
        <f t="array" ref="R208">INDIRECT("'"&amp;$A208&amp;"'!O14")</f>
        <v/>
      </c>
      <c r="S208" s="3">
        <f t="array" ref="S208">INDIRECT("'"&amp;$A208&amp;"'!P14")</f>
        <v/>
      </c>
      <c r="T208" s="3">
        <f t="array" ref="T208">INDIRECT("'"&amp;$A208&amp;"'!Q14")</f>
        <v/>
      </c>
      <c r="U208" s="3">
        <f t="array" ref="U208">INDIRECT("'"&amp;$A208&amp;"'!R14")</f>
        <v/>
      </c>
      <c r="V208" s="3">
        <f t="array" ref="V208">INDIRECT("'"&amp;$A208&amp;"'!S14")</f>
        <v/>
      </c>
      <c r="W208" s="3">
        <f t="array" ref="W208">INDIRECT("'"&amp;$A208&amp;"'!T14")</f>
        <v/>
      </c>
      <c r="X208" s="3">
        <f t="array" ref="X208">INDIRECT("'"&amp;$A208&amp;"'!U14")</f>
        <v/>
      </c>
      <c r="Y208" s="3">
        <f t="array" ref="Y208">INDIRECT("'"&amp;$A208&amp;"'!V14")</f>
        <v/>
      </c>
      <c r="Z208" s="3">
        <f t="array" ref="Z208">INDIRECT("'"&amp;$A208&amp;"'!W14")</f>
        <v/>
      </c>
      <c r="AA208" s="3">
        <f t="array" ref="AA208">INDIRECT("'"&amp;$A208&amp;"'!X14")</f>
        <v/>
      </c>
      <c r="AB208" s="3">
        <f t="array" ref="AB208">INDIRECT("'"&amp;$A208&amp;"'!Y14")</f>
        <v/>
      </c>
      <c r="AC208" s="3">
        <f t="array" ref="AC208">INDIRECT("'"&amp;$A208&amp;"'!Z14")</f>
        <v/>
      </c>
      <c r="AD208" s="32">
        <f t="array" ref="AD208">INDIRECT("'"&amp;$A208&amp;"'!AA14")</f>
        <v/>
      </c>
      <c r="AE208" s="81">
        <f t="array" ref="AE208">INDIRECT("'"&amp;$A207&amp;"'!J4")</f>
        <v/>
      </c>
      <c r="AF208" s="53" t="n"/>
    </row>
    <row r="209">
      <c r="A209" s="58" t="n">
        <v>70</v>
      </c>
      <c r="B209" s="103">
        <f>INDEX(data!$I$2:$I$98,MATCH(A209*1,data!$G$2:$G$98,0))</f>
        <v/>
      </c>
      <c r="C209" s="66">
        <f>HYPERLINK("#'" &amp; A209 &amp; "'!A1", "编辑")</f>
        <v/>
      </c>
      <c r="D209" s="54" t="inlineStr">
        <is>
          <t>1队</t>
        </is>
      </c>
      <c r="E209" s="79">
        <f t="array" ref="E209">INDIRECT("'"&amp;$A210&amp;"'!I2")</f>
        <v/>
      </c>
      <c r="F209" s="29">
        <f t="array" ref="F209">INDIRECT("'"&amp;$A209&amp;"'!C8")</f>
        <v/>
      </c>
      <c r="G209" s="30">
        <f t="array" ref="G209">INDIRECT("'"&amp;$A209&amp;"'!D8")</f>
        <v/>
      </c>
      <c r="H209" s="30">
        <f t="array" ref="H209">INDIRECT("'"&amp;$A209&amp;"'!E8")</f>
        <v/>
      </c>
      <c r="I209" s="30">
        <f t="array" ref="I209">INDIRECT("'"&amp;$A209&amp;"'!F8")</f>
        <v/>
      </c>
      <c r="J209" s="30">
        <f t="array" ref="J209">INDIRECT("'"&amp;$A209&amp;"'!G8")</f>
        <v/>
      </c>
      <c r="K209" s="30">
        <f t="array" ref="K209">INDIRECT("'"&amp;$A209&amp;"'!H8")</f>
        <v/>
      </c>
      <c r="L209" s="30">
        <f t="array" ref="L209">INDIRECT("'"&amp;$A209&amp;"'!I8")</f>
        <v/>
      </c>
      <c r="M209" s="30">
        <f t="array" ref="M209">INDIRECT("'"&amp;$A209&amp;"'!J8")</f>
        <v/>
      </c>
      <c r="N209" s="30">
        <f t="array" ref="N209">INDIRECT("'"&amp;$A209&amp;"'!K8")</f>
        <v/>
      </c>
      <c r="O209" s="30">
        <f t="array" ref="O209">INDIRECT("'"&amp;$A209&amp;"'!L8")</f>
        <v/>
      </c>
      <c r="P209" s="30">
        <f t="array" ref="P209">INDIRECT("'"&amp;$A209&amp;"'!M8")</f>
        <v/>
      </c>
      <c r="Q209" s="30">
        <f t="array" ref="Q209">INDIRECT("'"&amp;$A209&amp;"'!N8")</f>
        <v/>
      </c>
      <c r="R209" s="30">
        <f t="array" ref="R209">INDIRECT("'"&amp;$A209&amp;"'!O8")</f>
        <v/>
      </c>
      <c r="S209" s="30">
        <f t="array" ref="S209">INDIRECT("'"&amp;$A209&amp;"'!P8")</f>
        <v/>
      </c>
      <c r="T209" s="30">
        <f t="array" ref="T209">INDIRECT("'"&amp;$A209&amp;"'!Q8")</f>
        <v/>
      </c>
      <c r="U209" s="30">
        <f t="array" ref="U209">INDIRECT("'"&amp;$A209&amp;"'!R8")</f>
        <v/>
      </c>
      <c r="V209" s="30">
        <f t="array" ref="V209">INDIRECT("'"&amp;$A209&amp;"'!S8")</f>
        <v/>
      </c>
      <c r="W209" s="30">
        <f t="array" ref="W209">INDIRECT("'"&amp;$A209&amp;"'!T8")</f>
        <v/>
      </c>
      <c r="X209" s="30">
        <f t="array" ref="X209">INDIRECT("'"&amp;$A209&amp;"'!U8")</f>
        <v/>
      </c>
      <c r="Y209" s="30">
        <f t="array" ref="Y209">INDIRECT("'"&amp;$A209&amp;"'!V8")</f>
        <v/>
      </c>
      <c r="Z209" s="30">
        <f t="array" ref="Z209">INDIRECT("'"&amp;$A209&amp;"'!W8")</f>
        <v/>
      </c>
      <c r="AA209" s="30">
        <f t="array" ref="AA209">INDIRECT("'"&amp;$A209&amp;"'!X8")</f>
        <v/>
      </c>
      <c r="AB209" s="30">
        <f t="array" ref="AB209">INDIRECT("'"&amp;$A209&amp;"'!Y8")</f>
        <v/>
      </c>
      <c r="AC209" s="30">
        <f t="array" ref="AC209">INDIRECT("'"&amp;$A209&amp;"'!Z8")</f>
        <v/>
      </c>
      <c r="AD209" s="31">
        <f t="array" ref="AD209">INDIRECT("'"&amp;$A209&amp;"'!AA8")</f>
        <v/>
      </c>
      <c r="AE209" s="79">
        <f t="array" ref="AE209">INDIRECT("'"&amp;$A210&amp;"'!J2")</f>
        <v/>
      </c>
      <c r="AF209" s="53">
        <f t="array" ref="AF209">INDIRECT("'"&amp;$A210&amp;"'!AD1")</f>
        <v/>
      </c>
    </row>
    <row r="210">
      <c r="A210" s="58" t="n">
        <v>70</v>
      </c>
      <c r="B210" s="105" t="n"/>
      <c r="C210" s="67">
        <f t="array" ref="C210">CONCATENATE("粮 ",INDIRECT("'"&amp;$A210&amp;"'!D4"))</f>
        <v/>
      </c>
      <c r="D210" s="55" t="inlineStr">
        <is>
          <t>2队</t>
        </is>
      </c>
      <c r="E210" s="80">
        <f t="array" ref="E210">INDIRECT("'"&amp;$A210&amp;"'!I3")</f>
        <v/>
      </c>
      <c r="F210" s="52">
        <f t="array" ref="F210">INDIRECT("'"&amp;$A210&amp;"'!C11")</f>
        <v/>
      </c>
      <c r="G210" s="3">
        <f t="array" ref="G210">INDIRECT("'"&amp;$A210&amp;"'!D11")</f>
        <v/>
      </c>
      <c r="H210" s="3">
        <f t="array" ref="H210">INDIRECT("'"&amp;$A210&amp;"'!E11")</f>
        <v/>
      </c>
      <c r="I210" s="3">
        <f t="array" ref="I210">INDIRECT("'"&amp;$A210&amp;"'!F11")</f>
        <v/>
      </c>
      <c r="J210" s="3">
        <f t="array" ref="J210">INDIRECT("'"&amp;$A210&amp;"'!G11")</f>
        <v/>
      </c>
      <c r="K210" s="3">
        <f t="array" ref="K210">INDIRECT("'"&amp;$A210&amp;"'!H11")</f>
        <v/>
      </c>
      <c r="L210" s="3">
        <f t="array" ref="L210">INDIRECT("'"&amp;$A210&amp;"'!I11")</f>
        <v/>
      </c>
      <c r="M210" s="3">
        <f t="array" ref="M210">INDIRECT("'"&amp;$A210&amp;"'!J11")</f>
        <v/>
      </c>
      <c r="N210" s="3">
        <f t="array" ref="N210">INDIRECT("'"&amp;$A210&amp;"'!K11")</f>
        <v/>
      </c>
      <c r="O210" s="3">
        <f t="array" ref="O210">INDIRECT("'"&amp;$A210&amp;"'!L11")</f>
        <v/>
      </c>
      <c r="P210" s="3">
        <f t="array" ref="P210">INDIRECT("'"&amp;$A210&amp;"'!M11")</f>
        <v/>
      </c>
      <c r="Q210" s="3">
        <f t="array" ref="Q210">INDIRECT("'"&amp;$A210&amp;"'!N11")</f>
        <v/>
      </c>
      <c r="R210" s="3">
        <f t="array" ref="R210">INDIRECT("'"&amp;$A210&amp;"'!O11")</f>
        <v/>
      </c>
      <c r="S210" s="3">
        <f t="array" ref="S210">INDIRECT("'"&amp;$A210&amp;"'!P11")</f>
        <v/>
      </c>
      <c r="T210" s="3">
        <f t="array" ref="T210">INDIRECT("'"&amp;$A210&amp;"'!Q11")</f>
        <v/>
      </c>
      <c r="U210" s="3">
        <f t="array" ref="U210">INDIRECT("'"&amp;$A210&amp;"'!R11")</f>
        <v/>
      </c>
      <c r="V210" s="3">
        <f t="array" ref="V210">INDIRECT("'"&amp;$A210&amp;"'!S11")</f>
        <v/>
      </c>
      <c r="W210" s="3">
        <f t="array" ref="W210">INDIRECT("'"&amp;$A210&amp;"'!T11")</f>
        <v/>
      </c>
      <c r="X210" s="3">
        <f t="array" ref="X210">INDIRECT("'"&amp;$A210&amp;"'!U11")</f>
        <v/>
      </c>
      <c r="Y210" s="3">
        <f t="array" ref="Y210">INDIRECT("'"&amp;$A210&amp;"'!V11")</f>
        <v/>
      </c>
      <c r="Z210" s="3">
        <f t="array" ref="Z210">INDIRECT("'"&amp;$A210&amp;"'!W11")</f>
        <v/>
      </c>
      <c r="AA210" s="3">
        <f t="array" ref="AA210">INDIRECT("'"&amp;$A210&amp;"'!X11")</f>
        <v/>
      </c>
      <c r="AB210" s="3">
        <f t="array" ref="AB210">INDIRECT("'"&amp;$A210&amp;"'!Y11")</f>
        <v/>
      </c>
      <c r="AC210" s="3">
        <f t="array" ref="AC210">INDIRECT("'"&amp;$A210&amp;"'!Z11")</f>
        <v/>
      </c>
      <c r="AD210" s="32">
        <f t="array" ref="AD210">INDIRECT("'"&amp;$A210&amp;"'!AA11")</f>
        <v/>
      </c>
      <c r="AE210" s="80">
        <f t="array" ref="AE210">INDIRECT("'"&amp;$A210&amp;"'!J3")</f>
        <v/>
      </c>
      <c r="AF210" s="53">
        <f t="array" ref="AF210">INDIRECT("'"&amp;$A210&amp;"'!AC1")</f>
        <v/>
      </c>
    </row>
    <row r="211" ht="15.75" customHeight="1" thickBot="1">
      <c r="A211" s="58" t="n">
        <v>70</v>
      </c>
      <c r="B211" s="106" t="n"/>
      <c r="C211" s="77">
        <f t="array" ref="C211">CONCATENATE("分 ",INDIRECT("'"&amp;$A210&amp;"'!D6"))</f>
        <v/>
      </c>
      <c r="D211" s="56" t="inlineStr">
        <is>
          <t>3队</t>
        </is>
      </c>
      <c r="E211" s="81">
        <f t="array" ref="E211">INDIRECT("'"&amp;$A210&amp;"'!I4")</f>
        <v/>
      </c>
      <c r="F211" s="52">
        <f t="array" ref="F211">INDIRECT("'"&amp;$A211&amp;"'!C14")</f>
        <v/>
      </c>
      <c r="G211" s="3">
        <f t="array" ref="G211">INDIRECT("'"&amp;$A211&amp;"'!D14")</f>
        <v/>
      </c>
      <c r="H211" s="3">
        <f t="array" ref="H211">INDIRECT("'"&amp;$A211&amp;"'!E14")</f>
        <v/>
      </c>
      <c r="I211" s="3">
        <f t="array" ref="I211">INDIRECT("'"&amp;$A211&amp;"'!F14")</f>
        <v/>
      </c>
      <c r="J211" s="3">
        <f t="array" ref="J211">INDIRECT("'"&amp;$A211&amp;"'!G14")</f>
        <v/>
      </c>
      <c r="K211" s="3">
        <f t="array" ref="K211">INDIRECT("'"&amp;$A211&amp;"'!H14")</f>
        <v/>
      </c>
      <c r="L211" s="3">
        <f t="array" ref="L211">INDIRECT("'"&amp;$A211&amp;"'!I14")</f>
        <v/>
      </c>
      <c r="M211" s="3">
        <f t="array" ref="M211">INDIRECT("'"&amp;$A211&amp;"'!J14")</f>
        <v/>
      </c>
      <c r="N211" s="3">
        <f t="array" ref="N211">INDIRECT("'"&amp;$A211&amp;"'!K14")</f>
        <v/>
      </c>
      <c r="O211" s="3">
        <f t="array" ref="O211">INDIRECT("'"&amp;$A211&amp;"'!L14")</f>
        <v/>
      </c>
      <c r="P211" s="3">
        <f t="array" ref="P211">INDIRECT("'"&amp;$A211&amp;"'!M14")</f>
        <v/>
      </c>
      <c r="Q211" s="3">
        <f t="array" ref="Q211">INDIRECT("'"&amp;$A211&amp;"'!N14")</f>
        <v/>
      </c>
      <c r="R211" s="3">
        <f t="array" ref="R211">INDIRECT("'"&amp;$A211&amp;"'!O14")</f>
        <v/>
      </c>
      <c r="S211" s="3">
        <f t="array" ref="S211">INDIRECT("'"&amp;$A211&amp;"'!P14")</f>
        <v/>
      </c>
      <c r="T211" s="3">
        <f t="array" ref="T211">INDIRECT("'"&amp;$A211&amp;"'!Q14")</f>
        <v/>
      </c>
      <c r="U211" s="3">
        <f t="array" ref="U211">INDIRECT("'"&amp;$A211&amp;"'!R14")</f>
        <v/>
      </c>
      <c r="V211" s="3">
        <f t="array" ref="V211">INDIRECT("'"&amp;$A211&amp;"'!S14")</f>
        <v/>
      </c>
      <c r="W211" s="3">
        <f t="array" ref="W211">INDIRECT("'"&amp;$A211&amp;"'!T14")</f>
        <v/>
      </c>
      <c r="X211" s="3">
        <f t="array" ref="X211">INDIRECT("'"&amp;$A211&amp;"'!U14")</f>
        <v/>
      </c>
      <c r="Y211" s="3">
        <f t="array" ref="Y211">INDIRECT("'"&amp;$A211&amp;"'!V14")</f>
        <v/>
      </c>
      <c r="Z211" s="3">
        <f t="array" ref="Z211">INDIRECT("'"&amp;$A211&amp;"'!W14")</f>
        <v/>
      </c>
      <c r="AA211" s="3">
        <f t="array" ref="AA211">INDIRECT("'"&amp;$A211&amp;"'!X14")</f>
        <v/>
      </c>
      <c r="AB211" s="3">
        <f t="array" ref="AB211">INDIRECT("'"&amp;$A211&amp;"'!Y14")</f>
        <v/>
      </c>
      <c r="AC211" s="3">
        <f t="array" ref="AC211">INDIRECT("'"&amp;$A211&amp;"'!Z14")</f>
        <v/>
      </c>
      <c r="AD211" s="32">
        <f t="array" ref="AD211">INDIRECT("'"&amp;$A211&amp;"'!AA14")</f>
        <v/>
      </c>
      <c r="AE211" s="81">
        <f t="array" ref="AE211">INDIRECT("'"&amp;$A210&amp;"'!J4")</f>
        <v/>
      </c>
      <c r="AF211" s="53" t="n"/>
    </row>
    <row r="212">
      <c r="A212" s="58" t="n">
        <v>71</v>
      </c>
      <c r="B212" s="103">
        <f>INDEX(data!$I$2:$I$98,MATCH(A212*1,data!$G$2:$G$98,0))</f>
        <v/>
      </c>
      <c r="C212" s="66">
        <f>HYPERLINK("#'" &amp; A212 &amp; "'!A1", "编辑")</f>
        <v/>
      </c>
      <c r="D212" s="54" t="inlineStr">
        <is>
          <t>1队</t>
        </is>
      </c>
      <c r="E212" s="79">
        <f t="array" ref="E212">INDIRECT("'"&amp;$A213&amp;"'!I2")</f>
        <v/>
      </c>
      <c r="F212" s="29">
        <f t="array" ref="F212">INDIRECT("'"&amp;$A212&amp;"'!C8")</f>
        <v/>
      </c>
      <c r="G212" s="30">
        <f t="array" ref="G212">INDIRECT("'"&amp;$A212&amp;"'!D8")</f>
        <v/>
      </c>
      <c r="H212" s="30">
        <f t="array" ref="H212">INDIRECT("'"&amp;$A212&amp;"'!E8")</f>
        <v/>
      </c>
      <c r="I212" s="30">
        <f t="array" ref="I212">INDIRECT("'"&amp;$A212&amp;"'!F8")</f>
        <v/>
      </c>
      <c r="J212" s="30">
        <f t="array" ref="J212">INDIRECT("'"&amp;$A212&amp;"'!G8")</f>
        <v/>
      </c>
      <c r="K212" s="30">
        <f t="array" ref="K212">INDIRECT("'"&amp;$A212&amp;"'!H8")</f>
        <v/>
      </c>
      <c r="L212" s="30">
        <f t="array" ref="L212">INDIRECT("'"&amp;$A212&amp;"'!I8")</f>
        <v/>
      </c>
      <c r="M212" s="30">
        <f t="array" ref="M212">INDIRECT("'"&amp;$A212&amp;"'!J8")</f>
        <v/>
      </c>
      <c r="N212" s="30">
        <f t="array" ref="N212">INDIRECT("'"&amp;$A212&amp;"'!K8")</f>
        <v/>
      </c>
      <c r="O212" s="30">
        <f t="array" ref="O212">INDIRECT("'"&amp;$A212&amp;"'!L8")</f>
        <v/>
      </c>
      <c r="P212" s="30">
        <f t="array" ref="P212">INDIRECT("'"&amp;$A212&amp;"'!M8")</f>
        <v/>
      </c>
      <c r="Q212" s="30">
        <f t="array" ref="Q212">INDIRECT("'"&amp;$A212&amp;"'!N8")</f>
        <v/>
      </c>
      <c r="R212" s="30">
        <f t="array" ref="R212">INDIRECT("'"&amp;$A212&amp;"'!O8")</f>
        <v/>
      </c>
      <c r="S212" s="30">
        <f t="array" ref="S212">INDIRECT("'"&amp;$A212&amp;"'!P8")</f>
        <v/>
      </c>
      <c r="T212" s="30">
        <f t="array" ref="T212">INDIRECT("'"&amp;$A212&amp;"'!Q8")</f>
        <v/>
      </c>
      <c r="U212" s="30">
        <f t="array" ref="U212">INDIRECT("'"&amp;$A212&amp;"'!R8")</f>
        <v/>
      </c>
      <c r="V212" s="30">
        <f t="array" ref="V212">INDIRECT("'"&amp;$A212&amp;"'!S8")</f>
        <v/>
      </c>
      <c r="W212" s="30">
        <f t="array" ref="W212">INDIRECT("'"&amp;$A212&amp;"'!T8")</f>
        <v/>
      </c>
      <c r="X212" s="30">
        <f t="array" ref="X212">INDIRECT("'"&amp;$A212&amp;"'!U8")</f>
        <v/>
      </c>
      <c r="Y212" s="30">
        <f t="array" ref="Y212">INDIRECT("'"&amp;$A212&amp;"'!V8")</f>
        <v/>
      </c>
      <c r="Z212" s="30">
        <f t="array" ref="Z212">INDIRECT("'"&amp;$A212&amp;"'!W8")</f>
        <v/>
      </c>
      <c r="AA212" s="30">
        <f t="array" ref="AA212">INDIRECT("'"&amp;$A212&amp;"'!X8")</f>
        <v/>
      </c>
      <c r="AB212" s="30">
        <f t="array" ref="AB212">INDIRECT("'"&amp;$A212&amp;"'!Y8")</f>
        <v/>
      </c>
      <c r="AC212" s="30">
        <f t="array" ref="AC212">INDIRECT("'"&amp;$A212&amp;"'!Z8")</f>
        <v/>
      </c>
      <c r="AD212" s="31">
        <f t="array" ref="AD212">INDIRECT("'"&amp;$A212&amp;"'!AA8")</f>
        <v/>
      </c>
      <c r="AE212" s="79">
        <f t="array" ref="AE212">INDIRECT("'"&amp;$A213&amp;"'!J2")</f>
        <v/>
      </c>
      <c r="AF212" s="53">
        <f t="array" ref="AF212">INDIRECT("'"&amp;$A213&amp;"'!AD1")</f>
        <v/>
      </c>
    </row>
    <row r="213">
      <c r="A213" s="58" t="n">
        <v>71</v>
      </c>
      <c r="B213" s="105" t="n"/>
      <c r="C213" s="67">
        <f t="array" ref="C213">CONCATENATE("粮 ",INDIRECT("'"&amp;$A213&amp;"'!D4"))</f>
        <v/>
      </c>
      <c r="D213" s="55" t="inlineStr">
        <is>
          <t>2队</t>
        </is>
      </c>
      <c r="E213" s="80">
        <f t="array" ref="E213">INDIRECT("'"&amp;$A213&amp;"'!I3")</f>
        <v/>
      </c>
      <c r="F213" s="52">
        <f t="array" ref="F213">INDIRECT("'"&amp;$A213&amp;"'!C11")</f>
        <v/>
      </c>
      <c r="G213" s="3">
        <f t="array" ref="G213">INDIRECT("'"&amp;$A213&amp;"'!D11")</f>
        <v/>
      </c>
      <c r="H213" s="3">
        <f t="array" ref="H213">INDIRECT("'"&amp;$A213&amp;"'!E11")</f>
        <v/>
      </c>
      <c r="I213" s="3">
        <f t="array" ref="I213">INDIRECT("'"&amp;$A213&amp;"'!F11")</f>
        <v/>
      </c>
      <c r="J213" s="3">
        <f t="array" ref="J213">INDIRECT("'"&amp;$A213&amp;"'!G11")</f>
        <v/>
      </c>
      <c r="K213" s="3">
        <f t="array" ref="K213">INDIRECT("'"&amp;$A213&amp;"'!H11")</f>
        <v/>
      </c>
      <c r="L213" s="3">
        <f t="array" ref="L213">INDIRECT("'"&amp;$A213&amp;"'!I11")</f>
        <v/>
      </c>
      <c r="M213" s="3">
        <f t="array" ref="M213">INDIRECT("'"&amp;$A213&amp;"'!J11")</f>
        <v/>
      </c>
      <c r="N213" s="3">
        <f t="array" ref="N213">INDIRECT("'"&amp;$A213&amp;"'!K11")</f>
        <v/>
      </c>
      <c r="O213" s="3">
        <f t="array" ref="O213">INDIRECT("'"&amp;$A213&amp;"'!L11")</f>
        <v/>
      </c>
      <c r="P213" s="3">
        <f t="array" ref="P213">INDIRECT("'"&amp;$A213&amp;"'!M11")</f>
        <v/>
      </c>
      <c r="Q213" s="3">
        <f t="array" ref="Q213">INDIRECT("'"&amp;$A213&amp;"'!N11")</f>
        <v/>
      </c>
      <c r="R213" s="3">
        <f t="array" ref="R213">INDIRECT("'"&amp;$A213&amp;"'!O11")</f>
        <v/>
      </c>
      <c r="S213" s="3">
        <f t="array" ref="S213">INDIRECT("'"&amp;$A213&amp;"'!P11")</f>
        <v/>
      </c>
      <c r="T213" s="3">
        <f t="array" ref="T213">INDIRECT("'"&amp;$A213&amp;"'!Q11")</f>
        <v/>
      </c>
      <c r="U213" s="3">
        <f t="array" ref="U213">INDIRECT("'"&amp;$A213&amp;"'!R11")</f>
        <v/>
      </c>
      <c r="V213" s="3">
        <f t="array" ref="V213">INDIRECT("'"&amp;$A213&amp;"'!S11")</f>
        <v/>
      </c>
      <c r="W213" s="3">
        <f t="array" ref="W213">INDIRECT("'"&amp;$A213&amp;"'!T11")</f>
        <v/>
      </c>
      <c r="X213" s="3">
        <f t="array" ref="X213">INDIRECT("'"&amp;$A213&amp;"'!U11")</f>
        <v/>
      </c>
      <c r="Y213" s="3">
        <f t="array" ref="Y213">INDIRECT("'"&amp;$A213&amp;"'!V11")</f>
        <v/>
      </c>
      <c r="Z213" s="3">
        <f t="array" ref="Z213">INDIRECT("'"&amp;$A213&amp;"'!W11")</f>
        <v/>
      </c>
      <c r="AA213" s="3">
        <f t="array" ref="AA213">INDIRECT("'"&amp;$A213&amp;"'!X11")</f>
        <v/>
      </c>
      <c r="AB213" s="3">
        <f t="array" ref="AB213">INDIRECT("'"&amp;$A213&amp;"'!Y11")</f>
        <v/>
      </c>
      <c r="AC213" s="3">
        <f t="array" ref="AC213">INDIRECT("'"&amp;$A213&amp;"'!Z11")</f>
        <v/>
      </c>
      <c r="AD213" s="32">
        <f t="array" ref="AD213">INDIRECT("'"&amp;$A213&amp;"'!AA11")</f>
        <v/>
      </c>
      <c r="AE213" s="80">
        <f t="array" ref="AE213">INDIRECT("'"&amp;$A213&amp;"'!J3")</f>
        <v/>
      </c>
      <c r="AF213" s="53">
        <f t="array" ref="AF213">INDIRECT("'"&amp;$A213&amp;"'!AC1")</f>
        <v/>
      </c>
    </row>
    <row r="214" ht="15.75" customHeight="1" thickBot="1">
      <c r="A214" s="58" t="n">
        <v>71</v>
      </c>
      <c r="B214" s="106" t="n"/>
      <c r="C214" s="77">
        <f t="array" ref="C214">CONCATENATE("分 ",INDIRECT("'"&amp;$A213&amp;"'!D6"))</f>
        <v/>
      </c>
      <c r="D214" s="56" t="inlineStr">
        <is>
          <t>3队</t>
        </is>
      </c>
      <c r="E214" s="81">
        <f t="array" ref="E214">INDIRECT("'"&amp;$A213&amp;"'!I4")</f>
        <v/>
      </c>
      <c r="F214" s="52">
        <f t="array" ref="F214">INDIRECT("'"&amp;$A214&amp;"'!C14")</f>
        <v/>
      </c>
      <c r="G214" s="3">
        <f t="array" ref="G214">INDIRECT("'"&amp;$A214&amp;"'!D14")</f>
        <v/>
      </c>
      <c r="H214" s="3">
        <f t="array" ref="H214">INDIRECT("'"&amp;$A214&amp;"'!E14")</f>
        <v/>
      </c>
      <c r="I214" s="3">
        <f t="array" ref="I214">INDIRECT("'"&amp;$A214&amp;"'!F14")</f>
        <v/>
      </c>
      <c r="J214" s="3">
        <f t="array" ref="J214">INDIRECT("'"&amp;$A214&amp;"'!G14")</f>
        <v/>
      </c>
      <c r="K214" s="3">
        <f t="array" ref="K214">INDIRECT("'"&amp;$A214&amp;"'!H14")</f>
        <v/>
      </c>
      <c r="L214" s="3">
        <f t="array" ref="L214">INDIRECT("'"&amp;$A214&amp;"'!I14")</f>
        <v/>
      </c>
      <c r="M214" s="3">
        <f t="array" ref="M214">INDIRECT("'"&amp;$A214&amp;"'!J14")</f>
        <v/>
      </c>
      <c r="N214" s="3">
        <f t="array" ref="N214">INDIRECT("'"&amp;$A214&amp;"'!K14")</f>
        <v/>
      </c>
      <c r="O214" s="3">
        <f t="array" ref="O214">INDIRECT("'"&amp;$A214&amp;"'!L14")</f>
        <v/>
      </c>
      <c r="P214" s="3">
        <f t="array" ref="P214">INDIRECT("'"&amp;$A214&amp;"'!M14")</f>
        <v/>
      </c>
      <c r="Q214" s="3">
        <f t="array" ref="Q214">INDIRECT("'"&amp;$A214&amp;"'!N14")</f>
        <v/>
      </c>
      <c r="R214" s="3">
        <f t="array" ref="R214">INDIRECT("'"&amp;$A214&amp;"'!O14")</f>
        <v/>
      </c>
      <c r="S214" s="3">
        <f t="array" ref="S214">INDIRECT("'"&amp;$A214&amp;"'!P14")</f>
        <v/>
      </c>
      <c r="T214" s="3">
        <f t="array" ref="T214">INDIRECT("'"&amp;$A214&amp;"'!Q14")</f>
        <v/>
      </c>
      <c r="U214" s="3">
        <f t="array" ref="U214">INDIRECT("'"&amp;$A214&amp;"'!R14")</f>
        <v/>
      </c>
      <c r="V214" s="3">
        <f t="array" ref="V214">INDIRECT("'"&amp;$A214&amp;"'!S14")</f>
        <v/>
      </c>
      <c r="W214" s="3">
        <f t="array" ref="W214">INDIRECT("'"&amp;$A214&amp;"'!T14")</f>
        <v/>
      </c>
      <c r="X214" s="3">
        <f t="array" ref="X214">INDIRECT("'"&amp;$A214&amp;"'!U14")</f>
        <v/>
      </c>
      <c r="Y214" s="3">
        <f t="array" ref="Y214">INDIRECT("'"&amp;$A214&amp;"'!V14")</f>
        <v/>
      </c>
      <c r="Z214" s="3">
        <f t="array" ref="Z214">INDIRECT("'"&amp;$A214&amp;"'!W14")</f>
        <v/>
      </c>
      <c r="AA214" s="3">
        <f t="array" ref="AA214">INDIRECT("'"&amp;$A214&amp;"'!X14")</f>
        <v/>
      </c>
      <c r="AB214" s="3">
        <f t="array" ref="AB214">INDIRECT("'"&amp;$A214&amp;"'!Y14")</f>
        <v/>
      </c>
      <c r="AC214" s="3">
        <f t="array" ref="AC214">INDIRECT("'"&amp;$A214&amp;"'!Z14")</f>
        <v/>
      </c>
      <c r="AD214" s="32">
        <f t="array" ref="AD214">INDIRECT("'"&amp;$A214&amp;"'!AA14")</f>
        <v/>
      </c>
      <c r="AE214" s="81">
        <f t="array" ref="AE214">INDIRECT("'"&amp;$A213&amp;"'!J4")</f>
        <v/>
      </c>
      <c r="AF214" s="53" t="n"/>
    </row>
    <row r="215">
      <c r="A215" s="58" t="n">
        <v>72</v>
      </c>
      <c r="B215" s="103">
        <f>INDEX(data!$I$2:$I$98,MATCH(A215*1,data!$G$2:$G$98,0))</f>
        <v/>
      </c>
      <c r="C215" s="66">
        <f>HYPERLINK("#'" &amp; A215 &amp; "'!A1", "编辑")</f>
        <v/>
      </c>
      <c r="D215" s="54" t="inlineStr">
        <is>
          <t>1队</t>
        </is>
      </c>
      <c r="E215" s="79">
        <f t="array" ref="E215">INDIRECT("'"&amp;$A216&amp;"'!I2")</f>
        <v/>
      </c>
      <c r="F215" s="29">
        <f t="array" ref="F215">INDIRECT("'"&amp;$A215&amp;"'!C8")</f>
        <v/>
      </c>
      <c r="G215" s="30">
        <f t="array" ref="G215">INDIRECT("'"&amp;$A215&amp;"'!D8")</f>
        <v/>
      </c>
      <c r="H215" s="30">
        <f t="array" ref="H215">INDIRECT("'"&amp;$A215&amp;"'!E8")</f>
        <v/>
      </c>
      <c r="I215" s="30">
        <f t="array" ref="I215">INDIRECT("'"&amp;$A215&amp;"'!F8")</f>
        <v/>
      </c>
      <c r="J215" s="30">
        <f t="array" ref="J215">INDIRECT("'"&amp;$A215&amp;"'!G8")</f>
        <v/>
      </c>
      <c r="K215" s="30">
        <f t="array" ref="K215">INDIRECT("'"&amp;$A215&amp;"'!H8")</f>
        <v/>
      </c>
      <c r="L215" s="30">
        <f t="array" ref="L215">INDIRECT("'"&amp;$A215&amp;"'!I8")</f>
        <v/>
      </c>
      <c r="M215" s="30">
        <f t="array" ref="M215">INDIRECT("'"&amp;$A215&amp;"'!J8")</f>
        <v/>
      </c>
      <c r="N215" s="30">
        <f t="array" ref="N215">INDIRECT("'"&amp;$A215&amp;"'!K8")</f>
        <v/>
      </c>
      <c r="O215" s="30">
        <f t="array" ref="O215">INDIRECT("'"&amp;$A215&amp;"'!L8")</f>
        <v/>
      </c>
      <c r="P215" s="30">
        <f t="array" ref="P215">INDIRECT("'"&amp;$A215&amp;"'!M8")</f>
        <v/>
      </c>
      <c r="Q215" s="30">
        <f t="array" ref="Q215">INDIRECT("'"&amp;$A215&amp;"'!N8")</f>
        <v/>
      </c>
      <c r="R215" s="30">
        <f t="array" ref="R215">INDIRECT("'"&amp;$A215&amp;"'!O8")</f>
        <v/>
      </c>
      <c r="S215" s="30">
        <f t="array" ref="S215">INDIRECT("'"&amp;$A215&amp;"'!P8")</f>
        <v/>
      </c>
      <c r="T215" s="30">
        <f t="array" ref="T215">INDIRECT("'"&amp;$A215&amp;"'!Q8")</f>
        <v/>
      </c>
      <c r="U215" s="30">
        <f t="array" ref="U215">INDIRECT("'"&amp;$A215&amp;"'!R8")</f>
        <v/>
      </c>
      <c r="V215" s="30">
        <f t="array" ref="V215">INDIRECT("'"&amp;$A215&amp;"'!S8")</f>
        <v/>
      </c>
      <c r="W215" s="30">
        <f t="array" ref="W215">INDIRECT("'"&amp;$A215&amp;"'!T8")</f>
        <v/>
      </c>
      <c r="X215" s="30">
        <f t="array" ref="X215">INDIRECT("'"&amp;$A215&amp;"'!U8")</f>
        <v/>
      </c>
      <c r="Y215" s="30">
        <f t="array" ref="Y215">INDIRECT("'"&amp;$A215&amp;"'!V8")</f>
        <v/>
      </c>
      <c r="Z215" s="30">
        <f t="array" ref="Z215">INDIRECT("'"&amp;$A215&amp;"'!W8")</f>
        <v/>
      </c>
      <c r="AA215" s="30">
        <f t="array" ref="AA215">INDIRECT("'"&amp;$A215&amp;"'!X8")</f>
        <v/>
      </c>
      <c r="AB215" s="30">
        <f t="array" ref="AB215">INDIRECT("'"&amp;$A215&amp;"'!Y8")</f>
        <v/>
      </c>
      <c r="AC215" s="30">
        <f t="array" ref="AC215">INDIRECT("'"&amp;$A215&amp;"'!Z8")</f>
        <v/>
      </c>
      <c r="AD215" s="31">
        <f t="array" ref="AD215">INDIRECT("'"&amp;$A215&amp;"'!AA8")</f>
        <v/>
      </c>
      <c r="AE215" s="79">
        <f t="array" ref="AE215">INDIRECT("'"&amp;$A216&amp;"'!J2")</f>
        <v/>
      </c>
      <c r="AF215" s="53">
        <f t="array" ref="AF215">INDIRECT("'"&amp;$A216&amp;"'!AD1")</f>
        <v/>
      </c>
    </row>
    <row r="216">
      <c r="A216" s="58" t="n">
        <v>72</v>
      </c>
      <c r="B216" s="105" t="n"/>
      <c r="C216" s="67">
        <f t="array" ref="C216">CONCATENATE("粮 ",INDIRECT("'"&amp;$A216&amp;"'!D4"))</f>
        <v/>
      </c>
      <c r="D216" s="55" t="inlineStr">
        <is>
          <t>2队</t>
        </is>
      </c>
      <c r="E216" s="80">
        <f t="array" ref="E216">INDIRECT("'"&amp;$A216&amp;"'!I3")</f>
        <v/>
      </c>
      <c r="F216" s="52">
        <f t="array" ref="F216">INDIRECT("'"&amp;$A216&amp;"'!C11")</f>
        <v/>
      </c>
      <c r="G216" s="3">
        <f t="array" ref="G216">INDIRECT("'"&amp;$A216&amp;"'!D11")</f>
        <v/>
      </c>
      <c r="H216" s="3">
        <f t="array" ref="H216">INDIRECT("'"&amp;$A216&amp;"'!E11")</f>
        <v/>
      </c>
      <c r="I216" s="3">
        <f t="array" ref="I216">INDIRECT("'"&amp;$A216&amp;"'!F11")</f>
        <v/>
      </c>
      <c r="J216" s="3">
        <f t="array" ref="J216">INDIRECT("'"&amp;$A216&amp;"'!G11")</f>
        <v/>
      </c>
      <c r="K216" s="3">
        <f t="array" ref="K216">INDIRECT("'"&amp;$A216&amp;"'!H11")</f>
        <v/>
      </c>
      <c r="L216" s="3">
        <f t="array" ref="L216">INDIRECT("'"&amp;$A216&amp;"'!I11")</f>
        <v/>
      </c>
      <c r="M216" s="3">
        <f t="array" ref="M216">INDIRECT("'"&amp;$A216&amp;"'!J11")</f>
        <v/>
      </c>
      <c r="N216" s="3">
        <f t="array" ref="N216">INDIRECT("'"&amp;$A216&amp;"'!K11")</f>
        <v/>
      </c>
      <c r="O216" s="3">
        <f t="array" ref="O216">INDIRECT("'"&amp;$A216&amp;"'!L11")</f>
        <v/>
      </c>
      <c r="P216" s="3">
        <f t="array" ref="P216">INDIRECT("'"&amp;$A216&amp;"'!M11")</f>
        <v/>
      </c>
      <c r="Q216" s="3">
        <f t="array" ref="Q216">INDIRECT("'"&amp;$A216&amp;"'!N11")</f>
        <v/>
      </c>
      <c r="R216" s="3">
        <f t="array" ref="R216">INDIRECT("'"&amp;$A216&amp;"'!O11")</f>
        <v/>
      </c>
      <c r="S216" s="3">
        <f t="array" ref="S216">INDIRECT("'"&amp;$A216&amp;"'!P11")</f>
        <v/>
      </c>
      <c r="T216" s="3">
        <f t="array" ref="T216">INDIRECT("'"&amp;$A216&amp;"'!Q11")</f>
        <v/>
      </c>
      <c r="U216" s="3">
        <f t="array" ref="U216">INDIRECT("'"&amp;$A216&amp;"'!R11")</f>
        <v/>
      </c>
      <c r="V216" s="3">
        <f t="array" ref="V216">INDIRECT("'"&amp;$A216&amp;"'!S11")</f>
        <v/>
      </c>
      <c r="W216" s="3">
        <f t="array" ref="W216">INDIRECT("'"&amp;$A216&amp;"'!T11")</f>
        <v/>
      </c>
      <c r="X216" s="3">
        <f t="array" ref="X216">INDIRECT("'"&amp;$A216&amp;"'!U11")</f>
        <v/>
      </c>
      <c r="Y216" s="3">
        <f t="array" ref="Y216">INDIRECT("'"&amp;$A216&amp;"'!V11")</f>
        <v/>
      </c>
      <c r="Z216" s="3">
        <f t="array" ref="Z216">INDIRECT("'"&amp;$A216&amp;"'!W11")</f>
        <v/>
      </c>
      <c r="AA216" s="3">
        <f t="array" ref="AA216">INDIRECT("'"&amp;$A216&amp;"'!X11")</f>
        <v/>
      </c>
      <c r="AB216" s="3">
        <f t="array" ref="AB216">INDIRECT("'"&amp;$A216&amp;"'!Y11")</f>
        <v/>
      </c>
      <c r="AC216" s="3">
        <f t="array" ref="AC216">INDIRECT("'"&amp;$A216&amp;"'!Z11")</f>
        <v/>
      </c>
      <c r="AD216" s="32">
        <f t="array" ref="AD216">INDIRECT("'"&amp;$A216&amp;"'!AA11")</f>
        <v/>
      </c>
      <c r="AE216" s="80">
        <f t="array" ref="AE216">INDIRECT("'"&amp;$A216&amp;"'!J3")</f>
        <v/>
      </c>
      <c r="AF216" s="53">
        <f t="array" ref="AF216">INDIRECT("'"&amp;$A216&amp;"'!AC1")</f>
        <v/>
      </c>
    </row>
    <row r="217" ht="15.75" customHeight="1" thickBot="1">
      <c r="A217" s="58" t="n">
        <v>72</v>
      </c>
      <c r="B217" s="106" t="n"/>
      <c r="C217" s="77">
        <f t="array" ref="C217">CONCATENATE("分 ",INDIRECT("'"&amp;$A216&amp;"'!D6"))</f>
        <v/>
      </c>
      <c r="D217" s="56" t="inlineStr">
        <is>
          <t>3队</t>
        </is>
      </c>
      <c r="E217" s="81">
        <f t="array" ref="E217">INDIRECT("'"&amp;$A216&amp;"'!I4")</f>
        <v/>
      </c>
      <c r="F217" s="52">
        <f t="array" ref="F217">INDIRECT("'"&amp;$A217&amp;"'!C14")</f>
        <v/>
      </c>
      <c r="G217" s="3">
        <f t="array" ref="G217">INDIRECT("'"&amp;$A217&amp;"'!D14")</f>
        <v/>
      </c>
      <c r="H217" s="3">
        <f t="array" ref="H217">INDIRECT("'"&amp;$A217&amp;"'!E14")</f>
        <v/>
      </c>
      <c r="I217" s="3">
        <f t="array" ref="I217">INDIRECT("'"&amp;$A217&amp;"'!F14")</f>
        <v/>
      </c>
      <c r="J217" s="3">
        <f t="array" ref="J217">INDIRECT("'"&amp;$A217&amp;"'!G14")</f>
        <v/>
      </c>
      <c r="K217" s="3">
        <f t="array" ref="K217">INDIRECT("'"&amp;$A217&amp;"'!H14")</f>
        <v/>
      </c>
      <c r="L217" s="3">
        <f t="array" ref="L217">INDIRECT("'"&amp;$A217&amp;"'!I14")</f>
        <v/>
      </c>
      <c r="M217" s="3">
        <f t="array" ref="M217">INDIRECT("'"&amp;$A217&amp;"'!J14")</f>
        <v/>
      </c>
      <c r="N217" s="3">
        <f t="array" ref="N217">INDIRECT("'"&amp;$A217&amp;"'!K14")</f>
        <v/>
      </c>
      <c r="O217" s="3">
        <f t="array" ref="O217">INDIRECT("'"&amp;$A217&amp;"'!L14")</f>
        <v/>
      </c>
      <c r="P217" s="3">
        <f t="array" ref="P217">INDIRECT("'"&amp;$A217&amp;"'!M14")</f>
        <v/>
      </c>
      <c r="Q217" s="3">
        <f t="array" ref="Q217">INDIRECT("'"&amp;$A217&amp;"'!N14")</f>
        <v/>
      </c>
      <c r="R217" s="3">
        <f t="array" ref="R217">INDIRECT("'"&amp;$A217&amp;"'!O14")</f>
        <v/>
      </c>
      <c r="S217" s="3">
        <f t="array" ref="S217">INDIRECT("'"&amp;$A217&amp;"'!P14")</f>
        <v/>
      </c>
      <c r="T217" s="3">
        <f t="array" ref="T217">INDIRECT("'"&amp;$A217&amp;"'!Q14")</f>
        <v/>
      </c>
      <c r="U217" s="3">
        <f t="array" ref="U217">INDIRECT("'"&amp;$A217&amp;"'!R14")</f>
        <v/>
      </c>
      <c r="V217" s="3">
        <f t="array" ref="V217">INDIRECT("'"&amp;$A217&amp;"'!S14")</f>
        <v/>
      </c>
      <c r="W217" s="3">
        <f t="array" ref="W217">INDIRECT("'"&amp;$A217&amp;"'!T14")</f>
        <v/>
      </c>
      <c r="X217" s="3">
        <f t="array" ref="X217">INDIRECT("'"&amp;$A217&amp;"'!U14")</f>
        <v/>
      </c>
      <c r="Y217" s="3">
        <f t="array" ref="Y217">INDIRECT("'"&amp;$A217&amp;"'!V14")</f>
        <v/>
      </c>
      <c r="Z217" s="3">
        <f t="array" ref="Z217">INDIRECT("'"&amp;$A217&amp;"'!W14")</f>
        <v/>
      </c>
      <c r="AA217" s="3">
        <f t="array" ref="AA217">INDIRECT("'"&amp;$A217&amp;"'!X14")</f>
        <v/>
      </c>
      <c r="AB217" s="3">
        <f t="array" ref="AB217">INDIRECT("'"&amp;$A217&amp;"'!Y14")</f>
        <v/>
      </c>
      <c r="AC217" s="3">
        <f t="array" ref="AC217">INDIRECT("'"&amp;$A217&amp;"'!Z14")</f>
        <v/>
      </c>
      <c r="AD217" s="32">
        <f t="array" ref="AD217">INDIRECT("'"&amp;$A217&amp;"'!AA14")</f>
        <v/>
      </c>
      <c r="AE217" s="81">
        <f t="array" ref="AE217">INDIRECT("'"&amp;$A216&amp;"'!J4")</f>
        <v/>
      </c>
      <c r="AF217" s="53" t="n"/>
    </row>
    <row r="218">
      <c r="A218" s="58" t="n">
        <v>73</v>
      </c>
      <c r="B218" s="103">
        <f>INDEX(data!$I$2:$I$98,MATCH(A218*1,data!$G$2:$G$98,0))</f>
        <v/>
      </c>
      <c r="C218" s="66">
        <f>HYPERLINK("#'" &amp; A218 &amp; "'!A1", "编辑")</f>
        <v/>
      </c>
      <c r="D218" s="54" t="inlineStr">
        <is>
          <t>1队</t>
        </is>
      </c>
      <c r="E218" s="79">
        <f t="array" ref="E218">INDIRECT("'"&amp;$A219&amp;"'!I2")</f>
        <v/>
      </c>
      <c r="F218" s="29">
        <f t="array" ref="F218">INDIRECT("'"&amp;$A218&amp;"'!C8")</f>
        <v/>
      </c>
      <c r="G218" s="30">
        <f t="array" ref="G218">INDIRECT("'"&amp;$A218&amp;"'!D8")</f>
        <v/>
      </c>
      <c r="H218" s="30">
        <f t="array" ref="H218">INDIRECT("'"&amp;$A218&amp;"'!E8")</f>
        <v/>
      </c>
      <c r="I218" s="30">
        <f t="array" ref="I218">INDIRECT("'"&amp;$A218&amp;"'!F8")</f>
        <v/>
      </c>
      <c r="J218" s="30">
        <f t="array" ref="J218">INDIRECT("'"&amp;$A218&amp;"'!G8")</f>
        <v/>
      </c>
      <c r="K218" s="30">
        <f t="array" ref="K218">INDIRECT("'"&amp;$A218&amp;"'!H8")</f>
        <v/>
      </c>
      <c r="L218" s="30">
        <f t="array" ref="L218">INDIRECT("'"&amp;$A218&amp;"'!I8")</f>
        <v/>
      </c>
      <c r="M218" s="30">
        <f t="array" ref="M218">INDIRECT("'"&amp;$A218&amp;"'!J8")</f>
        <v/>
      </c>
      <c r="N218" s="30">
        <f t="array" ref="N218">INDIRECT("'"&amp;$A218&amp;"'!K8")</f>
        <v/>
      </c>
      <c r="O218" s="30">
        <f t="array" ref="O218">INDIRECT("'"&amp;$A218&amp;"'!L8")</f>
        <v/>
      </c>
      <c r="P218" s="30">
        <f t="array" ref="P218">INDIRECT("'"&amp;$A218&amp;"'!M8")</f>
        <v/>
      </c>
      <c r="Q218" s="30">
        <f t="array" ref="Q218">INDIRECT("'"&amp;$A218&amp;"'!N8")</f>
        <v/>
      </c>
      <c r="R218" s="30">
        <f t="array" ref="R218">INDIRECT("'"&amp;$A218&amp;"'!O8")</f>
        <v/>
      </c>
      <c r="S218" s="30">
        <f t="array" ref="S218">INDIRECT("'"&amp;$A218&amp;"'!P8")</f>
        <v/>
      </c>
      <c r="T218" s="30">
        <f t="array" ref="T218">INDIRECT("'"&amp;$A218&amp;"'!Q8")</f>
        <v/>
      </c>
      <c r="U218" s="30">
        <f t="array" ref="U218">INDIRECT("'"&amp;$A218&amp;"'!R8")</f>
        <v/>
      </c>
      <c r="V218" s="30">
        <f t="array" ref="V218">INDIRECT("'"&amp;$A218&amp;"'!S8")</f>
        <v/>
      </c>
      <c r="W218" s="30">
        <f t="array" ref="W218">INDIRECT("'"&amp;$A218&amp;"'!T8")</f>
        <v/>
      </c>
      <c r="X218" s="30">
        <f t="array" ref="X218">INDIRECT("'"&amp;$A218&amp;"'!U8")</f>
        <v/>
      </c>
      <c r="Y218" s="30">
        <f t="array" ref="Y218">INDIRECT("'"&amp;$A218&amp;"'!V8")</f>
        <v/>
      </c>
      <c r="Z218" s="30">
        <f t="array" ref="Z218">INDIRECT("'"&amp;$A218&amp;"'!W8")</f>
        <v/>
      </c>
      <c r="AA218" s="30">
        <f t="array" ref="AA218">INDIRECT("'"&amp;$A218&amp;"'!X8")</f>
        <v/>
      </c>
      <c r="AB218" s="30">
        <f t="array" ref="AB218">INDIRECT("'"&amp;$A218&amp;"'!Y8")</f>
        <v/>
      </c>
      <c r="AC218" s="30">
        <f t="array" ref="AC218">INDIRECT("'"&amp;$A218&amp;"'!Z8")</f>
        <v/>
      </c>
      <c r="AD218" s="31">
        <f t="array" ref="AD218">INDIRECT("'"&amp;$A218&amp;"'!AA8")</f>
        <v/>
      </c>
      <c r="AE218" s="79">
        <f t="array" ref="AE218">INDIRECT("'"&amp;$A219&amp;"'!J2")</f>
        <v/>
      </c>
      <c r="AF218" s="53">
        <f t="array" ref="AF218">INDIRECT("'"&amp;$A219&amp;"'!AD1")</f>
        <v/>
      </c>
    </row>
    <row r="219">
      <c r="A219" s="58" t="n">
        <v>73</v>
      </c>
      <c r="B219" s="105" t="n"/>
      <c r="C219" s="67">
        <f t="array" ref="C219">CONCATENATE("粮 ",INDIRECT("'"&amp;$A219&amp;"'!D4"))</f>
        <v/>
      </c>
      <c r="D219" s="55" t="inlineStr">
        <is>
          <t>2队</t>
        </is>
      </c>
      <c r="E219" s="80">
        <f t="array" ref="E219">INDIRECT("'"&amp;$A219&amp;"'!I3")</f>
        <v/>
      </c>
      <c r="F219" s="52">
        <f t="array" ref="F219">INDIRECT("'"&amp;$A219&amp;"'!C11")</f>
        <v/>
      </c>
      <c r="G219" s="3">
        <f t="array" ref="G219">INDIRECT("'"&amp;$A219&amp;"'!D11")</f>
        <v/>
      </c>
      <c r="H219" s="3">
        <f t="array" ref="H219">INDIRECT("'"&amp;$A219&amp;"'!E11")</f>
        <v/>
      </c>
      <c r="I219" s="3">
        <f t="array" ref="I219">INDIRECT("'"&amp;$A219&amp;"'!F11")</f>
        <v/>
      </c>
      <c r="J219" s="3">
        <f t="array" ref="J219">INDIRECT("'"&amp;$A219&amp;"'!G11")</f>
        <v/>
      </c>
      <c r="K219" s="3">
        <f t="array" ref="K219">INDIRECT("'"&amp;$A219&amp;"'!H11")</f>
        <v/>
      </c>
      <c r="L219" s="3">
        <f t="array" ref="L219">INDIRECT("'"&amp;$A219&amp;"'!I11")</f>
        <v/>
      </c>
      <c r="M219" s="3">
        <f t="array" ref="M219">INDIRECT("'"&amp;$A219&amp;"'!J11")</f>
        <v/>
      </c>
      <c r="N219" s="3">
        <f t="array" ref="N219">INDIRECT("'"&amp;$A219&amp;"'!K11")</f>
        <v/>
      </c>
      <c r="O219" s="3">
        <f t="array" ref="O219">INDIRECT("'"&amp;$A219&amp;"'!L11")</f>
        <v/>
      </c>
      <c r="P219" s="3">
        <f t="array" ref="P219">INDIRECT("'"&amp;$A219&amp;"'!M11")</f>
        <v/>
      </c>
      <c r="Q219" s="3">
        <f t="array" ref="Q219">INDIRECT("'"&amp;$A219&amp;"'!N11")</f>
        <v/>
      </c>
      <c r="R219" s="3">
        <f t="array" ref="R219">INDIRECT("'"&amp;$A219&amp;"'!O11")</f>
        <v/>
      </c>
      <c r="S219" s="3">
        <f t="array" ref="S219">INDIRECT("'"&amp;$A219&amp;"'!P11")</f>
        <v/>
      </c>
      <c r="T219" s="3">
        <f t="array" ref="T219">INDIRECT("'"&amp;$A219&amp;"'!Q11")</f>
        <v/>
      </c>
      <c r="U219" s="3">
        <f t="array" ref="U219">INDIRECT("'"&amp;$A219&amp;"'!R11")</f>
        <v/>
      </c>
      <c r="V219" s="3">
        <f t="array" ref="V219">INDIRECT("'"&amp;$A219&amp;"'!S11")</f>
        <v/>
      </c>
      <c r="W219" s="3">
        <f t="array" ref="W219">INDIRECT("'"&amp;$A219&amp;"'!T11")</f>
        <v/>
      </c>
      <c r="X219" s="3">
        <f t="array" ref="X219">INDIRECT("'"&amp;$A219&amp;"'!U11")</f>
        <v/>
      </c>
      <c r="Y219" s="3">
        <f t="array" ref="Y219">INDIRECT("'"&amp;$A219&amp;"'!V11")</f>
        <v/>
      </c>
      <c r="Z219" s="3">
        <f t="array" ref="Z219">INDIRECT("'"&amp;$A219&amp;"'!W11")</f>
        <v/>
      </c>
      <c r="AA219" s="3">
        <f t="array" ref="AA219">INDIRECT("'"&amp;$A219&amp;"'!X11")</f>
        <v/>
      </c>
      <c r="AB219" s="3">
        <f t="array" ref="AB219">INDIRECT("'"&amp;$A219&amp;"'!Y11")</f>
        <v/>
      </c>
      <c r="AC219" s="3">
        <f t="array" ref="AC219">INDIRECT("'"&amp;$A219&amp;"'!Z11")</f>
        <v/>
      </c>
      <c r="AD219" s="32">
        <f t="array" ref="AD219">INDIRECT("'"&amp;$A219&amp;"'!AA11")</f>
        <v/>
      </c>
      <c r="AE219" s="80">
        <f t="array" ref="AE219">INDIRECT("'"&amp;$A219&amp;"'!J3")</f>
        <v/>
      </c>
      <c r="AF219" s="53">
        <f t="array" ref="AF219">INDIRECT("'"&amp;$A219&amp;"'!AC1")</f>
        <v/>
      </c>
    </row>
    <row r="220" ht="15.75" customHeight="1" thickBot="1">
      <c r="A220" s="58" t="n">
        <v>73</v>
      </c>
      <c r="B220" s="106" t="n"/>
      <c r="C220" s="77">
        <f t="array" ref="C220">CONCATENATE("分 ",INDIRECT("'"&amp;$A219&amp;"'!D6"))</f>
        <v/>
      </c>
      <c r="D220" s="56" t="inlineStr">
        <is>
          <t>3队</t>
        </is>
      </c>
      <c r="E220" s="81">
        <f t="array" ref="E220">INDIRECT("'"&amp;$A219&amp;"'!I4")</f>
        <v/>
      </c>
      <c r="F220" s="52">
        <f t="array" ref="F220">INDIRECT("'"&amp;$A220&amp;"'!C14")</f>
        <v/>
      </c>
      <c r="G220" s="3">
        <f t="array" ref="G220">INDIRECT("'"&amp;$A220&amp;"'!D14")</f>
        <v/>
      </c>
      <c r="H220" s="3">
        <f t="array" ref="H220">INDIRECT("'"&amp;$A220&amp;"'!E14")</f>
        <v/>
      </c>
      <c r="I220" s="3">
        <f t="array" ref="I220">INDIRECT("'"&amp;$A220&amp;"'!F14")</f>
        <v/>
      </c>
      <c r="J220" s="3">
        <f t="array" ref="J220">INDIRECT("'"&amp;$A220&amp;"'!G14")</f>
        <v/>
      </c>
      <c r="K220" s="3">
        <f t="array" ref="K220">INDIRECT("'"&amp;$A220&amp;"'!H14")</f>
        <v/>
      </c>
      <c r="L220" s="3">
        <f t="array" ref="L220">INDIRECT("'"&amp;$A220&amp;"'!I14")</f>
        <v/>
      </c>
      <c r="M220" s="3">
        <f t="array" ref="M220">INDIRECT("'"&amp;$A220&amp;"'!J14")</f>
        <v/>
      </c>
      <c r="N220" s="3">
        <f t="array" ref="N220">INDIRECT("'"&amp;$A220&amp;"'!K14")</f>
        <v/>
      </c>
      <c r="O220" s="3">
        <f t="array" ref="O220">INDIRECT("'"&amp;$A220&amp;"'!L14")</f>
        <v/>
      </c>
      <c r="P220" s="3">
        <f t="array" ref="P220">INDIRECT("'"&amp;$A220&amp;"'!M14")</f>
        <v/>
      </c>
      <c r="Q220" s="3">
        <f t="array" ref="Q220">INDIRECT("'"&amp;$A220&amp;"'!N14")</f>
        <v/>
      </c>
      <c r="R220" s="3">
        <f t="array" ref="R220">INDIRECT("'"&amp;$A220&amp;"'!O14")</f>
        <v/>
      </c>
      <c r="S220" s="3">
        <f t="array" ref="S220">INDIRECT("'"&amp;$A220&amp;"'!P14")</f>
        <v/>
      </c>
      <c r="T220" s="3">
        <f t="array" ref="T220">INDIRECT("'"&amp;$A220&amp;"'!Q14")</f>
        <v/>
      </c>
      <c r="U220" s="3">
        <f t="array" ref="U220">INDIRECT("'"&amp;$A220&amp;"'!R14")</f>
        <v/>
      </c>
      <c r="V220" s="3">
        <f t="array" ref="V220">INDIRECT("'"&amp;$A220&amp;"'!S14")</f>
        <v/>
      </c>
      <c r="W220" s="3">
        <f t="array" ref="W220">INDIRECT("'"&amp;$A220&amp;"'!T14")</f>
        <v/>
      </c>
      <c r="X220" s="3">
        <f t="array" ref="X220">INDIRECT("'"&amp;$A220&amp;"'!U14")</f>
        <v/>
      </c>
      <c r="Y220" s="3">
        <f t="array" ref="Y220">INDIRECT("'"&amp;$A220&amp;"'!V14")</f>
        <v/>
      </c>
      <c r="Z220" s="3">
        <f t="array" ref="Z220">INDIRECT("'"&amp;$A220&amp;"'!W14")</f>
        <v/>
      </c>
      <c r="AA220" s="3">
        <f t="array" ref="AA220">INDIRECT("'"&amp;$A220&amp;"'!X14")</f>
        <v/>
      </c>
      <c r="AB220" s="3">
        <f t="array" ref="AB220">INDIRECT("'"&amp;$A220&amp;"'!Y14")</f>
        <v/>
      </c>
      <c r="AC220" s="3">
        <f t="array" ref="AC220">INDIRECT("'"&amp;$A220&amp;"'!Z14")</f>
        <v/>
      </c>
      <c r="AD220" s="32">
        <f t="array" ref="AD220">INDIRECT("'"&amp;$A220&amp;"'!AA14")</f>
        <v/>
      </c>
      <c r="AE220" s="81">
        <f t="array" ref="AE220">INDIRECT("'"&amp;$A219&amp;"'!J4")</f>
        <v/>
      </c>
      <c r="AF220" s="53" t="n"/>
    </row>
    <row r="221">
      <c r="A221" s="58" t="n">
        <v>74</v>
      </c>
      <c r="B221" s="103">
        <f>INDEX(data!$I$2:$I$98,MATCH(A221*1,data!$G$2:$G$98,0))</f>
        <v/>
      </c>
      <c r="C221" s="66">
        <f>HYPERLINK("#'" &amp; A221 &amp; "'!A1", "编辑")</f>
        <v/>
      </c>
      <c r="D221" s="54" t="inlineStr">
        <is>
          <t>1队</t>
        </is>
      </c>
      <c r="E221" s="79">
        <f t="array" ref="E221">INDIRECT("'"&amp;$A222&amp;"'!I2")</f>
        <v/>
      </c>
      <c r="F221" s="29">
        <f t="array" ref="F221">INDIRECT("'"&amp;$A221&amp;"'!C8")</f>
        <v/>
      </c>
      <c r="G221" s="30">
        <f t="array" ref="G221">INDIRECT("'"&amp;$A221&amp;"'!D8")</f>
        <v/>
      </c>
      <c r="H221" s="30">
        <f t="array" ref="H221">INDIRECT("'"&amp;$A221&amp;"'!E8")</f>
        <v/>
      </c>
      <c r="I221" s="30">
        <f t="array" ref="I221">INDIRECT("'"&amp;$A221&amp;"'!F8")</f>
        <v/>
      </c>
      <c r="J221" s="30">
        <f t="array" ref="J221">INDIRECT("'"&amp;$A221&amp;"'!G8")</f>
        <v/>
      </c>
      <c r="K221" s="30">
        <f t="array" ref="K221">INDIRECT("'"&amp;$A221&amp;"'!H8")</f>
        <v/>
      </c>
      <c r="L221" s="30">
        <f t="array" ref="L221">INDIRECT("'"&amp;$A221&amp;"'!I8")</f>
        <v/>
      </c>
      <c r="M221" s="30">
        <f t="array" ref="M221">INDIRECT("'"&amp;$A221&amp;"'!J8")</f>
        <v/>
      </c>
      <c r="N221" s="30">
        <f t="array" ref="N221">INDIRECT("'"&amp;$A221&amp;"'!K8")</f>
        <v/>
      </c>
      <c r="O221" s="30">
        <f t="array" ref="O221">INDIRECT("'"&amp;$A221&amp;"'!L8")</f>
        <v/>
      </c>
      <c r="P221" s="30">
        <f t="array" ref="P221">INDIRECT("'"&amp;$A221&amp;"'!M8")</f>
        <v/>
      </c>
      <c r="Q221" s="30">
        <f t="array" ref="Q221">INDIRECT("'"&amp;$A221&amp;"'!N8")</f>
        <v/>
      </c>
      <c r="R221" s="30">
        <f t="array" ref="R221">INDIRECT("'"&amp;$A221&amp;"'!O8")</f>
        <v/>
      </c>
      <c r="S221" s="30">
        <f t="array" ref="S221">INDIRECT("'"&amp;$A221&amp;"'!P8")</f>
        <v/>
      </c>
      <c r="T221" s="30">
        <f t="array" ref="T221">INDIRECT("'"&amp;$A221&amp;"'!Q8")</f>
        <v/>
      </c>
      <c r="U221" s="30">
        <f t="array" ref="U221">INDIRECT("'"&amp;$A221&amp;"'!R8")</f>
        <v/>
      </c>
      <c r="V221" s="30">
        <f t="array" ref="V221">INDIRECT("'"&amp;$A221&amp;"'!S8")</f>
        <v/>
      </c>
      <c r="W221" s="30">
        <f t="array" ref="W221">INDIRECT("'"&amp;$A221&amp;"'!T8")</f>
        <v/>
      </c>
      <c r="X221" s="30">
        <f t="array" ref="X221">INDIRECT("'"&amp;$A221&amp;"'!U8")</f>
        <v/>
      </c>
      <c r="Y221" s="30">
        <f t="array" ref="Y221">INDIRECT("'"&amp;$A221&amp;"'!V8")</f>
        <v/>
      </c>
      <c r="Z221" s="30">
        <f t="array" ref="Z221">INDIRECT("'"&amp;$A221&amp;"'!W8")</f>
        <v/>
      </c>
      <c r="AA221" s="30">
        <f t="array" ref="AA221">INDIRECT("'"&amp;$A221&amp;"'!X8")</f>
        <v/>
      </c>
      <c r="AB221" s="30">
        <f t="array" ref="AB221">INDIRECT("'"&amp;$A221&amp;"'!Y8")</f>
        <v/>
      </c>
      <c r="AC221" s="30">
        <f t="array" ref="AC221">INDIRECT("'"&amp;$A221&amp;"'!Z8")</f>
        <v/>
      </c>
      <c r="AD221" s="31">
        <f t="array" ref="AD221">INDIRECT("'"&amp;$A221&amp;"'!AA8")</f>
        <v/>
      </c>
      <c r="AE221" s="79">
        <f t="array" ref="AE221">INDIRECT("'"&amp;$A222&amp;"'!J2")</f>
        <v/>
      </c>
      <c r="AF221" s="53">
        <f t="array" ref="AF221">INDIRECT("'"&amp;$A222&amp;"'!AD1")</f>
        <v/>
      </c>
    </row>
    <row r="222">
      <c r="A222" s="58" t="n">
        <v>74</v>
      </c>
      <c r="B222" s="105" t="n"/>
      <c r="C222" s="67">
        <f t="array" ref="C222">CONCATENATE("粮 ",INDIRECT("'"&amp;$A222&amp;"'!D4"))</f>
        <v/>
      </c>
      <c r="D222" s="55" t="inlineStr">
        <is>
          <t>2队</t>
        </is>
      </c>
      <c r="E222" s="80">
        <f t="array" ref="E222">INDIRECT("'"&amp;$A222&amp;"'!I3")</f>
        <v/>
      </c>
      <c r="F222" s="52">
        <f t="array" ref="F222">INDIRECT("'"&amp;$A222&amp;"'!C11")</f>
        <v/>
      </c>
      <c r="G222" s="3">
        <f t="array" ref="G222">INDIRECT("'"&amp;$A222&amp;"'!D11")</f>
        <v/>
      </c>
      <c r="H222" s="3">
        <f t="array" ref="H222">INDIRECT("'"&amp;$A222&amp;"'!E11")</f>
        <v/>
      </c>
      <c r="I222" s="3">
        <f t="array" ref="I222">INDIRECT("'"&amp;$A222&amp;"'!F11")</f>
        <v/>
      </c>
      <c r="J222" s="3">
        <f t="array" ref="J222">INDIRECT("'"&amp;$A222&amp;"'!G11")</f>
        <v/>
      </c>
      <c r="K222" s="3">
        <f t="array" ref="K222">INDIRECT("'"&amp;$A222&amp;"'!H11")</f>
        <v/>
      </c>
      <c r="L222" s="3">
        <f t="array" ref="L222">INDIRECT("'"&amp;$A222&amp;"'!I11")</f>
        <v/>
      </c>
      <c r="M222" s="3">
        <f t="array" ref="M222">INDIRECT("'"&amp;$A222&amp;"'!J11")</f>
        <v/>
      </c>
      <c r="N222" s="3">
        <f t="array" ref="N222">INDIRECT("'"&amp;$A222&amp;"'!K11")</f>
        <v/>
      </c>
      <c r="O222" s="3">
        <f t="array" ref="O222">INDIRECT("'"&amp;$A222&amp;"'!L11")</f>
        <v/>
      </c>
      <c r="P222" s="3">
        <f t="array" ref="P222">INDIRECT("'"&amp;$A222&amp;"'!M11")</f>
        <v/>
      </c>
      <c r="Q222" s="3">
        <f t="array" ref="Q222">INDIRECT("'"&amp;$A222&amp;"'!N11")</f>
        <v/>
      </c>
      <c r="R222" s="3">
        <f t="array" ref="R222">INDIRECT("'"&amp;$A222&amp;"'!O11")</f>
        <v/>
      </c>
      <c r="S222" s="3">
        <f t="array" ref="S222">INDIRECT("'"&amp;$A222&amp;"'!P11")</f>
        <v/>
      </c>
      <c r="T222" s="3">
        <f t="array" ref="T222">INDIRECT("'"&amp;$A222&amp;"'!Q11")</f>
        <v/>
      </c>
      <c r="U222" s="3">
        <f t="array" ref="U222">INDIRECT("'"&amp;$A222&amp;"'!R11")</f>
        <v/>
      </c>
      <c r="V222" s="3">
        <f t="array" ref="V222">INDIRECT("'"&amp;$A222&amp;"'!S11")</f>
        <v/>
      </c>
      <c r="W222" s="3">
        <f t="array" ref="W222">INDIRECT("'"&amp;$A222&amp;"'!T11")</f>
        <v/>
      </c>
      <c r="X222" s="3">
        <f t="array" ref="X222">INDIRECT("'"&amp;$A222&amp;"'!U11")</f>
        <v/>
      </c>
      <c r="Y222" s="3">
        <f t="array" ref="Y222">INDIRECT("'"&amp;$A222&amp;"'!V11")</f>
        <v/>
      </c>
      <c r="Z222" s="3">
        <f t="array" ref="Z222">INDIRECT("'"&amp;$A222&amp;"'!W11")</f>
        <v/>
      </c>
      <c r="AA222" s="3">
        <f t="array" ref="AA222">INDIRECT("'"&amp;$A222&amp;"'!X11")</f>
        <v/>
      </c>
      <c r="AB222" s="3">
        <f t="array" ref="AB222">INDIRECT("'"&amp;$A222&amp;"'!Y11")</f>
        <v/>
      </c>
      <c r="AC222" s="3">
        <f t="array" ref="AC222">INDIRECT("'"&amp;$A222&amp;"'!Z11")</f>
        <v/>
      </c>
      <c r="AD222" s="32">
        <f t="array" ref="AD222">INDIRECT("'"&amp;$A222&amp;"'!AA11")</f>
        <v/>
      </c>
      <c r="AE222" s="80">
        <f t="array" ref="AE222">INDIRECT("'"&amp;$A222&amp;"'!J3")</f>
        <v/>
      </c>
      <c r="AF222" s="53">
        <f t="array" ref="AF222">INDIRECT("'"&amp;$A222&amp;"'!AC1")</f>
        <v/>
      </c>
    </row>
    <row r="223" ht="15.75" customHeight="1" thickBot="1">
      <c r="A223" s="58" t="n">
        <v>74</v>
      </c>
      <c r="B223" s="106" t="n"/>
      <c r="C223" s="77">
        <f t="array" ref="C223">CONCATENATE("分 ",INDIRECT("'"&amp;$A222&amp;"'!D6"))</f>
        <v/>
      </c>
      <c r="D223" s="56" t="inlineStr">
        <is>
          <t>3队</t>
        </is>
      </c>
      <c r="E223" s="81">
        <f t="array" ref="E223">INDIRECT("'"&amp;$A222&amp;"'!I4")</f>
        <v/>
      </c>
      <c r="F223" s="52">
        <f t="array" ref="F223">INDIRECT("'"&amp;$A223&amp;"'!C14")</f>
        <v/>
      </c>
      <c r="G223" s="3">
        <f t="array" ref="G223">INDIRECT("'"&amp;$A223&amp;"'!D14")</f>
        <v/>
      </c>
      <c r="H223" s="3">
        <f t="array" ref="H223">INDIRECT("'"&amp;$A223&amp;"'!E14")</f>
        <v/>
      </c>
      <c r="I223" s="3">
        <f t="array" ref="I223">INDIRECT("'"&amp;$A223&amp;"'!F14")</f>
        <v/>
      </c>
      <c r="J223" s="3">
        <f t="array" ref="J223">INDIRECT("'"&amp;$A223&amp;"'!G14")</f>
        <v/>
      </c>
      <c r="K223" s="3">
        <f t="array" ref="K223">INDIRECT("'"&amp;$A223&amp;"'!H14")</f>
        <v/>
      </c>
      <c r="L223" s="3">
        <f t="array" ref="L223">INDIRECT("'"&amp;$A223&amp;"'!I14")</f>
        <v/>
      </c>
      <c r="M223" s="3">
        <f t="array" ref="M223">INDIRECT("'"&amp;$A223&amp;"'!J14")</f>
        <v/>
      </c>
      <c r="N223" s="3">
        <f t="array" ref="N223">INDIRECT("'"&amp;$A223&amp;"'!K14")</f>
        <v/>
      </c>
      <c r="O223" s="3">
        <f t="array" ref="O223">INDIRECT("'"&amp;$A223&amp;"'!L14")</f>
        <v/>
      </c>
      <c r="P223" s="3">
        <f t="array" ref="P223">INDIRECT("'"&amp;$A223&amp;"'!M14")</f>
        <v/>
      </c>
      <c r="Q223" s="3">
        <f t="array" ref="Q223">INDIRECT("'"&amp;$A223&amp;"'!N14")</f>
        <v/>
      </c>
      <c r="R223" s="3">
        <f t="array" ref="R223">INDIRECT("'"&amp;$A223&amp;"'!O14")</f>
        <v/>
      </c>
      <c r="S223" s="3">
        <f t="array" ref="S223">INDIRECT("'"&amp;$A223&amp;"'!P14")</f>
        <v/>
      </c>
      <c r="T223" s="3">
        <f t="array" ref="T223">INDIRECT("'"&amp;$A223&amp;"'!Q14")</f>
        <v/>
      </c>
      <c r="U223" s="3">
        <f t="array" ref="U223">INDIRECT("'"&amp;$A223&amp;"'!R14")</f>
        <v/>
      </c>
      <c r="V223" s="3">
        <f t="array" ref="V223">INDIRECT("'"&amp;$A223&amp;"'!S14")</f>
        <v/>
      </c>
      <c r="W223" s="3">
        <f t="array" ref="W223">INDIRECT("'"&amp;$A223&amp;"'!T14")</f>
        <v/>
      </c>
      <c r="X223" s="3">
        <f t="array" ref="X223">INDIRECT("'"&amp;$A223&amp;"'!U14")</f>
        <v/>
      </c>
      <c r="Y223" s="3">
        <f t="array" ref="Y223">INDIRECT("'"&amp;$A223&amp;"'!V14")</f>
        <v/>
      </c>
      <c r="Z223" s="3">
        <f t="array" ref="Z223">INDIRECT("'"&amp;$A223&amp;"'!W14")</f>
        <v/>
      </c>
      <c r="AA223" s="3">
        <f t="array" ref="AA223">INDIRECT("'"&amp;$A223&amp;"'!X14")</f>
        <v/>
      </c>
      <c r="AB223" s="3">
        <f t="array" ref="AB223">INDIRECT("'"&amp;$A223&amp;"'!Y14")</f>
        <v/>
      </c>
      <c r="AC223" s="3">
        <f t="array" ref="AC223">INDIRECT("'"&amp;$A223&amp;"'!Z14")</f>
        <v/>
      </c>
      <c r="AD223" s="32">
        <f t="array" ref="AD223">INDIRECT("'"&amp;$A223&amp;"'!AA14")</f>
        <v/>
      </c>
      <c r="AE223" s="81">
        <f t="array" ref="AE223">INDIRECT("'"&amp;$A222&amp;"'!J4")</f>
        <v/>
      </c>
      <c r="AF223" s="53" t="n"/>
    </row>
    <row r="224">
      <c r="A224" s="58" t="n">
        <v>75</v>
      </c>
      <c r="B224" s="103">
        <f>INDEX(data!$I$2:$I$98,MATCH(A224*1,data!$G$2:$G$98,0))</f>
        <v/>
      </c>
      <c r="C224" s="66">
        <f>HYPERLINK("#'" &amp; A224 &amp; "'!A1", "编辑")</f>
        <v/>
      </c>
      <c r="D224" s="54" t="inlineStr">
        <is>
          <t>1队</t>
        </is>
      </c>
      <c r="E224" s="79">
        <f t="array" ref="E224">INDIRECT("'"&amp;$A225&amp;"'!I2")</f>
        <v/>
      </c>
      <c r="F224" s="29">
        <f t="array" ref="F224">INDIRECT("'"&amp;$A224&amp;"'!C8")</f>
        <v/>
      </c>
      <c r="G224" s="30">
        <f t="array" ref="G224">INDIRECT("'"&amp;$A224&amp;"'!D8")</f>
        <v/>
      </c>
      <c r="H224" s="30">
        <f t="array" ref="H224">INDIRECT("'"&amp;$A224&amp;"'!E8")</f>
        <v/>
      </c>
      <c r="I224" s="30">
        <f t="array" ref="I224">INDIRECT("'"&amp;$A224&amp;"'!F8")</f>
        <v/>
      </c>
      <c r="J224" s="30">
        <f t="array" ref="J224">INDIRECT("'"&amp;$A224&amp;"'!G8")</f>
        <v/>
      </c>
      <c r="K224" s="30">
        <f t="array" ref="K224">INDIRECT("'"&amp;$A224&amp;"'!H8")</f>
        <v/>
      </c>
      <c r="L224" s="30">
        <f t="array" ref="L224">INDIRECT("'"&amp;$A224&amp;"'!I8")</f>
        <v/>
      </c>
      <c r="M224" s="30">
        <f t="array" ref="M224">INDIRECT("'"&amp;$A224&amp;"'!J8")</f>
        <v/>
      </c>
      <c r="N224" s="30">
        <f t="array" ref="N224">INDIRECT("'"&amp;$A224&amp;"'!K8")</f>
        <v/>
      </c>
      <c r="O224" s="30">
        <f t="array" ref="O224">INDIRECT("'"&amp;$A224&amp;"'!L8")</f>
        <v/>
      </c>
      <c r="P224" s="30">
        <f t="array" ref="P224">INDIRECT("'"&amp;$A224&amp;"'!M8")</f>
        <v/>
      </c>
      <c r="Q224" s="30">
        <f t="array" ref="Q224">INDIRECT("'"&amp;$A224&amp;"'!N8")</f>
        <v/>
      </c>
      <c r="R224" s="30">
        <f t="array" ref="R224">INDIRECT("'"&amp;$A224&amp;"'!O8")</f>
        <v/>
      </c>
      <c r="S224" s="30">
        <f t="array" ref="S224">INDIRECT("'"&amp;$A224&amp;"'!P8")</f>
        <v/>
      </c>
      <c r="T224" s="30">
        <f t="array" ref="T224">INDIRECT("'"&amp;$A224&amp;"'!Q8")</f>
        <v/>
      </c>
      <c r="U224" s="30">
        <f t="array" ref="U224">INDIRECT("'"&amp;$A224&amp;"'!R8")</f>
        <v/>
      </c>
      <c r="V224" s="30">
        <f t="array" ref="V224">INDIRECT("'"&amp;$A224&amp;"'!S8")</f>
        <v/>
      </c>
      <c r="W224" s="30">
        <f t="array" ref="W224">INDIRECT("'"&amp;$A224&amp;"'!T8")</f>
        <v/>
      </c>
      <c r="X224" s="30">
        <f t="array" ref="X224">INDIRECT("'"&amp;$A224&amp;"'!U8")</f>
        <v/>
      </c>
      <c r="Y224" s="30">
        <f t="array" ref="Y224">INDIRECT("'"&amp;$A224&amp;"'!V8")</f>
        <v/>
      </c>
      <c r="Z224" s="30">
        <f t="array" ref="Z224">INDIRECT("'"&amp;$A224&amp;"'!W8")</f>
        <v/>
      </c>
      <c r="AA224" s="30">
        <f t="array" ref="AA224">INDIRECT("'"&amp;$A224&amp;"'!X8")</f>
        <v/>
      </c>
      <c r="AB224" s="30">
        <f t="array" ref="AB224">INDIRECT("'"&amp;$A224&amp;"'!Y8")</f>
        <v/>
      </c>
      <c r="AC224" s="30">
        <f t="array" ref="AC224">INDIRECT("'"&amp;$A224&amp;"'!Z8")</f>
        <v/>
      </c>
      <c r="AD224" s="31">
        <f t="array" ref="AD224">INDIRECT("'"&amp;$A224&amp;"'!AA8")</f>
        <v/>
      </c>
      <c r="AE224" s="79">
        <f t="array" ref="AE224">INDIRECT("'"&amp;$A225&amp;"'!J2")</f>
        <v/>
      </c>
      <c r="AF224" s="53">
        <f t="array" ref="AF224">INDIRECT("'"&amp;$A225&amp;"'!AD1")</f>
        <v/>
      </c>
    </row>
    <row r="225">
      <c r="A225" s="58" t="n">
        <v>75</v>
      </c>
      <c r="B225" s="105" t="n"/>
      <c r="C225" s="67">
        <f t="array" ref="C225">CONCATENATE("粮 ",INDIRECT("'"&amp;$A225&amp;"'!D4"))</f>
        <v/>
      </c>
      <c r="D225" s="55" t="inlineStr">
        <is>
          <t>2队</t>
        </is>
      </c>
      <c r="E225" s="80">
        <f t="array" ref="E225">INDIRECT("'"&amp;$A225&amp;"'!I3")</f>
        <v/>
      </c>
      <c r="F225" s="52">
        <f t="array" ref="F225">INDIRECT("'"&amp;$A225&amp;"'!C11")</f>
        <v/>
      </c>
      <c r="G225" s="3">
        <f t="array" ref="G225">INDIRECT("'"&amp;$A225&amp;"'!D11")</f>
        <v/>
      </c>
      <c r="H225" s="3">
        <f t="array" ref="H225">INDIRECT("'"&amp;$A225&amp;"'!E11")</f>
        <v/>
      </c>
      <c r="I225" s="3">
        <f t="array" ref="I225">INDIRECT("'"&amp;$A225&amp;"'!F11")</f>
        <v/>
      </c>
      <c r="J225" s="3">
        <f t="array" ref="J225">INDIRECT("'"&amp;$A225&amp;"'!G11")</f>
        <v/>
      </c>
      <c r="K225" s="3">
        <f t="array" ref="K225">INDIRECT("'"&amp;$A225&amp;"'!H11")</f>
        <v/>
      </c>
      <c r="L225" s="3">
        <f t="array" ref="L225">INDIRECT("'"&amp;$A225&amp;"'!I11")</f>
        <v/>
      </c>
      <c r="M225" s="3">
        <f t="array" ref="M225">INDIRECT("'"&amp;$A225&amp;"'!J11")</f>
        <v/>
      </c>
      <c r="N225" s="3">
        <f t="array" ref="N225">INDIRECT("'"&amp;$A225&amp;"'!K11")</f>
        <v/>
      </c>
      <c r="O225" s="3">
        <f t="array" ref="O225">INDIRECT("'"&amp;$A225&amp;"'!L11")</f>
        <v/>
      </c>
      <c r="P225" s="3">
        <f t="array" ref="P225">INDIRECT("'"&amp;$A225&amp;"'!M11")</f>
        <v/>
      </c>
      <c r="Q225" s="3">
        <f t="array" ref="Q225">INDIRECT("'"&amp;$A225&amp;"'!N11")</f>
        <v/>
      </c>
      <c r="R225" s="3">
        <f t="array" ref="R225">INDIRECT("'"&amp;$A225&amp;"'!O11")</f>
        <v/>
      </c>
      <c r="S225" s="3">
        <f t="array" ref="S225">INDIRECT("'"&amp;$A225&amp;"'!P11")</f>
        <v/>
      </c>
      <c r="T225" s="3">
        <f t="array" ref="T225">INDIRECT("'"&amp;$A225&amp;"'!Q11")</f>
        <v/>
      </c>
      <c r="U225" s="3">
        <f t="array" ref="U225">INDIRECT("'"&amp;$A225&amp;"'!R11")</f>
        <v/>
      </c>
      <c r="V225" s="3">
        <f t="array" ref="V225">INDIRECT("'"&amp;$A225&amp;"'!S11")</f>
        <v/>
      </c>
      <c r="W225" s="3">
        <f t="array" ref="W225">INDIRECT("'"&amp;$A225&amp;"'!T11")</f>
        <v/>
      </c>
      <c r="X225" s="3">
        <f t="array" ref="X225">INDIRECT("'"&amp;$A225&amp;"'!U11")</f>
        <v/>
      </c>
      <c r="Y225" s="3">
        <f t="array" ref="Y225">INDIRECT("'"&amp;$A225&amp;"'!V11")</f>
        <v/>
      </c>
      <c r="Z225" s="3">
        <f t="array" ref="Z225">INDIRECT("'"&amp;$A225&amp;"'!W11")</f>
        <v/>
      </c>
      <c r="AA225" s="3">
        <f t="array" ref="AA225">INDIRECT("'"&amp;$A225&amp;"'!X11")</f>
        <v/>
      </c>
      <c r="AB225" s="3">
        <f t="array" ref="AB225">INDIRECT("'"&amp;$A225&amp;"'!Y11")</f>
        <v/>
      </c>
      <c r="AC225" s="3">
        <f t="array" ref="AC225">INDIRECT("'"&amp;$A225&amp;"'!Z11")</f>
        <v/>
      </c>
      <c r="AD225" s="32">
        <f t="array" ref="AD225">INDIRECT("'"&amp;$A225&amp;"'!AA11")</f>
        <v/>
      </c>
      <c r="AE225" s="80">
        <f t="array" ref="AE225">INDIRECT("'"&amp;$A225&amp;"'!J3")</f>
        <v/>
      </c>
      <c r="AF225" s="53">
        <f t="array" ref="AF225">INDIRECT("'"&amp;$A225&amp;"'!AC1")</f>
        <v/>
      </c>
    </row>
    <row r="226" ht="15.75" customHeight="1" thickBot="1">
      <c r="A226" s="58" t="n">
        <v>75</v>
      </c>
      <c r="B226" s="106" t="n"/>
      <c r="C226" s="77">
        <f t="array" ref="C226">CONCATENATE("分 ",INDIRECT("'"&amp;$A225&amp;"'!D6"))</f>
        <v/>
      </c>
      <c r="D226" s="56" t="inlineStr">
        <is>
          <t>3队</t>
        </is>
      </c>
      <c r="E226" s="81">
        <f t="array" ref="E226">INDIRECT("'"&amp;$A225&amp;"'!I4")</f>
        <v/>
      </c>
      <c r="F226" s="52">
        <f t="array" ref="F226">INDIRECT("'"&amp;$A226&amp;"'!C14")</f>
        <v/>
      </c>
      <c r="G226" s="3">
        <f t="array" ref="G226">INDIRECT("'"&amp;$A226&amp;"'!D14")</f>
        <v/>
      </c>
      <c r="H226" s="3">
        <f t="array" ref="H226">INDIRECT("'"&amp;$A226&amp;"'!E14")</f>
        <v/>
      </c>
      <c r="I226" s="3">
        <f t="array" ref="I226">INDIRECT("'"&amp;$A226&amp;"'!F14")</f>
        <v/>
      </c>
      <c r="J226" s="3">
        <f t="array" ref="J226">INDIRECT("'"&amp;$A226&amp;"'!G14")</f>
        <v/>
      </c>
      <c r="K226" s="3">
        <f t="array" ref="K226">INDIRECT("'"&amp;$A226&amp;"'!H14")</f>
        <v/>
      </c>
      <c r="L226" s="3">
        <f t="array" ref="L226">INDIRECT("'"&amp;$A226&amp;"'!I14")</f>
        <v/>
      </c>
      <c r="M226" s="3">
        <f t="array" ref="M226">INDIRECT("'"&amp;$A226&amp;"'!J14")</f>
        <v/>
      </c>
      <c r="N226" s="3">
        <f t="array" ref="N226">INDIRECT("'"&amp;$A226&amp;"'!K14")</f>
        <v/>
      </c>
      <c r="O226" s="3">
        <f t="array" ref="O226">INDIRECT("'"&amp;$A226&amp;"'!L14")</f>
        <v/>
      </c>
      <c r="P226" s="3">
        <f t="array" ref="P226">INDIRECT("'"&amp;$A226&amp;"'!M14")</f>
        <v/>
      </c>
      <c r="Q226" s="3">
        <f t="array" ref="Q226">INDIRECT("'"&amp;$A226&amp;"'!N14")</f>
        <v/>
      </c>
      <c r="R226" s="3">
        <f t="array" ref="R226">INDIRECT("'"&amp;$A226&amp;"'!O14")</f>
        <v/>
      </c>
      <c r="S226" s="3">
        <f t="array" ref="S226">INDIRECT("'"&amp;$A226&amp;"'!P14")</f>
        <v/>
      </c>
      <c r="T226" s="3">
        <f t="array" ref="T226">INDIRECT("'"&amp;$A226&amp;"'!Q14")</f>
        <v/>
      </c>
      <c r="U226" s="3">
        <f t="array" ref="U226">INDIRECT("'"&amp;$A226&amp;"'!R14")</f>
        <v/>
      </c>
      <c r="V226" s="3">
        <f t="array" ref="V226">INDIRECT("'"&amp;$A226&amp;"'!S14")</f>
        <v/>
      </c>
      <c r="W226" s="3">
        <f t="array" ref="W226">INDIRECT("'"&amp;$A226&amp;"'!T14")</f>
        <v/>
      </c>
      <c r="X226" s="3">
        <f t="array" ref="X226">INDIRECT("'"&amp;$A226&amp;"'!U14")</f>
        <v/>
      </c>
      <c r="Y226" s="3">
        <f t="array" ref="Y226">INDIRECT("'"&amp;$A226&amp;"'!V14")</f>
        <v/>
      </c>
      <c r="Z226" s="3">
        <f t="array" ref="Z226">INDIRECT("'"&amp;$A226&amp;"'!W14")</f>
        <v/>
      </c>
      <c r="AA226" s="3">
        <f t="array" ref="AA226">INDIRECT("'"&amp;$A226&amp;"'!X14")</f>
        <v/>
      </c>
      <c r="AB226" s="3">
        <f t="array" ref="AB226">INDIRECT("'"&amp;$A226&amp;"'!Y14")</f>
        <v/>
      </c>
      <c r="AC226" s="3">
        <f t="array" ref="AC226">INDIRECT("'"&amp;$A226&amp;"'!Z14")</f>
        <v/>
      </c>
      <c r="AD226" s="32">
        <f t="array" ref="AD226">INDIRECT("'"&amp;$A226&amp;"'!AA14")</f>
        <v/>
      </c>
      <c r="AE226" s="81">
        <f t="array" ref="AE226">INDIRECT("'"&amp;$A225&amp;"'!J4")</f>
        <v/>
      </c>
      <c r="AF226" s="53" t="n"/>
    </row>
    <row r="227">
      <c r="A227" s="58" t="n">
        <v>76</v>
      </c>
      <c r="B227" s="103">
        <f>INDEX(data!$I$2:$I$98,MATCH(A227*1,data!$G$2:$G$98,0))</f>
        <v/>
      </c>
      <c r="C227" s="66">
        <f>HYPERLINK("#'" &amp; A227 &amp; "'!A1", "编辑")</f>
        <v/>
      </c>
      <c r="D227" s="54" t="inlineStr">
        <is>
          <t>1队</t>
        </is>
      </c>
      <c r="E227" s="79">
        <f t="array" ref="E227">INDIRECT("'"&amp;$A228&amp;"'!I2")</f>
        <v/>
      </c>
      <c r="F227" s="29">
        <f t="array" ref="F227">INDIRECT("'"&amp;$A227&amp;"'!C8")</f>
        <v/>
      </c>
      <c r="G227" s="30">
        <f t="array" ref="G227">INDIRECT("'"&amp;$A227&amp;"'!D8")</f>
        <v/>
      </c>
      <c r="H227" s="30">
        <f t="array" ref="H227">INDIRECT("'"&amp;$A227&amp;"'!E8")</f>
        <v/>
      </c>
      <c r="I227" s="30">
        <f t="array" ref="I227">INDIRECT("'"&amp;$A227&amp;"'!F8")</f>
        <v/>
      </c>
      <c r="J227" s="30">
        <f t="array" ref="J227">INDIRECT("'"&amp;$A227&amp;"'!G8")</f>
        <v/>
      </c>
      <c r="K227" s="30">
        <f t="array" ref="K227">INDIRECT("'"&amp;$A227&amp;"'!H8")</f>
        <v/>
      </c>
      <c r="L227" s="30">
        <f t="array" ref="L227">INDIRECT("'"&amp;$A227&amp;"'!I8")</f>
        <v/>
      </c>
      <c r="M227" s="30">
        <f t="array" ref="M227">INDIRECT("'"&amp;$A227&amp;"'!J8")</f>
        <v/>
      </c>
      <c r="N227" s="30">
        <f t="array" ref="N227">INDIRECT("'"&amp;$A227&amp;"'!K8")</f>
        <v/>
      </c>
      <c r="O227" s="30">
        <f t="array" ref="O227">INDIRECT("'"&amp;$A227&amp;"'!L8")</f>
        <v/>
      </c>
      <c r="P227" s="30">
        <f t="array" ref="P227">INDIRECT("'"&amp;$A227&amp;"'!M8")</f>
        <v/>
      </c>
      <c r="Q227" s="30">
        <f t="array" ref="Q227">INDIRECT("'"&amp;$A227&amp;"'!N8")</f>
        <v/>
      </c>
      <c r="R227" s="30">
        <f t="array" ref="R227">INDIRECT("'"&amp;$A227&amp;"'!O8")</f>
        <v/>
      </c>
      <c r="S227" s="30">
        <f t="array" ref="S227">INDIRECT("'"&amp;$A227&amp;"'!P8")</f>
        <v/>
      </c>
      <c r="T227" s="30">
        <f t="array" ref="T227">INDIRECT("'"&amp;$A227&amp;"'!Q8")</f>
        <v/>
      </c>
      <c r="U227" s="30">
        <f t="array" ref="U227">INDIRECT("'"&amp;$A227&amp;"'!R8")</f>
        <v/>
      </c>
      <c r="V227" s="30">
        <f t="array" ref="V227">INDIRECT("'"&amp;$A227&amp;"'!S8")</f>
        <v/>
      </c>
      <c r="W227" s="30">
        <f t="array" ref="W227">INDIRECT("'"&amp;$A227&amp;"'!T8")</f>
        <v/>
      </c>
      <c r="X227" s="30">
        <f t="array" ref="X227">INDIRECT("'"&amp;$A227&amp;"'!U8")</f>
        <v/>
      </c>
      <c r="Y227" s="30">
        <f t="array" ref="Y227">INDIRECT("'"&amp;$A227&amp;"'!V8")</f>
        <v/>
      </c>
      <c r="Z227" s="30">
        <f t="array" ref="Z227">INDIRECT("'"&amp;$A227&amp;"'!W8")</f>
        <v/>
      </c>
      <c r="AA227" s="30">
        <f t="array" ref="AA227">INDIRECT("'"&amp;$A227&amp;"'!X8")</f>
        <v/>
      </c>
      <c r="AB227" s="30">
        <f t="array" ref="AB227">INDIRECT("'"&amp;$A227&amp;"'!Y8")</f>
        <v/>
      </c>
      <c r="AC227" s="30">
        <f t="array" ref="AC227">INDIRECT("'"&amp;$A227&amp;"'!Z8")</f>
        <v/>
      </c>
      <c r="AD227" s="31">
        <f t="array" ref="AD227">INDIRECT("'"&amp;$A227&amp;"'!AA8")</f>
        <v/>
      </c>
      <c r="AE227" s="79">
        <f t="array" ref="AE227">INDIRECT("'"&amp;$A228&amp;"'!J2")</f>
        <v/>
      </c>
      <c r="AF227" s="53">
        <f t="array" ref="AF227">INDIRECT("'"&amp;$A228&amp;"'!AD1")</f>
        <v/>
      </c>
    </row>
    <row r="228">
      <c r="A228" s="58" t="n">
        <v>76</v>
      </c>
      <c r="B228" s="105" t="n"/>
      <c r="C228" s="67">
        <f t="array" ref="C228">CONCATENATE("粮 ",INDIRECT("'"&amp;$A228&amp;"'!D4"))</f>
        <v/>
      </c>
      <c r="D228" s="55" t="inlineStr">
        <is>
          <t>2队</t>
        </is>
      </c>
      <c r="E228" s="80">
        <f t="array" ref="E228">INDIRECT("'"&amp;$A228&amp;"'!I3")</f>
        <v/>
      </c>
      <c r="F228" s="52">
        <f t="array" ref="F228">INDIRECT("'"&amp;$A228&amp;"'!C11")</f>
        <v/>
      </c>
      <c r="G228" s="3">
        <f t="array" ref="G228">INDIRECT("'"&amp;$A228&amp;"'!D11")</f>
        <v/>
      </c>
      <c r="H228" s="3">
        <f t="array" ref="H228">INDIRECT("'"&amp;$A228&amp;"'!E11")</f>
        <v/>
      </c>
      <c r="I228" s="3">
        <f t="array" ref="I228">INDIRECT("'"&amp;$A228&amp;"'!F11")</f>
        <v/>
      </c>
      <c r="J228" s="3">
        <f t="array" ref="J228">INDIRECT("'"&amp;$A228&amp;"'!G11")</f>
        <v/>
      </c>
      <c r="K228" s="3">
        <f t="array" ref="K228">INDIRECT("'"&amp;$A228&amp;"'!H11")</f>
        <v/>
      </c>
      <c r="L228" s="3">
        <f t="array" ref="L228">INDIRECT("'"&amp;$A228&amp;"'!I11")</f>
        <v/>
      </c>
      <c r="M228" s="3">
        <f t="array" ref="M228">INDIRECT("'"&amp;$A228&amp;"'!J11")</f>
        <v/>
      </c>
      <c r="N228" s="3">
        <f t="array" ref="N228">INDIRECT("'"&amp;$A228&amp;"'!K11")</f>
        <v/>
      </c>
      <c r="O228" s="3">
        <f t="array" ref="O228">INDIRECT("'"&amp;$A228&amp;"'!L11")</f>
        <v/>
      </c>
      <c r="P228" s="3">
        <f t="array" ref="P228">INDIRECT("'"&amp;$A228&amp;"'!M11")</f>
        <v/>
      </c>
      <c r="Q228" s="3">
        <f t="array" ref="Q228">INDIRECT("'"&amp;$A228&amp;"'!N11")</f>
        <v/>
      </c>
      <c r="R228" s="3">
        <f t="array" ref="R228">INDIRECT("'"&amp;$A228&amp;"'!O11")</f>
        <v/>
      </c>
      <c r="S228" s="3">
        <f t="array" ref="S228">INDIRECT("'"&amp;$A228&amp;"'!P11")</f>
        <v/>
      </c>
      <c r="T228" s="3">
        <f t="array" ref="T228">INDIRECT("'"&amp;$A228&amp;"'!Q11")</f>
        <v/>
      </c>
      <c r="U228" s="3">
        <f t="array" ref="U228">INDIRECT("'"&amp;$A228&amp;"'!R11")</f>
        <v/>
      </c>
      <c r="V228" s="3">
        <f t="array" ref="V228">INDIRECT("'"&amp;$A228&amp;"'!S11")</f>
        <v/>
      </c>
      <c r="W228" s="3">
        <f t="array" ref="W228">INDIRECT("'"&amp;$A228&amp;"'!T11")</f>
        <v/>
      </c>
      <c r="X228" s="3">
        <f t="array" ref="X228">INDIRECT("'"&amp;$A228&amp;"'!U11")</f>
        <v/>
      </c>
      <c r="Y228" s="3">
        <f t="array" ref="Y228">INDIRECT("'"&amp;$A228&amp;"'!V11")</f>
        <v/>
      </c>
      <c r="Z228" s="3">
        <f t="array" ref="Z228">INDIRECT("'"&amp;$A228&amp;"'!W11")</f>
        <v/>
      </c>
      <c r="AA228" s="3">
        <f t="array" ref="AA228">INDIRECT("'"&amp;$A228&amp;"'!X11")</f>
        <v/>
      </c>
      <c r="AB228" s="3">
        <f t="array" ref="AB228">INDIRECT("'"&amp;$A228&amp;"'!Y11")</f>
        <v/>
      </c>
      <c r="AC228" s="3">
        <f t="array" ref="AC228">INDIRECT("'"&amp;$A228&amp;"'!Z11")</f>
        <v/>
      </c>
      <c r="AD228" s="32">
        <f t="array" ref="AD228">INDIRECT("'"&amp;$A228&amp;"'!AA11")</f>
        <v/>
      </c>
      <c r="AE228" s="80">
        <f t="array" ref="AE228">INDIRECT("'"&amp;$A228&amp;"'!J3")</f>
        <v/>
      </c>
      <c r="AF228" s="53">
        <f t="array" ref="AF228">INDIRECT("'"&amp;$A228&amp;"'!AC1")</f>
        <v/>
      </c>
    </row>
    <row r="229" ht="15.75" customHeight="1" thickBot="1">
      <c r="A229" s="58" t="n">
        <v>76</v>
      </c>
      <c r="B229" s="106" t="n"/>
      <c r="C229" s="77">
        <f t="array" ref="C229">CONCATENATE("分 ",INDIRECT("'"&amp;$A228&amp;"'!D6"))</f>
        <v/>
      </c>
      <c r="D229" s="56" t="inlineStr">
        <is>
          <t>3队</t>
        </is>
      </c>
      <c r="E229" s="81">
        <f t="array" ref="E229">INDIRECT("'"&amp;$A228&amp;"'!I4")</f>
        <v/>
      </c>
      <c r="F229" s="52">
        <f t="array" ref="F229">INDIRECT("'"&amp;$A229&amp;"'!C14")</f>
        <v/>
      </c>
      <c r="G229" s="3">
        <f t="array" ref="G229">INDIRECT("'"&amp;$A229&amp;"'!D14")</f>
        <v/>
      </c>
      <c r="H229" s="3">
        <f t="array" ref="H229">INDIRECT("'"&amp;$A229&amp;"'!E14")</f>
        <v/>
      </c>
      <c r="I229" s="3">
        <f t="array" ref="I229">INDIRECT("'"&amp;$A229&amp;"'!F14")</f>
        <v/>
      </c>
      <c r="J229" s="3">
        <f t="array" ref="J229">INDIRECT("'"&amp;$A229&amp;"'!G14")</f>
        <v/>
      </c>
      <c r="K229" s="3">
        <f t="array" ref="K229">INDIRECT("'"&amp;$A229&amp;"'!H14")</f>
        <v/>
      </c>
      <c r="L229" s="3">
        <f t="array" ref="L229">INDIRECT("'"&amp;$A229&amp;"'!I14")</f>
        <v/>
      </c>
      <c r="M229" s="3">
        <f t="array" ref="M229">INDIRECT("'"&amp;$A229&amp;"'!J14")</f>
        <v/>
      </c>
      <c r="N229" s="3">
        <f t="array" ref="N229">INDIRECT("'"&amp;$A229&amp;"'!K14")</f>
        <v/>
      </c>
      <c r="O229" s="3">
        <f t="array" ref="O229">INDIRECT("'"&amp;$A229&amp;"'!L14")</f>
        <v/>
      </c>
      <c r="P229" s="3">
        <f t="array" ref="P229">INDIRECT("'"&amp;$A229&amp;"'!M14")</f>
        <v/>
      </c>
      <c r="Q229" s="3">
        <f t="array" ref="Q229">INDIRECT("'"&amp;$A229&amp;"'!N14")</f>
        <v/>
      </c>
      <c r="R229" s="3">
        <f t="array" ref="R229">INDIRECT("'"&amp;$A229&amp;"'!O14")</f>
        <v/>
      </c>
      <c r="S229" s="3">
        <f t="array" ref="S229">INDIRECT("'"&amp;$A229&amp;"'!P14")</f>
        <v/>
      </c>
      <c r="T229" s="3">
        <f t="array" ref="T229">INDIRECT("'"&amp;$A229&amp;"'!Q14")</f>
        <v/>
      </c>
      <c r="U229" s="3">
        <f t="array" ref="U229">INDIRECT("'"&amp;$A229&amp;"'!R14")</f>
        <v/>
      </c>
      <c r="V229" s="3">
        <f t="array" ref="V229">INDIRECT("'"&amp;$A229&amp;"'!S14")</f>
        <v/>
      </c>
      <c r="W229" s="3">
        <f t="array" ref="W229">INDIRECT("'"&amp;$A229&amp;"'!T14")</f>
        <v/>
      </c>
      <c r="X229" s="3">
        <f t="array" ref="X229">INDIRECT("'"&amp;$A229&amp;"'!U14")</f>
        <v/>
      </c>
      <c r="Y229" s="3">
        <f t="array" ref="Y229">INDIRECT("'"&amp;$A229&amp;"'!V14")</f>
        <v/>
      </c>
      <c r="Z229" s="3">
        <f t="array" ref="Z229">INDIRECT("'"&amp;$A229&amp;"'!W14")</f>
        <v/>
      </c>
      <c r="AA229" s="3">
        <f t="array" ref="AA229">INDIRECT("'"&amp;$A229&amp;"'!X14")</f>
        <v/>
      </c>
      <c r="AB229" s="3">
        <f t="array" ref="AB229">INDIRECT("'"&amp;$A229&amp;"'!Y14")</f>
        <v/>
      </c>
      <c r="AC229" s="3">
        <f t="array" ref="AC229">INDIRECT("'"&amp;$A229&amp;"'!Z14")</f>
        <v/>
      </c>
      <c r="AD229" s="32">
        <f t="array" ref="AD229">INDIRECT("'"&amp;$A229&amp;"'!AA14")</f>
        <v/>
      </c>
      <c r="AE229" s="81">
        <f t="array" ref="AE229">INDIRECT("'"&amp;$A228&amp;"'!J4")</f>
        <v/>
      </c>
      <c r="AF229" s="53" t="n"/>
    </row>
    <row r="230">
      <c r="A230" s="58" t="n">
        <v>77</v>
      </c>
      <c r="B230" s="103">
        <f>INDEX(data!$I$2:$I$98,MATCH(A230*1,data!$G$2:$G$98,0))</f>
        <v/>
      </c>
      <c r="C230" s="66">
        <f>HYPERLINK("#'" &amp; A230 &amp; "'!A1", "编辑")</f>
        <v/>
      </c>
      <c r="D230" s="54" t="inlineStr">
        <is>
          <t>1队</t>
        </is>
      </c>
      <c r="E230" s="79">
        <f t="array" ref="E230">INDIRECT("'"&amp;$A231&amp;"'!I2")</f>
        <v/>
      </c>
      <c r="F230" s="29">
        <f t="array" ref="F230">INDIRECT("'"&amp;$A230&amp;"'!C8")</f>
        <v/>
      </c>
      <c r="G230" s="30">
        <f t="array" ref="G230">INDIRECT("'"&amp;$A230&amp;"'!D8")</f>
        <v/>
      </c>
      <c r="H230" s="30">
        <f t="array" ref="H230">INDIRECT("'"&amp;$A230&amp;"'!E8")</f>
        <v/>
      </c>
      <c r="I230" s="30">
        <f t="array" ref="I230">INDIRECT("'"&amp;$A230&amp;"'!F8")</f>
        <v/>
      </c>
      <c r="J230" s="30">
        <f t="array" ref="J230">INDIRECT("'"&amp;$A230&amp;"'!G8")</f>
        <v/>
      </c>
      <c r="K230" s="30">
        <f t="array" ref="K230">INDIRECT("'"&amp;$A230&amp;"'!H8")</f>
        <v/>
      </c>
      <c r="L230" s="30">
        <f t="array" ref="L230">INDIRECT("'"&amp;$A230&amp;"'!I8")</f>
        <v/>
      </c>
      <c r="M230" s="30">
        <f t="array" ref="M230">INDIRECT("'"&amp;$A230&amp;"'!J8")</f>
        <v/>
      </c>
      <c r="N230" s="30">
        <f t="array" ref="N230">INDIRECT("'"&amp;$A230&amp;"'!K8")</f>
        <v/>
      </c>
      <c r="O230" s="30">
        <f t="array" ref="O230">INDIRECT("'"&amp;$A230&amp;"'!L8")</f>
        <v/>
      </c>
      <c r="P230" s="30">
        <f t="array" ref="P230">INDIRECT("'"&amp;$A230&amp;"'!M8")</f>
        <v/>
      </c>
      <c r="Q230" s="30">
        <f t="array" ref="Q230">INDIRECT("'"&amp;$A230&amp;"'!N8")</f>
        <v/>
      </c>
      <c r="R230" s="30">
        <f t="array" ref="R230">INDIRECT("'"&amp;$A230&amp;"'!O8")</f>
        <v/>
      </c>
      <c r="S230" s="30">
        <f t="array" ref="S230">INDIRECT("'"&amp;$A230&amp;"'!P8")</f>
        <v/>
      </c>
      <c r="T230" s="30">
        <f t="array" ref="T230">INDIRECT("'"&amp;$A230&amp;"'!Q8")</f>
        <v/>
      </c>
      <c r="U230" s="30">
        <f t="array" ref="U230">INDIRECT("'"&amp;$A230&amp;"'!R8")</f>
        <v/>
      </c>
      <c r="V230" s="30">
        <f t="array" ref="V230">INDIRECT("'"&amp;$A230&amp;"'!S8")</f>
        <v/>
      </c>
      <c r="W230" s="30">
        <f t="array" ref="W230">INDIRECT("'"&amp;$A230&amp;"'!T8")</f>
        <v/>
      </c>
      <c r="X230" s="30">
        <f t="array" ref="X230">INDIRECT("'"&amp;$A230&amp;"'!U8")</f>
        <v/>
      </c>
      <c r="Y230" s="30">
        <f t="array" ref="Y230">INDIRECT("'"&amp;$A230&amp;"'!V8")</f>
        <v/>
      </c>
      <c r="Z230" s="30">
        <f t="array" ref="Z230">INDIRECT("'"&amp;$A230&amp;"'!W8")</f>
        <v/>
      </c>
      <c r="AA230" s="30">
        <f t="array" ref="AA230">INDIRECT("'"&amp;$A230&amp;"'!X8")</f>
        <v/>
      </c>
      <c r="AB230" s="30">
        <f t="array" ref="AB230">INDIRECT("'"&amp;$A230&amp;"'!Y8")</f>
        <v/>
      </c>
      <c r="AC230" s="30">
        <f t="array" ref="AC230">INDIRECT("'"&amp;$A230&amp;"'!Z8")</f>
        <v/>
      </c>
      <c r="AD230" s="31">
        <f t="array" ref="AD230">INDIRECT("'"&amp;$A230&amp;"'!AA8")</f>
        <v/>
      </c>
      <c r="AE230" s="79">
        <f t="array" ref="AE230">INDIRECT("'"&amp;$A231&amp;"'!J2")</f>
        <v/>
      </c>
      <c r="AF230" s="53">
        <f t="array" ref="AF230">INDIRECT("'"&amp;$A231&amp;"'!AD1")</f>
        <v/>
      </c>
    </row>
    <row r="231">
      <c r="A231" s="58" t="n">
        <v>77</v>
      </c>
      <c r="B231" s="105" t="n"/>
      <c r="C231" s="67">
        <f t="array" ref="C231">CONCATENATE("粮 ",INDIRECT("'"&amp;$A231&amp;"'!D4"))</f>
        <v/>
      </c>
      <c r="D231" s="55" t="inlineStr">
        <is>
          <t>2队</t>
        </is>
      </c>
      <c r="E231" s="80">
        <f t="array" ref="E231">INDIRECT("'"&amp;$A231&amp;"'!I3")</f>
        <v/>
      </c>
      <c r="F231" s="52">
        <f t="array" ref="F231">INDIRECT("'"&amp;$A231&amp;"'!C11")</f>
        <v/>
      </c>
      <c r="G231" s="3">
        <f t="array" ref="G231">INDIRECT("'"&amp;$A231&amp;"'!D11")</f>
        <v/>
      </c>
      <c r="H231" s="3">
        <f t="array" ref="H231">INDIRECT("'"&amp;$A231&amp;"'!E11")</f>
        <v/>
      </c>
      <c r="I231" s="3">
        <f t="array" ref="I231">INDIRECT("'"&amp;$A231&amp;"'!F11")</f>
        <v/>
      </c>
      <c r="J231" s="3">
        <f t="array" ref="J231">INDIRECT("'"&amp;$A231&amp;"'!G11")</f>
        <v/>
      </c>
      <c r="K231" s="3">
        <f t="array" ref="K231">INDIRECT("'"&amp;$A231&amp;"'!H11")</f>
        <v/>
      </c>
      <c r="L231" s="3">
        <f t="array" ref="L231">INDIRECT("'"&amp;$A231&amp;"'!I11")</f>
        <v/>
      </c>
      <c r="M231" s="3">
        <f t="array" ref="M231">INDIRECT("'"&amp;$A231&amp;"'!J11")</f>
        <v/>
      </c>
      <c r="N231" s="3">
        <f t="array" ref="N231">INDIRECT("'"&amp;$A231&amp;"'!K11")</f>
        <v/>
      </c>
      <c r="O231" s="3">
        <f t="array" ref="O231">INDIRECT("'"&amp;$A231&amp;"'!L11")</f>
        <v/>
      </c>
      <c r="P231" s="3">
        <f t="array" ref="P231">INDIRECT("'"&amp;$A231&amp;"'!M11")</f>
        <v/>
      </c>
      <c r="Q231" s="3">
        <f t="array" ref="Q231">INDIRECT("'"&amp;$A231&amp;"'!N11")</f>
        <v/>
      </c>
      <c r="R231" s="3">
        <f t="array" ref="R231">INDIRECT("'"&amp;$A231&amp;"'!O11")</f>
        <v/>
      </c>
      <c r="S231" s="3">
        <f t="array" ref="S231">INDIRECT("'"&amp;$A231&amp;"'!P11")</f>
        <v/>
      </c>
      <c r="T231" s="3">
        <f t="array" ref="T231">INDIRECT("'"&amp;$A231&amp;"'!Q11")</f>
        <v/>
      </c>
      <c r="U231" s="3">
        <f t="array" ref="U231">INDIRECT("'"&amp;$A231&amp;"'!R11")</f>
        <v/>
      </c>
      <c r="V231" s="3">
        <f t="array" ref="V231">INDIRECT("'"&amp;$A231&amp;"'!S11")</f>
        <v/>
      </c>
      <c r="W231" s="3">
        <f t="array" ref="W231">INDIRECT("'"&amp;$A231&amp;"'!T11")</f>
        <v/>
      </c>
      <c r="X231" s="3">
        <f t="array" ref="X231">INDIRECT("'"&amp;$A231&amp;"'!U11")</f>
        <v/>
      </c>
      <c r="Y231" s="3">
        <f t="array" ref="Y231">INDIRECT("'"&amp;$A231&amp;"'!V11")</f>
        <v/>
      </c>
      <c r="Z231" s="3">
        <f t="array" ref="Z231">INDIRECT("'"&amp;$A231&amp;"'!W11")</f>
        <v/>
      </c>
      <c r="AA231" s="3">
        <f t="array" ref="AA231">INDIRECT("'"&amp;$A231&amp;"'!X11")</f>
        <v/>
      </c>
      <c r="AB231" s="3">
        <f t="array" ref="AB231">INDIRECT("'"&amp;$A231&amp;"'!Y11")</f>
        <v/>
      </c>
      <c r="AC231" s="3">
        <f t="array" ref="AC231">INDIRECT("'"&amp;$A231&amp;"'!Z11")</f>
        <v/>
      </c>
      <c r="AD231" s="32">
        <f t="array" ref="AD231">INDIRECT("'"&amp;$A231&amp;"'!AA11")</f>
        <v/>
      </c>
      <c r="AE231" s="80">
        <f t="array" ref="AE231">INDIRECT("'"&amp;$A231&amp;"'!J3")</f>
        <v/>
      </c>
      <c r="AF231" s="53">
        <f t="array" ref="AF231">INDIRECT("'"&amp;$A231&amp;"'!AC1")</f>
        <v/>
      </c>
    </row>
    <row r="232" ht="15.75" customHeight="1" thickBot="1">
      <c r="A232" s="58" t="n">
        <v>77</v>
      </c>
      <c r="B232" s="106" t="n"/>
      <c r="C232" s="77">
        <f t="array" ref="C232">CONCATENATE("分 ",INDIRECT("'"&amp;$A231&amp;"'!D6"))</f>
        <v/>
      </c>
      <c r="D232" s="56" t="inlineStr">
        <is>
          <t>3队</t>
        </is>
      </c>
      <c r="E232" s="81">
        <f t="array" ref="E232">INDIRECT("'"&amp;$A231&amp;"'!I4")</f>
        <v/>
      </c>
      <c r="F232" s="52">
        <f t="array" ref="F232">INDIRECT("'"&amp;$A232&amp;"'!C14")</f>
        <v/>
      </c>
      <c r="G232" s="3">
        <f t="array" ref="G232">INDIRECT("'"&amp;$A232&amp;"'!D14")</f>
        <v/>
      </c>
      <c r="H232" s="3">
        <f t="array" ref="H232">INDIRECT("'"&amp;$A232&amp;"'!E14")</f>
        <v/>
      </c>
      <c r="I232" s="3">
        <f t="array" ref="I232">INDIRECT("'"&amp;$A232&amp;"'!F14")</f>
        <v/>
      </c>
      <c r="J232" s="3">
        <f t="array" ref="J232">INDIRECT("'"&amp;$A232&amp;"'!G14")</f>
        <v/>
      </c>
      <c r="K232" s="3">
        <f t="array" ref="K232">INDIRECT("'"&amp;$A232&amp;"'!H14")</f>
        <v/>
      </c>
      <c r="L232" s="3">
        <f t="array" ref="L232">INDIRECT("'"&amp;$A232&amp;"'!I14")</f>
        <v/>
      </c>
      <c r="M232" s="3">
        <f t="array" ref="M232">INDIRECT("'"&amp;$A232&amp;"'!J14")</f>
        <v/>
      </c>
      <c r="N232" s="3">
        <f t="array" ref="N232">INDIRECT("'"&amp;$A232&amp;"'!K14")</f>
        <v/>
      </c>
      <c r="O232" s="3">
        <f t="array" ref="O232">INDIRECT("'"&amp;$A232&amp;"'!L14")</f>
        <v/>
      </c>
      <c r="P232" s="3">
        <f t="array" ref="P232">INDIRECT("'"&amp;$A232&amp;"'!M14")</f>
        <v/>
      </c>
      <c r="Q232" s="3">
        <f t="array" ref="Q232">INDIRECT("'"&amp;$A232&amp;"'!N14")</f>
        <v/>
      </c>
      <c r="R232" s="3">
        <f t="array" ref="R232">INDIRECT("'"&amp;$A232&amp;"'!O14")</f>
        <v/>
      </c>
      <c r="S232" s="3">
        <f t="array" ref="S232">INDIRECT("'"&amp;$A232&amp;"'!P14")</f>
        <v/>
      </c>
      <c r="T232" s="3">
        <f t="array" ref="T232">INDIRECT("'"&amp;$A232&amp;"'!Q14")</f>
        <v/>
      </c>
      <c r="U232" s="3">
        <f t="array" ref="U232">INDIRECT("'"&amp;$A232&amp;"'!R14")</f>
        <v/>
      </c>
      <c r="V232" s="3">
        <f t="array" ref="V232">INDIRECT("'"&amp;$A232&amp;"'!S14")</f>
        <v/>
      </c>
      <c r="W232" s="3">
        <f t="array" ref="W232">INDIRECT("'"&amp;$A232&amp;"'!T14")</f>
        <v/>
      </c>
      <c r="X232" s="3">
        <f t="array" ref="X232">INDIRECT("'"&amp;$A232&amp;"'!U14")</f>
        <v/>
      </c>
      <c r="Y232" s="3">
        <f t="array" ref="Y232">INDIRECT("'"&amp;$A232&amp;"'!V14")</f>
        <v/>
      </c>
      <c r="Z232" s="3">
        <f t="array" ref="Z232">INDIRECT("'"&amp;$A232&amp;"'!W14")</f>
        <v/>
      </c>
      <c r="AA232" s="3">
        <f t="array" ref="AA232">INDIRECT("'"&amp;$A232&amp;"'!X14")</f>
        <v/>
      </c>
      <c r="AB232" s="3">
        <f t="array" ref="AB232">INDIRECT("'"&amp;$A232&amp;"'!Y14")</f>
        <v/>
      </c>
      <c r="AC232" s="3">
        <f t="array" ref="AC232">INDIRECT("'"&amp;$A232&amp;"'!Z14")</f>
        <v/>
      </c>
      <c r="AD232" s="32">
        <f t="array" ref="AD232">INDIRECT("'"&amp;$A232&amp;"'!AA14")</f>
        <v/>
      </c>
      <c r="AE232" s="81">
        <f t="array" ref="AE232">INDIRECT("'"&amp;$A231&amp;"'!J4")</f>
        <v/>
      </c>
      <c r="AF232" s="53" t="n"/>
    </row>
    <row r="233">
      <c r="A233" s="58" t="n">
        <v>78</v>
      </c>
      <c r="B233" s="103">
        <f>INDEX(data!$I$2:$I$98,MATCH(A233*1,data!$G$2:$G$98,0))</f>
        <v/>
      </c>
      <c r="C233" s="66">
        <f>HYPERLINK("#'" &amp; A233 &amp; "'!A1", "编辑")</f>
        <v/>
      </c>
      <c r="D233" s="54" t="inlineStr">
        <is>
          <t>1队</t>
        </is>
      </c>
      <c r="E233" s="79">
        <f t="array" ref="E233">INDIRECT("'"&amp;$A234&amp;"'!I2")</f>
        <v/>
      </c>
      <c r="F233" s="29">
        <f t="array" ref="F233">INDIRECT("'"&amp;$A233&amp;"'!C8")</f>
        <v/>
      </c>
      <c r="G233" s="30">
        <f t="array" ref="G233">INDIRECT("'"&amp;$A233&amp;"'!D8")</f>
        <v/>
      </c>
      <c r="H233" s="30">
        <f t="array" ref="H233">INDIRECT("'"&amp;$A233&amp;"'!E8")</f>
        <v/>
      </c>
      <c r="I233" s="30">
        <f t="array" ref="I233">INDIRECT("'"&amp;$A233&amp;"'!F8")</f>
        <v/>
      </c>
      <c r="J233" s="30">
        <f t="array" ref="J233">INDIRECT("'"&amp;$A233&amp;"'!G8")</f>
        <v/>
      </c>
      <c r="K233" s="30">
        <f t="array" ref="K233">INDIRECT("'"&amp;$A233&amp;"'!H8")</f>
        <v/>
      </c>
      <c r="L233" s="30">
        <f t="array" ref="L233">INDIRECT("'"&amp;$A233&amp;"'!I8")</f>
        <v/>
      </c>
      <c r="M233" s="30">
        <f t="array" ref="M233">INDIRECT("'"&amp;$A233&amp;"'!J8")</f>
        <v/>
      </c>
      <c r="N233" s="30">
        <f t="array" ref="N233">INDIRECT("'"&amp;$A233&amp;"'!K8")</f>
        <v/>
      </c>
      <c r="O233" s="30">
        <f t="array" ref="O233">INDIRECT("'"&amp;$A233&amp;"'!L8")</f>
        <v/>
      </c>
      <c r="P233" s="30">
        <f t="array" ref="P233">INDIRECT("'"&amp;$A233&amp;"'!M8")</f>
        <v/>
      </c>
      <c r="Q233" s="30">
        <f t="array" ref="Q233">INDIRECT("'"&amp;$A233&amp;"'!N8")</f>
        <v/>
      </c>
      <c r="R233" s="30">
        <f t="array" ref="R233">INDIRECT("'"&amp;$A233&amp;"'!O8")</f>
        <v/>
      </c>
      <c r="S233" s="30">
        <f t="array" ref="S233">INDIRECT("'"&amp;$A233&amp;"'!P8")</f>
        <v/>
      </c>
      <c r="T233" s="30">
        <f t="array" ref="T233">INDIRECT("'"&amp;$A233&amp;"'!Q8")</f>
        <v/>
      </c>
      <c r="U233" s="30">
        <f t="array" ref="U233">INDIRECT("'"&amp;$A233&amp;"'!R8")</f>
        <v/>
      </c>
      <c r="V233" s="30">
        <f t="array" ref="V233">INDIRECT("'"&amp;$A233&amp;"'!S8")</f>
        <v/>
      </c>
      <c r="W233" s="30">
        <f t="array" ref="W233">INDIRECT("'"&amp;$A233&amp;"'!T8")</f>
        <v/>
      </c>
      <c r="X233" s="30">
        <f t="array" ref="X233">INDIRECT("'"&amp;$A233&amp;"'!U8")</f>
        <v/>
      </c>
      <c r="Y233" s="30">
        <f t="array" ref="Y233">INDIRECT("'"&amp;$A233&amp;"'!V8")</f>
        <v/>
      </c>
      <c r="Z233" s="30">
        <f t="array" ref="Z233">INDIRECT("'"&amp;$A233&amp;"'!W8")</f>
        <v/>
      </c>
      <c r="AA233" s="30">
        <f t="array" ref="AA233">INDIRECT("'"&amp;$A233&amp;"'!X8")</f>
        <v/>
      </c>
      <c r="AB233" s="30">
        <f t="array" ref="AB233">INDIRECT("'"&amp;$A233&amp;"'!Y8")</f>
        <v/>
      </c>
      <c r="AC233" s="30">
        <f t="array" ref="AC233">INDIRECT("'"&amp;$A233&amp;"'!Z8")</f>
        <v/>
      </c>
      <c r="AD233" s="31">
        <f t="array" ref="AD233">INDIRECT("'"&amp;$A233&amp;"'!AA8")</f>
        <v/>
      </c>
      <c r="AE233" s="79">
        <f t="array" ref="AE233">INDIRECT("'"&amp;$A234&amp;"'!J2")</f>
        <v/>
      </c>
      <c r="AF233" s="53">
        <f t="array" ref="AF233">INDIRECT("'"&amp;$A234&amp;"'!AD1")</f>
        <v/>
      </c>
    </row>
    <row r="234">
      <c r="A234" s="58" t="n">
        <v>78</v>
      </c>
      <c r="B234" s="105" t="n"/>
      <c r="C234" s="67">
        <f t="array" ref="C234">CONCATENATE("粮 ",INDIRECT("'"&amp;$A234&amp;"'!D4"))</f>
        <v/>
      </c>
      <c r="D234" s="55" t="inlineStr">
        <is>
          <t>2队</t>
        </is>
      </c>
      <c r="E234" s="80">
        <f t="array" ref="E234">INDIRECT("'"&amp;$A234&amp;"'!I3")</f>
        <v/>
      </c>
      <c r="F234" s="52">
        <f t="array" ref="F234">INDIRECT("'"&amp;$A234&amp;"'!C11")</f>
        <v/>
      </c>
      <c r="G234" s="3">
        <f t="array" ref="G234">INDIRECT("'"&amp;$A234&amp;"'!D11")</f>
        <v/>
      </c>
      <c r="H234" s="3">
        <f t="array" ref="H234">INDIRECT("'"&amp;$A234&amp;"'!E11")</f>
        <v/>
      </c>
      <c r="I234" s="3">
        <f t="array" ref="I234">INDIRECT("'"&amp;$A234&amp;"'!F11")</f>
        <v/>
      </c>
      <c r="J234" s="3">
        <f t="array" ref="J234">INDIRECT("'"&amp;$A234&amp;"'!G11")</f>
        <v/>
      </c>
      <c r="K234" s="3">
        <f t="array" ref="K234">INDIRECT("'"&amp;$A234&amp;"'!H11")</f>
        <v/>
      </c>
      <c r="L234" s="3">
        <f t="array" ref="L234">INDIRECT("'"&amp;$A234&amp;"'!I11")</f>
        <v/>
      </c>
      <c r="M234" s="3">
        <f t="array" ref="M234">INDIRECT("'"&amp;$A234&amp;"'!J11")</f>
        <v/>
      </c>
      <c r="N234" s="3">
        <f t="array" ref="N234">INDIRECT("'"&amp;$A234&amp;"'!K11")</f>
        <v/>
      </c>
      <c r="O234" s="3">
        <f t="array" ref="O234">INDIRECT("'"&amp;$A234&amp;"'!L11")</f>
        <v/>
      </c>
      <c r="P234" s="3">
        <f t="array" ref="P234">INDIRECT("'"&amp;$A234&amp;"'!M11")</f>
        <v/>
      </c>
      <c r="Q234" s="3">
        <f t="array" ref="Q234">INDIRECT("'"&amp;$A234&amp;"'!N11")</f>
        <v/>
      </c>
      <c r="R234" s="3">
        <f t="array" ref="R234">INDIRECT("'"&amp;$A234&amp;"'!O11")</f>
        <v/>
      </c>
      <c r="S234" s="3">
        <f t="array" ref="S234">INDIRECT("'"&amp;$A234&amp;"'!P11")</f>
        <v/>
      </c>
      <c r="T234" s="3">
        <f t="array" ref="T234">INDIRECT("'"&amp;$A234&amp;"'!Q11")</f>
        <v/>
      </c>
      <c r="U234" s="3">
        <f t="array" ref="U234">INDIRECT("'"&amp;$A234&amp;"'!R11")</f>
        <v/>
      </c>
      <c r="V234" s="3">
        <f t="array" ref="V234">INDIRECT("'"&amp;$A234&amp;"'!S11")</f>
        <v/>
      </c>
      <c r="W234" s="3">
        <f t="array" ref="W234">INDIRECT("'"&amp;$A234&amp;"'!T11")</f>
        <v/>
      </c>
      <c r="X234" s="3">
        <f t="array" ref="X234">INDIRECT("'"&amp;$A234&amp;"'!U11")</f>
        <v/>
      </c>
      <c r="Y234" s="3">
        <f t="array" ref="Y234">INDIRECT("'"&amp;$A234&amp;"'!V11")</f>
        <v/>
      </c>
      <c r="Z234" s="3">
        <f t="array" ref="Z234">INDIRECT("'"&amp;$A234&amp;"'!W11")</f>
        <v/>
      </c>
      <c r="AA234" s="3">
        <f t="array" ref="AA234">INDIRECT("'"&amp;$A234&amp;"'!X11")</f>
        <v/>
      </c>
      <c r="AB234" s="3">
        <f t="array" ref="AB234">INDIRECT("'"&amp;$A234&amp;"'!Y11")</f>
        <v/>
      </c>
      <c r="AC234" s="3">
        <f t="array" ref="AC234">INDIRECT("'"&amp;$A234&amp;"'!Z11")</f>
        <v/>
      </c>
      <c r="AD234" s="32">
        <f t="array" ref="AD234">INDIRECT("'"&amp;$A234&amp;"'!AA11")</f>
        <v/>
      </c>
      <c r="AE234" s="80">
        <f t="array" ref="AE234">INDIRECT("'"&amp;$A234&amp;"'!J3")</f>
        <v/>
      </c>
      <c r="AF234" s="53">
        <f t="array" ref="AF234">INDIRECT("'"&amp;$A234&amp;"'!AC1")</f>
        <v/>
      </c>
    </row>
    <row r="235" ht="15.75" customHeight="1" thickBot="1">
      <c r="A235" s="58" t="n">
        <v>78</v>
      </c>
      <c r="B235" s="106" t="n"/>
      <c r="C235" s="77">
        <f t="array" ref="C235">CONCATENATE("分 ",INDIRECT("'"&amp;$A234&amp;"'!D6"))</f>
        <v/>
      </c>
      <c r="D235" s="56" t="inlineStr">
        <is>
          <t>3队</t>
        </is>
      </c>
      <c r="E235" s="81">
        <f t="array" ref="E235">INDIRECT("'"&amp;$A234&amp;"'!I4")</f>
        <v/>
      </c>
      <c r="F235" s="52">
        <f t="array" ref="F235">INDIRECT("'"&amp;$A235&amp;"'!C14")</f>
        <v/>
      </c>
      <c r="G235" s="3">
        <f t="array" ref="G235">INDIRECT("'"&amp;$A235&amp;"'!D14")</f>
        <v/>
      </c>
      <c r="H235" s="3">
        <f t="array" ref="H235">INDIRECT("'"&amp;$A235&amp;"'!E14")</f>
        <v/>
      </c>
      <c r="I235" s="3">
        <f t="array" ref="I235">INDIRECT("'"&amp;$A235&amp;"'!F14")</f>
        <v/>
      </c>
      <c r="J235" s="3">
        <f t="array" ref="J235">INDIRECT("'"&amp;$A235&amp;"'!G14")</f>
        <v/>
      </c>
      <c r="K235" s="3">
        <f t="array" ref="K235">INDIRECT("'"&amp;$A235&amp;"'!H14")</f>
        <v/>
      </c>
      <c r="L235" s="3">
        <f t="array" ref="L235">INDIRECT("'"&amp;$A235&amp;"'!I14")</f>
        <v/>
      </c>
      <c r="M235" s="3">
        <f t="array" ref="M235">INDIRECT("'"&amp;$A235&amp;"'!J14")</f>
        <v/>
      </c>
      <c r="N235" s="3">
        <f t="array" ref="N235">INDIRECT("'"&amp;$A235&amp;"'!K14")</f>
        <v/>
      </c>
      <c r="O235" s="3">
        <f t="array" ref="O235">INDIRECT("'"&amp;$A235&amp;"'!L14")</f>
        <v/>
      </c>
      <c r="P235" s="3">
        <f t="array" ref="P235">INDIRECT("'"&amp;$A235&amp;"'!M14")</f>
        <v/>
      </c>
      <c r="Q235" s="3">
        <f t="array" ref="Q235">INDIRECT("'"&amp;$A235&amp;"'!N14")</f>
        <v/>
      </c>
      <c r="R235" s="3">
        <f t="array" ref="R235">INDIRECT("'"&amp;$A235&amp;"'!O14")</f>
        <v/>
      </c>
      <c r="S235" s="3">
        <f t="array" ref="S235">INDIRECT("'"&amp;$A235&amp;"'!P14")</f>
        <v/>
      </c>
      <c r="T235" s="3">
        <f t="array" ref="T235">INDIRECT("'"&amp;$A235&amp;"'!Q14")</f>
        <v/>
      </c>
      <c r="U235" s="3">
        <f t="array" ref="U235">INDIRECT("'"&amp;$A235&amp;"'!R14")</f>
        <v/>
      </c>
      <c r="V235" s="3">
        <f t="array" ref="V235">INDIRECT("'"&amp;$A235&amp;"'!S14")</f>
        <v/>
      </c>
      <c r="W235" s="3">
        <f t="array" ref="W235">INDIRECT("'"&amp;$A235&amp;"'!T14")</f>
        <v/>
      </c>
      <c r="X235" s="3">
        <f t="array" ref="X235">INDIRECT("'"&amp;$A235&amp;"'!U14")</f>
        <v/>
      </c>
      <c r="Y235" s="3">
        <f t="array" ref="Y235">INDIRECT("'"&amp;$A235&amp;"'!V14")</f>
        <v/>
      </c>
      <c r="Z235" s="3">
        <f t="array" ref="Z235">INDIRECT("'"&amp;$A235&amp;"'!W14")</f>
        <v/>
      </c>
      <c r="AA235" s="3">
        <f t="array" ref="AA235">INDIRECT("'"&amp;$A235&amp;"'!X14")</f>
        <v/>
      </c>
      <c r="AB235" s="3">
        <f t="array" ref="AB235">INDIRECT("'"&amp;$A235&amp;"'!Y14")</f>
        <v/>
      </c>
      <c r="AC235" s="3">
        <f t="array" ref="AC235">INDIRECT("'"&amp;$A235&amp;"'!Z14")</f>
        <v/>
      </c>
      <c r="AD235" s="32">
        <f t="array" ref="AD235">INDIRECT("'"&amp;$A235&amp;"'!AA14")</f>
        <v/>
      </c>
      <c r="AE235" s="81">
        <f t="array" ref="AE235">INDIRECT("'"&amp;$A234&amp;"'!J4")</f>
        <v/>
      </c>
      <c r="AF235" s="53" t="n"/>
    </row>
    <row r="236">
      <c r="A236" s="58" t="n">
        <v>79</v>
      </c>
      <c r="B236" s="103">
        <f>INDEX(data!$I$2:$I$98,MATCH(A236*1,data!$G$2:$G$98,0))</f>
        <v/>
      </c>
      <c r="C236" s="66">
        <f>HYPERLINK("#'" &amp; A236 &amp; "'!A1", "编辑")</f>
        <v/>
      </c>
      <c r="D236" s="54" t="inlineStr">
        <is>
          <t>1队</t>
        </is>
      </c>
      <c r="E236" s="79">
        <f t="array" ref="E236">INDIRECT("'"&amp;$A237&amp;"'!I2")</f>
        <v/>
      </c>
      <c r="F236" s="29">
        <f t="array" ref="F236">INDIRECT("'"&amp;$A236&amp;"'!C8")</f>
        <v/>
      </c>
      <c r="G236" s="30">
        <f t="array" ref="G236">INDIRECT("'"&amp;$A236&amp;"'!D8")</f>
        <v/>
      </c>
      <c r="H236" s="30">
        <f t="array" ref="H236">INDIRECT("'"&amp;$A236&amp;"'!E8")</f>
        <v/>
      </c>
      <c r="I236" s="30">
        <f t="array" ref="I236">INDIRECT("'"&amp;$A236&amp;"'!F8")</f>
        <v/>
      </c>
      <c r="J236" s="30">
        <f t="array" ref="J236">INDIRECT("'"&amp;$A236&amp;"'!G8")</f>
        <v/>
      </c>
      <c r="K236" s="30">
        <f t="array" ref="K236">INDIRECT("'"&amp;$A236&amp;"'!H8")</f>
        <v/>
      </c>
      <c r="L236" s="30">
        <f t="array" ref="L236">INDIRECT("'"&amp;$A236&amp;"'!I8")</f>
        <v/>
      </c>
      <c r="M236" s="30">
        <f t="array" ref="M236">INDIRECT("'"&amp;$A236&amp;"'!J8")</f>
        <v/>
      </c>
      <c r="N236" s="30">
        <f t="array" ref="N236">INDIRECT("'"&amp;$A236&amp;"'!K8")</f>
        <v/>
      </c>
      <c r="O236" s="30">
        <f t="array" ref="O236">INDIRECT("'"&amp;$A236&amp;"'!L8")</f>
        <v/>
      </c>
      <c r="P236" s="30">
        <f t="array" ref="P236">INDIRECT("'"&amp;$A236&amp;"'!M8")</f>
        <v/>
      </c>
      <c r="Q236" s="30">
        <f t="array" ref="Q236">INDIRECT("'"&amp;$A236&amp;"'!N8")</f>
        <v/>
      </c>
      <c r="R236" s="30">
        <f t="array" ref="R236">INDIRECT("'"&amp;$A236&amp;"'!O8")</f>
        <v/>
      </c>
      <c r="S236" s="30">
        <f t="array" ref="S236">INDIRECT("'"&amp;$A236&amp;"'!P8")</f>
        <v/>
      </c>
      <c r="T236" s="30">
        <f t="array" ref="T236">INDIRECT("'"&amp;$A236&amp;"'!Q8")</f>
        <v/>
      </c>
      <c r="U236" s="30">
        <f t="array" ref="U236">INDIRECT("'"&amp;$A236&amp;"'!R8")</f>
        <v/>
      </c>
      <c r="V236" s="30">
        <f t="array" ref="V236">INDIRECT("'"&amp;$A236&amp;"'!S8")</f>
        <v/>
      </c>
      <c r="W236" s="30">
        <f t="array" ref="W236">INDIRECT("'"&amp;$A236&amp;"'!T8")</f>
        <v/>
      </c>
      <c r="X236" s="30">
        <f t="array" ref="X236">INDIRECT("'"&amp;$A236&amp;"'!U8")</f>
        <v/>
      </c>
      <c r="Y236" s="30">
        <f t="array" ref="Y236">INDIRECT("'"&amp;$A236&amp;"'!V8")</f>
        <v/>
      </c>
      <c r="Z236" s="30">
        <f t="array" ref="Z236">INDIRECT("'"&amp;$A236&amp;"'!W8")</f>
        <v/>
      </c>
      <c r="AA236" s="30">
        <f t="array" ref="AA236">INDIRECT("'"&amp;$A236&amp;"'!X8")</f>
        <v/>
      </c>
      <c r="AB236" s="30">
        <f t="array" ref="AB236">INDIRECT("'"&amp;$A236&amp;"'!Y8")</f>
        <v/>
      </c>
      <c r="AC236" s="30">
        <f t="array" ref="AC236">INDIRECT("'"&amp;$A236&amp;"'!Z8")</f>
        <v/>
      </c>
      <c r="AD236" s="31">
        <f t="array" ref="AD236">INDIRECT("'"&amp;$A236&amp;"'!AA8")</f>
        <v/>
      </c>
      <c r="AE236" s="79">
        <f t="array" ref="AE236">INDIRECT("'"&amp;$A237&amp;"'!J2")</f>
        <v/>
      </c>
      <c r="AF236" s="53">
        <f t="array" ref="AF236">INDIRECT("'"&amp;$A237&amp;"'!AD1")</f>
        <v/>
      </c>
    </row>
    <row r="237">
      <c r="A237" s="58" t="n">
        <v>79</v>
      </c>
      <c r="B237" s="105" t="n"/>
      <c r="C237" s="67">
        <f t="array" ref="C237">CONCATENATE("粮 ",INDIRECT("'"&amp;$A237&amp;"'!D4"))</f>
        <v/>
      </c>
      <c r="D237" s="55" t="inlineStr">
        <is>
          <t>2队</t>
        </is>
      </c>
      <c r="E237" s="80">
        <f t="array" ref="E237">INDIRECT("'"&amp;$A237&amp;"'!I3")</f>
        <v/>
      </c>
      <c r="F237" s="52">
        <f t="array" ref="F237">INDIRECT("'"&amp;$A237&amp;"'!C11")</f>
        <v/>
      </c>
      <c r="G237" s="3">
        <f t="array" ref="G237">INDIRECT("'"&amp;$A237&amp;"'!D11")</f>
        <v/>
      </c>
      <c r="H237" s="3">
        <f t="array" ref="H237">INDIRECT("'"&amp;$A237&amp;"'!E11")</f>
        <v/>
      </c>
      <c r="I237" s="3">
        <f t="array" ref="I237">INDIRECT("'"&amp;$A237&amp;"'!F11")</f>
        <v/>
      </c>
      <c r="J237" s="3">
        <f t="array" ref="J237">INDIRECT("'"&amp;$A237&amp;"'!G11")</f>
        <v/>
      </c>
      <c r="K237" s="3">
        <f t="array" ref="K237">INDIRECT("'"&amp;$A237&amp;"'!H11")</f>
        <v/>
      </c>
      <c r="L237" s="3">
        <f t="array" ref="L237">INDIRECT("'"&amp;$A237&amp;"'!I11")</f>
        <v/>
      </c>
      <c r="M237" s="3">
        <f t="array" ref="M237">INDIRECT("'"&amp;$A237&amp;"'!J11")</f>
        <v/>
      </c>
      <c r="N237" s="3">
        <f t="array" ref="N237">INDIRECT("'"&amp;$A237&amp;"'!K11")</f>
        <v/>
      </c>
      <c r="O237" s="3">
        <f t="array" ref="O237">INDIRECT("'"&amp;$A237&amp;"'!L11")</f>
        <v/>
      </c>
      <c r="P237" s="3">
        <f t="array" ref="P237">INDIRECT("'"&amp;$A237&amp;"'!M11")</f>
        <v/>
      </c>
      <c r="Q237" s="3">
        <f t="array" ref="Q237">INDIRECT("'"&amp;$A237&amp;"'!N11")</f>
        <v/>
      </c>
      <c r="R237" s="3">
        <f t="array" ref="R237">INDIRECT("'"&amp;$A237&amp;"'!O11")</f>
        <v/>
      </c>
      <c r="S237" s="3">
        <f t="array" ref="S237">INDIRECT("'"&amp;$A237&amp;"'!P11")</f>
        <v/>
      </c>
      <c r="T237" s="3">
        <f t="array" ref="T237">INDIRECT("'"&amp;$A237&amp;"'!Q11")</f>
        <v/>
      </c>
      <c r="U237" s="3">
        <f t="array" ref="U237">INDIRECT("'"&amp;$A237&amp;"'!R11")</f>
        <v/>
      </c>
      <c r="V237" s="3">
        <f t="array" ref="V237">INDIRECT("'"&amp;$A237&amp;"'!S11")</f>
        <v/>
      </c>
      <c r="W237" s="3">
        <f t="array" ref="W237">INDIRECT("'"&amp;$A237&amp;"'!T11")</f>
        <v/>
      </c>
      <c r="X237" s="3">
        <f t="array" ref="X237">INDIRECT("'"&amp;$A237&amp;"'!U11")</f>
        <v/>
      </c>
      <c r="Y237" s="3">
        <f t="array" ref="Y237">INDIRECT("'"&amp;$A237&amp;"'!V11")</f>
        <v/>
      </c>
      <c r="Z237" s="3">
        <f t="array" ref="Z237">INDIRECT("'"&amp;$A237&amp;"'!W11")</f>
        <v/>
      </c>
      <c r="AA237" s="3">
        <f t="array" ref="AA237">INDIRECT("'"&amp;$A237&amp;"'!X11")</f>
        <v/>
      </c>
      <c r="AB237" s="3">
        <f t="array" ref="AB237">INDIRECT("'"&amp;$A237&amp;"'!Y11")</f>
        <v/>
      </c>
      <c r="AC237" s="3">
        <f t="array" ref="AC237">INDIRECT("'"&amp;$A237&amp;"'!Z11")</f>
        <v/>
      </c>
      <c r="AD237" s="32">
        <f t="array" ref="AD237">INDIRECT("'"&amp;$A237&amp;"'!AA11")</f>
        <v/>
      </c>
      <c r="AE237" s="80">
        <f t="array" ref="AE237">INDIRECT("'"&amp;$A237&amp;"'!J3")</f>
        <v/>
      </c>
      <c r="AF237" s="53">
        <f t="array" ref="AF237">INDIRECT("'"&amp;$A237&amp;"'!AC1")</f>
        <v/>
      </c>
    </row>
    <row r="238" ht="15.75" customHeight="1" thickBot="1">
      <c r="A238" s="58" t="n">
        <v>79</v>
      </c>
      <c r="B238" s="106" t="n"/>
      <c r="C238" s="77">
        <f t="array" ref="C238">CONCATENATE("分 ",INDIRECT("'"&amp;$A237&amp;"'!D6"))</f>
        <v/>
      </c>
      <c r="D238" s="56" t="inlineStr">
        <is>
          <t>3队</t>
        </is>
      </c>
      <c r="E238" s="81">
        <f t="array" ref="E238">INDIRECT("'"&amp;$A237&amp;"'!I4")</f>
        <v/>
      </c>
      <c r="F238" s="52">
        <f t="array" ref="F238">INDIRECT("'"&amp;$A238&amp;"'!C14")</f>
        <v/>
      </c>
      <c r="G238" s="3">
        <f t="array" ref="G238">INDIRECT("'"&amp;$A238&amp;"'!D14")</f>
        <v/>
      </c>
      <c r="H238" s="3">
        <f t="array" ref="H238">INDIRECT("'"&amp;$A238&amp;"'!E14")</f>
        <v/>
      </c>
      <c r="I238" s="3">
        <f t="array" ref="I238">INDIRECT("'"&amp;$A238&amp;"'!F14")</f>
        <v/>
      </c>
      <c r="J238" s="3">
        <f t="array" ref="J238">INDIRECT("'"&amp;$A238&amp;"'!G14")</f>
        <v/>
      </c>
      <c r="K238" s="3">
        <f t="array" ref="K238">INDIRECT("'"&amp;$A238&amp;"'!H14")</f>
        <v/>
      </c>
      <c r="L238" s="3">
        <f t="array" ref="L238">INDIRECT("'"&amp;$A238&amp;"'!I14")</f>
        <v/>
      </c>
      <c r="M238" s="3">
        <f t="array" ref="M238">INDIRECT("'"&amp;$A238&amp;"'!J14")</f>
        <v/>
      </c>
      <c r="N238" s="3">
        <f t="array" ref="N238">INDIRECT("'"&amp;$A238&amp;"'!K14")</f>
        <v/>
      </c>
      <c r="O238" s="3">
        <f t="array" ref="O238">INDIRECT("'"&amp;$A238&amp;"'!L14")</f>
        <v/>
      </c>
      <c r="P238" s="3">
        <f t="array" ref="P238">INDIRECT("'"&amp;$A238&amp;"'!M14")</f>
        <v/>
      </c>
      <c r="Q238" s="3">
        <f t="array" ref="Q238">INDIRECT("'"&amp;$A238&amp;"'!N14")</f>
        <v/>
      </c>
      <c r="R238" s="3">
        <f t="array" ref="R238">INDIRECT("'"&amp;$A238&amp;"'!O14")</f>
        <v/>
      </c>
      <c r="S238" s="3">
        <f t="array" ref="S238">INDIRECT("'"&amp;$A238&amp;"'!P14")</f>
        <v/>
      </c>
      <c r="T238" s="3">
        <f t="array" ref="T238">INDIRECT("'"&amp;$A238&amp;"'!Q14")</f>
        <v/>
      </c>
      <c r="U238" s="3">
        <f t="array" ref="U238">INDIRECT("'"&amp;$A238&amp;"'!R14")</f>
        <v/>
      </c>
      <c r="V238" s="3">
        <f t="array" ref="V238">INDIRECT("'"&amp;$A238&amp;"'!S14")</f>
        <v/>
      </c>
      <c r="W238" s="3">
        <f t="array" ref="W238">INDIRECT("'"&amp;$A238&amp;"'!T14")</f>
        <v/>
      </c>
      <c r="X238" s="3">
        <f t="array" ref="X238">INDIRECT("'"&amp;$A238&amp;"'!U14")</f>
        <v/>
      </c>
      <c r="Y238" s="3">
        <f t="array" ref="Y238">INDIRECT("'"&amp;$A238&amp;"'!V14")</f>
        <v/>
      </c>
      <c r="Z238" s="3">
        <f t="array" ref="Z238">INDIRECT("'"&amp;$A238&amp;"'!W14")</f>
        <v/>
      </c>
      <c r="AA238" s="3">
        <f t="array" ref="AA238">INDIRECT("'"&amp;$A238&amp;"'!X14")</f>
        <v/>
      </c>
      <c r="AB238" s="3">
        <f t="array" ref="AB238">INDIRECT("'"&amp;$A238&amp;"'!Y14")</f>
        <v/>
      </c>
      <c r="AC238" s="3">
        <f t="array" ref="AC238">INDIRECT("'"&amp;$A238&amp;"'!Z14")</f>
        <v/>
      </c>
      <c r="AD238" s="32">
        <f t="array" ref="AD238">INDIRECT("'"&amp;$A238&amp;"'!AA14")</f>
        <v/>
      </c>
      <c r="AE238" s="81">
        <f t="array" ref="AE238">INDIRECT("'"&amp;$A237&amp;"'!J4")</f>
        <v/>
      </c>
      <c r="AF238" s="53" t="n"/>
    </row>
    <row r="239">
      <c r="A239" s="58" t="n">
        <v>80</v>
      </c>
      <c r="B239" s="103">
        <f>INDEX(data!$I$2:$I$98,MATCH(A239*1,data!$G$2:$G$98,0))</f>
        <v/>
      </c>
      <c r="C239" s="66">
        <f>HYPERLINK("#'" &amp; A239 &amp; "'!A1", "编辑")</f>
        <v/>
      </c>
      <c r="D239" s="54" t="inlineStr">
        <is>
          <t>1队</t>
        </is>
      </c>
      <c r="E239" s="79">
        <f t="array" ref="E239">INDIRECT("'"&amp;$A240&amp;"'!I2")</f>
        <v/>
      </c>
      <c r="F239" s="29">
        <f t="array" ref="F239">INDIRECT("'"&amp;$A239&amp;"'!C8")</f>
        <v/>
      </c>
      <c r="G239" s="30">
        <f t="array" ref="G239">INDIRECT("'"&amp;$A239&amp;"'!D8")</f>
        <v/>
      </c>
      <c r="H239" s="30">
        <f t="array" ref="H239">INDIRECT("'"&amp;$A239&amp;"'!E8")</f>
        <v/>
      </c>
      <c r="I239" s="30">
        <f t="array" ref="I239">INDIRECT("'"&amp;$A239&amp;"'!F8")</f>
        <v/>
      </c>
      <c r="J239" s="30">
        <f t="array" ref="J239">INDIRECT("'"&amp;$A239&amp;"'!G8")</f>
        <v/>
      </c>
      <c r="K239" s="30">
        <f t="array" ref="K239">INDIRECT("'"&amp;$A239&amp;"'!H8")</f>
        <v/>
      </c>
      <c r="L239" s="30">
        <f t="array" ref="L239">INDIRECT("'"&amp;$A239&amp;"'!I8")</f>
        <v/>
      </c>
      <c r="M239" s="30">
        <f t="array" ref="M239">INDIRECT("'"&amp;$A239&amp;"'!J8")</f>
        <v/>
      </c>
      <c r="N239" s="30">
        <f t="array" ref="N239">INDIRECT("'"&amp;$A239&amp;"'!K8")</f>
        <v/>
      </c>
      <c r="O239" s="30">
        <f t="array" ref="O239">INDIRECT("'"&amp;$A239&amp;"'!L8")</f>
        <v/>
      </c>
      <c r="P239" s="30">
        <f t="array" ref="P239">INDIRECT("'"&amp;$A239&amp;"'!M8")</f>
        <v/>
      </c>
      <c r="Q239" s="30">
        <f t="array" ref="Q239">INDIRECT("'"&amp;$A239&amp;"'!N8")</f>
        <v/>
      </c>
      <c r="R239" s="30">
        <f t="array" ref="R239">INDIRECT("'"&amp;$A239&amp;"'!O8")</f>
        <v/>
      </c>
      <c r="S239" s="30">
        <f t="array" ref="S239">INDIRECT("'"&amp;$A239&amp;"'!P8")</f>
        <v/>
      </c>
      <c r="T239" s="30">
        <f t="array" ref="T239">INDIRECT("'"&amp;$A239&amp;"'!Q8")</f>
        <v/>
      </c>
      <c r="U239" s="30">
        <f t="array" ref="U239">INDIRECT("'"&amp;$A239&amp;"'!R8")</f>
        <v/>
      </c>
      <c r="V239" s="30">
        <f t="array" ref="V239">INDIRECT("'"&amp;$A239&amp;"'!S8")</f>
        <v/>
      </c>
      <c r="W239" s="30">
        <f t="array" ref="W239">INDIRECT("'"&amp;$A239&amp;"'!T8")</f>
        <v/>
      </c>
      <c r="X239" s="30">
        <f t="array" ref="X239">INDIRECT("'"&amp;$A239&amp;"'!U8")</f>
        <v/>
      </c>
      <c r="Y239" s="30">
        <f t="array" ref="Y239">INDIRECT("'"&amp;$A239&amp;"'!V8")</f>
        <v/>
      </c>
      <c r="Z239" s="30">
        <f t="array" ref="Z239">INDIRECT("'"&amp;$A239&amp;"'!W8")</f>
        <v/>
      </c>
      <c r="AA239" s="30">
        <f t="array" ref="AA239">INDIRECT("'"&amp;$A239&amp;"'!X8")</f>
        <v/>
      </c>
      <c r="AB239" s="30">
        <f t="array" ref="AB239">INDIRECT("'"&amp;$A239&amp;"'!Y8")</f>
        <v/>
      </c>
      <c r="AC239" s="30">
        <f t="array" ref="AC239">INDIRECT("'"&amp;$A239&amp;"'!Z8")</f>
        <v/>
      </c>
      <c r="AD239" s="31">
        <f t="array" ref="AD239">INDIRECT("'"&amp;$A239&amp;"'!AA8")</f>
        <v/>
      </c>
      <c r="AE239" s="79">
        <f t="array" ref="AE239">INDIRECT("'"&amp;$A240&amp;"'!J2")</f>
        <v/>
      </c>
      <c r="AF239" s="53">
        <f t="array" ref="AF239">INDIRECT("'"&amp;$A240&amp;"'!AD1")</f>
        <v/>
      </c>
    </row>
    <row r="240">
      <c r="A240" s="58" t="n">
        <v>80</v>
      </c>
      <c r="B240" s="105" t="n"/>
      <c r="C240" s="67">
        <f t="array" ref="C240">CONCATENATE("粮 ",INDIRECT("'"&amp;$A240&amp;"'!D4"))</f>
        <v/>
      </c>
      <c r="D240" s="55" t="inlineStr">
        <is>
          <t>2队</t>
        </is>
      </c>
      <c r="E240" s="80">
        <f t="array" ref="E240">INDIRECT("'"&amp;$A240&amp;"'!I3")</f>
        <v/>
      </c>
      <c r="F240" s="52">
        <f t="array" ref="F240">INDIRECT("'"&amp;$A240&amp;"'!C11")</f>
        <v/>
      </c>
      <c r="G240" s="3">
        <f t="array" ref="G240">INDIRECT("'"&amp;$A240&amp;"'!D11")</f>
        <v/>
      </c>
      <c r="H240" s="3">
        <f t="array" ref="H240">INDIRECT("'"&amp;$A240&amp;"'!E11")</f>
        <v/>
      </c>
      <c r="I240" s="3">
        <f t="array" ref="I240">INDIRECT("'"&amp;$A240&amp;"'!F11")</f>
        <v/>
      </c>
      <c r="J240" s="3">
        <f t="array" ref="J240">INDIRECT("'"&amp;$A240&amp;"'!G11")</f>
        <v/>
      </c>
      <c r="K240" s="3">
        <f t="array" ref="K240">INDIRECT("'"&amp;$A240&amp;"'!H11")</f>
        <v/>
      </c>
      <c r="L240" s="3">
        <f t="array" ref="L240">INDIRECT("'"&amp;$A240&amp;"'!I11")</f>
        <v/>
      </c>
      <c r="M240" s="3">
        <f t="array" ref="M240">INDIRECT("'"&amp;$A240&amp;"'!J11")</f>
        <v/>
      </c>
      <c r="N240" s="3">
        <f t="array" ref="N240">INDIRECT("'"&amp;$A240&amp;"'!K11")</f>
        <v/>
      </c>
      <c r="O240" s="3">
        <f t="array" ref="O240">INDIRECT("'"&amp;$A240&amp;"'!L11")</f>
        <v/>
      </c>
      <c r="P240" s="3">
        <f t="array" ref="P240">INDIRECT("'"&amp;$A240&amp;"'!M11")</f>
        <v/>
      </c>
      <c r="Q240" s="3">
        <f t="array" ref="Q240">INDIRECT("'"&amp;$A240&amp;"'!N11")</f>
        <v/>
      </c>
      <c r="R240" s="3">
        <f t="array" ref="R240">INDIRECT("'"&amp;$A240&amp;"'!O11")</f>
        <v/>
      </c>
      <c r="S240" s="3">
        <f t="array" ref="S240">INDIRECT("'"&amp;$A240&amp;"'!P11")</f>
        <v/>
      </c>
      <c r="T240" s="3">
        <f t="array" ref="T240">INDIRECT("'"&amp;$A240&amp;"'!Q11")</f>
        <v/>
      </c>
      <c r="U240" s="3">
        <f t="array" ref="U240">INDIRECT("'"&amp;$A240&amp;"'!R11")</f>
        <v/>
      </c>
      <c r="V240" s="3">
        <f t="array" ref="V240">INDIRECT("'"&amp;$A240&amp;"'!S11")</f>
        <v/>
      </c>
      <c r="W240" s="3">
        <f t="array" ref="W240">INDIRECT("'"&amp;$A240&amp;"'!T11")</f>
        <v/>
      </c>
      <c r="X240" s="3">
        <f t="array" ref="X240">INDIRECT("'"&amp;$A240&amp;"'!U11")</f>
        <v/>
      </c>
      <c r="Y240" s="3">
        <f t="array" ref="Y240">INDIRECT("'"&amp;$A240&amp;"'!V11")</f>
        <v/>
      </c>
      <c r="Z240" s="3">
        <f t="array" ref="Z240">INDIRECT("'"&amp;$A240&amp;"'!W11")</f>
        <v/>
      </c>
      <c r="AA240" s="3">
        <f t="array" ref="AA240">INDIRECT("'"&amp;$A240&amp;"'!X11")</f>
        <v/>
      </c>
      <c r="AB240" s="3">
        <f t="array" ref="AB240">INDIRECT("'"&amp;$A240&amp;"'!Y11")</f>
        <v/>
      </c>
      <c r="AC240" s="3">
        <f t="array" ref="AC240">INDIRECT("'"&amp;$A240&amp;"'!Z11")</f>
        <v/>
      </c>
      <c r="AD240" s="32">
        <f t="array" ref="AD240">INDIRECT("'"&amp;$A240&amp;"'!AA11")</f>
        <v/>
      </c>
      <c r="AE240" s="80">
        <f t="array" ref="AE240">INDIRECT("'"&amp;$A240&amp;"'!J3")</f>
        <v/>
      </c>
      <c r="AF240" s="53">
        <f t="array" ref="AF240">INDIRECT("'"&amp;$A240&amp;"'!AC1")</f>
        <v/>
      </c>
    </row>
    <row r="241" ht="15.75" customHeight="1" thickBot="1">
      <c r="A241" s="58" t="n">
        <v>80</v>
      </c>
      <c r="B241" s="106" t="n"/>
      <c r="C241" s="77">
        <f t="array" ref="C241">CONCATENATE("分 ",INDIRECT("'"&amp;$A240&amp;"'!D6"))</f>
        <v/>
      </c>
      <c r="D241" s="56" t="inlineStr">
        <is>
          <t>3队</t>
        </is>
      </c>
      <c r="E241" s="81">
        <f t="array" ref="E241">INDIRECT("'"&amp;$A240&amp;"'!I4")</f>
        <v/>
      </c>
      <c r="F241" s="52">
        <f t="array" ref="F241">INDIRECT("'"&amp;$A241&amp;"'!C14")</f>
        <v/>
      </c>
      <c r="G241" s="3">
        <f t="array" ref="G241">INDIRECT("'"&amp;$A241&amp;"'!D14")</f>
        <v/>
      </c>
      <c r="H241" s="3">
        <f t="array" ref="H241">INDIRECT("'"&amp;$A241&amp;"'!E14")</f>
        <v/>
      </c>
      <c r="I241" s="3">
        <f t="array" ref="I241">INDIRECT("'"&amp;$A241&amp;"'!F14")</f>
        <v/>
      </c>
      <c r="J241" s="3">
        <f t="array" ref="J241">INDIRECT("'"&amp;$A241&amp;"'!G14")</f>
        <v/>
      </c>
      <c r="K241" s="3">
        <f t="array" ref="K241">INDIRECT("'"&amp;$A241&amp;"'!H14")</f>
        <v/>
      </c>
      <c r="L241" s="3">
        <f t="array" ref="L241">INDIRECT("'"&amp;$A241&amp;"'!I14")</f>
        <v/>
      </c>
      <c r="M241" s="3">
        <f t="array" ref="M241">INDIRECT("'"&amp;$A241&amp;"'!J14")</f>
        <v/>
      </c>
      <c r="N241" s="3">
        <f t="array" ref="N241">INDIRECT("'"&amp;$A241&amp;"'!K14")</f>
        <v/>
      </c>
      <c r="O241" s="3">
        <f t="array" ref="O241">INDIRECT("'"&amp;$A241&amp;"'!L14")</f>
        <v/>
      </c>
      <c r="P241" s="3">
        <f t="array" ref="P241">INDIRECT("'"&amp;$A241&amp;"'!M14")</f>
        <v/>
      </c>
      <c r="Q241" s="3">
        <f t="array" ref="Q241">INDIRECT("'"&amp;$A241&amp;"'!N14")</f>
        <v/>
      </c>
      <c r="R241" s="3">
        <f t="array" ref="R241">INDIRECT("'"&amp;$A241&amp;"'!O14")</f>
        <v/>
      </c>
      <c r="S241" s="3">
        <f t="array" ref="S241">INDIRECT("'"&amp;$A241&amp;"'!P14")</f>
        <v/>
      </c>
      <c r="T241" s="3">
        <f t="array" ref="T241">INDIRECT("'"&amp;$A241&amp;"'!Q14")</f>
        <v/>
      </c>
      <c r="U241" s="3">
        <f t="array" ref="U241">INDIRECT("'"&amp;$A241&amp;"'!R14")</f>
        <v/>
      </c>
      <c r="V241" s="3">
        <f t="array" ref="V241">INDIRECT("'"&amp;$A241&amp;"'!S14")</f>
        <v/>
      </c>
      <c r="W241" s="3">
        <f t="array" ref="W241">INDIRECT("'"&amp;$A241&amp;"'!T14")</f>
        <v/>
      </c>
      <c r="X241" s="3">
        <f t="array" ref="X241">INDIRECT("'"&amp;$A241&amp;"'!U14")</f>
        <v/>
      </c>
      <c r="Y241" s="3">
        <f t="array" ref="Y241">INDIRECT("'"&amp;$A241&amp;"'!V14")</f>
        <v/>
      </c>
      <c r="Z241" s="3">
        <f t="array" ref="Z241">INDIRECT("'"&amp;$A241&amp;"'!W14")</f>
        <v/>
      </c>
      <c r="AA241" s="3">
        <f t="array" ref="AA241">INDIRECT("'"&amp;$A241&amp;"'!X14")</f>
        <v/>
      </c>
      <c r="AB241" s="3">
        <f t="array" ref="AB241">INDIRECT("'"&amp;$A241&amp;"'!Y14")</f>
        <v/>
      </c>
      <c r="AC241" s="3">
        <f t="array" ref="AC241">INDIRECT("'"&amp;$A241&amp;"'!Z14")</f>
        <v/>
      </c>
      <c r="AD241" s="32">
        <f t="array" ref="AD241">INDIRECT("'"&amp;$A241&amp;"'!AA14")</f>
        <v/>
      </c>
      <c r="AE241" s="81">
        <f t="array" ref="AE241">INDIRECT("'"&amp;$A240&amp;"'!J4")</f>
        <v/>
      </c>
      <c r="AF241" s="53" t="n"/>
    </row>
    <row r="242">
      <c r="A242" s="58" t="n">
        <v>81</v>
      </c>
      <c r="B242" s="103">
        <f>INDEX(data!$I$2:$I$98,MATCH(A242*1,data!$G$2:$G$98,0))</f>
        <v/>
      </c>
      <c r="C242" s="66">
        <f>HYPERLINK("#'" &amp; A242 &amp; "'!A1", "编辑")</f>
        <v/>
      </c>
      <c r="D242" s="54" t="inlineStr">
        <is>
          <t>1队</t>
        </is>
      </c>
      <c r="E242" s="79">
        <f t="array" ref="E242">INDIRECT("'"&amp;$A243&amp;"'!I2")</f>
        <v/>
      </c>
      <c r="F242" s="29">
        <f t="array" ref="F242">INDIRECT("'"&amp;$A242&amp;"'!C8")</f>
        <v/>
      </c>
      <c r="G242" s="30">
        <f t="array" ref="G242">INDIRECT("'"&amp;$A242&amp;"'!D8")</f>
        <v/>
      </c>
      <c r="H242" s="30">
        <f t="array" ref="H242">INDIRECT("'"&amp;$A242&amp;"'!E8")</f>
        <v/>
      </c>
      <c r="I242" s="30">
        <f t="array" ref="I242">INDIRECT("'"&amp;$A242&amp;"'!F8")</f>
        <v/>
      </c>
      <c r="J242" s="30">
        <f t="array" ref="J242">INDIRECT("'"&amp;$A242&amp;"'!G8")</f>
        <v/>
      </c>
      <c r="K242" s="30">
        <f t="array" ref="K242">INDIRECT("'"&amp;$A242&amp;"'!H8")</f>
        <v/>
      </c>
      <c r="L242" s="30">
        <f t="array" ref="L242">INDIRECT("'"&amp;$A242&amp;"'!I8")</f>
        <v/>
      </c>
      <c r="M242" s="30">
        <f t="array" ref="M242">INDIRECT("'"&amp;$A242&amp;"'!J8")</f>
        <v/>
      </c>
      <c r="N242" s="30">
        <f t="array" ref="N242">INDIRECT("'"&amp;$A242&amp;"'!K8")</f>
        <v/>
      </c>
      <c r="O242" s="30">
        <f t="array" ref="O242">INDIRECT("'"&amp;$A242&amp;"'!L8")</f>
        <v/>
      </c>
      <c r="P242" s="30">
        <f t="array" ref="P242">INDIRECT("'"&amp;$A242&amp;"'!M8")</f>
        <v/>
      </c>
      <c r="Q242" s="30">
        <f t="array" ref="Q242">INDIRECT("'"&amp;$A242&amp;"'!N8")</f>
        <v/>
      </c>
      <c r="R242" s="30">
        <f t="array" ref="R242">INDIRECT("'"&amp;$A242&amp;"'!O8")</f>
        <v/>
      </c>
      <c r="S242" s="30">
        <f t="array" ref="S242">INDIRECT("'"&amp;$A242&amp;"'!P8")</f>
        <v/>
      </c>
      <c r="T242" s="30">
        <f t="array" ref="T242">INDIRECT("'"&amp;$A242&amp;"'!Q8")</f>
        <v/>
      </c>
      <c r="U242" s="30">
        <f t="array" ref="U242">INDIRECT("'"&amp;$A242&amp;"'!R8")</f>
        <v/>
      </c>
      <c r="V242" s="30">
        <f t="array" ref="V242">INDIRECT("'"&amp;$A242&amp;"'!S8")</f>
        <v/>
      </c>
      <c r="W242" s="30">
        <f t="array" ref="W242">INDIRECT("'"&amp;$A242&amp;"'!T8")</f>
        <v/>
      </c>
      <c r="X242" s="30">
        <f t="array" ref="X242">INDIRECT("'"&amp;$A242&amp;"'!U8")</f>
        <v/>
      </c>
      <c r="Y242" s="30">
        <f t="array" ref="Y242">INDIRECT("'"&amp;$A242&amp;"'!V8")</f>
        <v/>
      </c>
      <c r="Z242" s="30">
        <f t="array" ref="Z242">INDIRECT("'"&amp;$A242&amp;"'!W8")</f>
        <v/>
      </c>
      <c r="AA242" s="30">
        <f t="array" ref="AA242">INDIRECT("'"&amp;$A242&amp;"'!X8")</f>
        <v/>
      </c>
      <c r="AB242" s="30">
        <f t="array" ref="AB242">INDIRECT("'"&amp;$A242&amp;"'!Y8")</f>
        <v/>
      </c>
      <c r="AC242" s="30">
        <f t="array" ref="AC242">INDIRECT("'"&amp;$A242&amp;"'!Z8")</f>
        <v/>
      </c>
      <c r="AD242" s="31">
        <f t="array" ref="AD242">INDIRECT("'"&amp;$A242&amp;"'!AA8")</f>
        <v/>
      </c>
      <c r="AE242" s="79">
        <f t="array" ref="AE242">INDIRECT("'"&amp;$A243&amp;"'!J2")</f>
        <v/>
      </c>
      <c r="AF242" s="53">
        <f t="array" ref="AF242">INDIRECT("'"&amp;$A243&amp;"'!AD1")</f>
        <v/>
      </c>
    </row>
    <row r="243">
      <c r="A243" s="58" t="n">
        <v>81</v>
      </c>
      <c r="B243" s="105" t="n"/>
      <c r="C243" s="67">
        <f t="array" ref="C243">CONCATENATE("粮 ",INDIRECT("'"&amp;$A243&amp;"'!D4"))</f>
        <v/>
      </c>
      <c r="D243" s="55" t="inlineStr">
        <is>
          <t>2队</t>
        </is>
      </c>
      <c r="E243" s="80">
        <f t="array" ref="E243">INDIRECT("'"&amp;$A243&amp;"'!I3")</f>
        <v/>
      </c>
      <c r="F243" s="52">
        <f t="array" ref="F243">INDIRECT("'"&amp;$A243&amp;"'!C11")</f>
        <v/>
      </c>
      <c r="G243" s="3">
        <f t="array" ref="G243">INDIRECT("'"&amp;$A243&amp;"'!D11")</f>
        <v/>
      </c>
      <c r="H243" s="3">
        <f t="array" ref="H243">INDIRECT("'"&amp;$A243&amp;"'!E11")</f>
        <v/>
      </c>
      <c r="I243" s="3">
        <f t="array" ref="I243">INDIRECT("'"&amp;$A243&amp;"'!F11")</f>
        <v/>
      </c>
      <c r="J243" s="3">
        <f t="array" ref="J243">INDIRECT("'"&amp;$A243&amp;"'!G11")</f>
        <v/>
      </c>
      <c r="K243" s="3">
        <f t="array" ref="K243">INDIRECT("'"&amp;$A243&amp;"'!H11")</f>
        <v/>
      </c>
      <c r="L243" s="3">
        <f t="array" ref="L243">INDIRECT("'"&amp;$A243&amp;"'!I11")</f>
        <v/>
      </c>
      <c r="M243" s="3">
        <f t="array" ref="M243">INDIRECT("'"&amp;$A243&amp;"'!J11")</f>
        <v/>
      </c>
      <c r="N243" s="3">
        <f t="array" ref="N243">INDIRECT("'"&amp;$A243&amp;"'!K11")</f>
        <v/>
      </c>
      <c r="O243" s="3">
        <f t="array" ref="O243">INDIRECT("'"&amp;$A243&amp;"'!L11")</f>
        <v/>
      </c>
      <c r="P243" s="3">
        <f t="array" ref="P243">INDIRECT("'"&amp;$A243&amp;"'!M11")</f>
        <v/>
      </c>
      <c r="Q243" s="3">
        <f t="array" ref="Q243">INDIRECT("'"&amp;$A243&amp;"'!N11")</f>
        <v/>
      </c>
      <c r="R243" s="3">
        <f t="array" ref="R243">INDIRECT("'"&amp;$A243&amp;"'!O11")</f>
        <v/>
      </c>
      <c r="S243" s="3">
        <f t="array" ref="S243">INDIRECT("'"&amp;$A243&amp;"'!P11")</f>
        <v/>
      </c>
      <c r="T243" s="3">
        <f t="array" ref="T243">INDIRECT("'"&amp;$A243&amp;"'!Q11")</f>
        <v/>
      </c>
      <c r="U243" s="3">
        <f t="array" ref="U243">INDIRECT("'"&amp;$A243&amp;"'!R11")</f>
        <v/>
      </c>
      <c r="V243" s="3">
        <f t="array" ref="V243">INDIRECT("'"&amp;$A243&amp;"'!S11")</f>
        <v/>
      </c>
      <c r="W243" s="3">
        <f t="array" ref="W243">INDIRECT("'"&amp;$A243&amp;"'!T11")</f>
        <v/>
      </c>
      <c r="X243" s="3">
        <f t="array" ref="X243">INDIRECT("'"&amp;$A243&amp;"'!U11")</f>
        <v/>
      </c>
      <c r="Y243" s="3">
        <f t="array" ref="Y243">INDIRECT("'"&amp;$A243&amp;"'!V11")</f>
        <v/>
      </c>
      <c r="Z243" s="3">
        <f t="array" ref="Z243">INDIRECT("'"&amp;$A243&amp;"'!W11")</f>
        <v/>
      </c>
      <c r="AA243" s="3">
        <f t="array" ref="AA243">INDIRECT("'"&amp;$A243&amp;"'!X11")</f>
        <v/>
      </c>
      <c r="AB243" s="3">
        <f t="array" ref="AB243">INDIRECT("'"&amp;$A243&amp;"'!Y11")</f>
        <v/>
      </c>
      <c r="AC243" s="3">
        <f t="array" ref="AC243">INDIRECT("'"&amp;$A243&amp;"'!Z11")</f>
        <v/>
      </c>
      <c r="AD243" s="32">
        <f t="array" ref="AD243">INDIRECT("'"&amp;$A243&amp;"'!AA11")</f>
        <v/>
      </c>
      <c r="AE243" s="80">
        <f t="array" ref="AE243">INDIRECT("'"&amp;$A243&amp;"'!J3")</f>
        <v/>
      </c>
      <c r="AF243" s="53">
        <f t="array" ref="AF243">INDIRECT("'"&amp;$A243&amp;"'!AC1")</f>
        <v/>
      </c>
    </row>
    <row r="244" ht="15.75" customHeight="1" thickBot="1">
      <c r="A244" s="58" t="n">
        <v>81</v>
      </c>
      <c r="B244" s="106" t="n"/>
      <c r="C244" s="77">
        <f t="array" ref="C244">CONCATENATE("分 ",INDIRECT("'"&amp;$A243&amp;"'!D6"))</f>
        <v/>
      </c>
      <c r="D244" s="56" t="inlineStr">
        <is>
          <t>3队</t>
        </is>
      </c>
      <c r="E244" s="81">
        <f t="array" ref="E244">INDIRECT("'"&amp;$A243&amp;"'!I4")</f>
        <v/>
      </c>
      <c r="F244" s="52">
        <f t="array" ref="F244">INDIRECT("'"&amp;$A244&amp;"'!C14")</f>
        <v/>
      </c>
      <c r="G244" s="3">
        <f t="array" ref="G244">INDIRECT("'"&amp;$A244&amp;"'!D14")</f>
        <v/>
      </c>
      <c r="H244" s="3">
        <f t="array" ref="H244">INDIRECT("'"&amp;$A244&amp;"'!E14")</f>
        <v/>
      </c>
      <c r="I244" s="3">
        <f t="array" ref="I244">INDIRECT("'"&amp;$A244&amp;"'!F14")</f>
        <v/>
      </c>
      <c r="J244" s="3">
        <f t="array" ref="J244">INDIRECT("'"&amp;$A244&amp;"'!G14")</f>
        <v/>
      </c>
      <c r="K244" s="3">
        <f t="array" ref="K244">INDIRECT("'"&amp;$A244&amp;"'!H14")</f>
        <v/>
      </c>
      <c r="L244" s="3">
        <f t="array" ref="L244">INDIRECT("'"&amp;$A244&amp;"'!I14")</f>
        <v/>
      </c>
      <c r="M244" s="3">
        <f t="array" ref="M244">INDIRECT("'"&amp;$A244&amp;"'!J14")</f>
        <v/>
      </c>
      <c r="N244" s="3">
        <f t="array" ref="N244">INDIRECT("'"&amp;$A244&amp;"'!K14")</f>
        <v/>
      </c>
      <c r="O244" s="3">
        <f t="array" ref="O244">INDIRECT("'"&amp;$A244&amp;"'!L14")</f>
        <v/>
      </c>
      <c r="P244" s="3">
        <f t="array" ref="P244">INDIRECT("'"&amp;$A244&amp;"'!M14")</f>
        <v/>
      </c>
      <c r="Q244" s="3">
        <f t="array" ref="Q244">INDIRECT("'"&amp;$A244&amp;"'!N14")</f>
        <v/>
      </c>
      <c r="R244" s="3">
        <f t="array" ref="R244">INDIRECT("'"&amp;$A244&amp;"'!O14")</f>
        <v/>
      </c>
      <c r="S244" s="3">
        <f t="array" ref="S244">INDIRECT("'"&amp;$A244&amp;"'!P14")</f>
        <v/>
      </c>
      <c r="T244" s="3">
        <f t="array" ref="T244">INDIRECT("'"&amp;$A244&amp;"'!Q14")</f>
        <v/>
      </c>
      <c r="U244" s="3">
        <f t="array" ref="U244">INDIRECT("'"&amp;$A244&amp;"'!R14")</f>
        <v/>
      </c>
      <c r="V244" s="3">
        <f t="array" ref="V244">INDIRECT("'"&amp;$A244&amp;"'!S14")</f>
        <v/>
      </c>
      <c r="W244" s="3">
        <f t="array" ref="W244">INDIRECT("'"&amp;$A244&amp;"'!T14")</f>
        <v/>
      </c>
      <c r="X244" s="3">
        <f t="array" ref="X244">INDIRECT("'"&amp;$A244&amp;"'!U14")</f>
        <v/>
      </c>
      <c r="Y244" s="3">
        <f t="array" ref="Y244">INDIRECT("'"&amp;$A244&amp;"'!V14")</f>
        <v/>
      </c>
      <c r="Z244" s="3">
        <f t="array" ref="Z244">INDIRECT("'"&amp;$A244&amp;"'!W14")</f>
        <v/>
      </c>
      <c r="AA244" s="3">
        <f t="array" ref="AA244">INDIRECT("'"&amp;$A244&amp;"'!X14")</f>
        <v/>
      </c>
      <c r="AB244" s="3">
        <f t="array" ref="AB244">INDIRECT("'"&amp;$A244&amp;"'!Y14")</f>
        <v/>
      </c>
      <c r="AC244" s="3">
        <f t="array" ref="AC244">INDIRECT("'"&amp;$A244&amp;"'!Z14")</f>
        <v/>
      </c>
      <c r="AD244" s="32">
        <f t="array" ref="AD244">INDIRECT("'"&amp;$A244&amp;"'!AA14")</f>
        <v/>
      </c>
      <c r="AE244" s="81">
        <f t="array" ref="AE244">INDIRECT("'"&amp;$A243&amp;"'!J4")</f>
        <v/>
      </c>
      <c r="AF244" s="53" t="n"/>
    </row>
    <row r="245">
      <c r="A245" s="58" t="n">
        <v>82</v>
      </c>
      <c r="B245" s="103">
        <f>INDEX(data!$I$2:$I$98,MATCH(A245*1,data!$G$2:$G$98,0))</f>
        <v/>
      </c>
      <c r="C245" s="66">
        <f>HYPERLINK("#'" &amp; A245 &amp; "'!A1", "编辑")</f>
        <v/>
      </c>
      <c r="D245" s="54" t="inlineStr">
        <is>
          <t>1队</t>
        </is>
      </c>
      <c r="E245" s="79">
        <f t="array" ref="E245">INDIRECT("'"&amp;$A246&amp;"'!I2")</f>
        <v/>
      </c>
      <c r="F245" s="29">
        <f t="array" ref="F245">INDIRECT("'"&amp;$A245&amp;"'!C8")</f>
        <v/>
      </c>
      <c r="G245" s="30">
        <f t="array" ref="G245">INDIRECT("'"&amp;$A245&amp;"'!D8")</f>
        <v/>
      </c>
      <c r="H245" s="30">
        <f t="array" ref="H245">INDIRECT("'"&amp;$A245&amp;"'!E8")</f>
        <v/>
      </c>
      <c r="I245" s="30">
        <f t="array" ref="I245">INDIRECT("'"&amp;$A245&amp;"'!F8")</f>
        <v/>
      </c>
      <c r="J245" s="30">
        <f t="array" ref="J245">INDIRECT("'"&amp;$A245&amp;"'!G8")</f>
        <v/>
      </c>
      <c r="K245" s="30">
        <f t="array" ref="K245">INDIRECT("'"&amp;$A245&amp;"'!H8")</f>
        <v/>
      </c>
      <c r="L245" s="30">
        <f t="array" ref="L245">INDIRECT("'"&amp;$A245&amp;"'!I8")</f>
        <v/>
      </c>
      <c r="M245" s="30">
        <f t="array" ref="M245">INDIRECT("'"&amp;$A245&amp;"'!J8")</f>
        <v/>
      </c>
      <c r="N245" s="30">
        <f t="array" ref="N245">INDIRECT("'"&amp;$A245&amp;"'!K8")</f>
        <v/>
      </c>
      <c r="O245" s="30">
        <f t="array" ref="O245">INDIRECT("'"&amp;$A245&amp;"'!L8")</f>
        <v/>
      </c>
      <c r="P245" s="30">
        <f t="array" ref="P245">INDIRECT("'"&amp;$A245&amp;"'!M8")</f>
        <v/>
      </c>
      <c r="Q245" s="30">
        <f t="array" ref="Q245">INDIRECT("'"&amp;$A245&amp;"'!N8")</f>
        <v/>
      </c>
      <c r="R245" s="30">
        <f t="array" ref="R245">INDIRECT("'"&amp;$A245&amp;"'!O8")</f>
        <v/>
      </c>
      <c r="S245" s="30">
        <f t="array" ref="S245">INDIRECT("'"&amp;$A245&amp;"'!P8")</f>
        <v/>
      </c>
      <c r="T245" s="30">
        <f t="array" ref="T245">INDIRECT("'"&amp;$A245&amp;"'!Q8")</f>
        <v/>
      </c>
      <c r="U245" s="30">
        <f t="array" ref="U245">INDIRECT("'"&amp;$A245&amp;"'!R8")</f>
        <v/>
      </c>
      <c r="V245" s="30">
        <f t="array" ref="V245">INDIRECT("'"&amp;$A245&amp;"'!S8")</f>
        <v/>
      </c>
      <c r="W245" s="30">
        <f t="array" ref="W245">INDIRECT("'"&amp;$A245&amp;"'!T8")</f>
        <v/>
      </c>
      <c r="X245" s="30">
        <f t="array" ref="X245">INDIRECT("'"&amp;$A245&amp;"'!U8")</f>
        <v/>
      </c>
      <c r="Y245" s="30">
        <f t="array" ref="Y245">INDIRECT("'"&amp;$A245&amp;"'!V8")</f>
        <v/>
      </c>
      <c r="Z245" s="30">
        <f t="array" ref="Z245">INDIRECT("'"&amp;$A245&amp;"'!W8")</f>
        <v/>
      </c>
      <c r="AA245" s="30">
        <f t="array" ref="AA245">INDIRECT("'"&amp;$A245&amp;"'!X8")</f>
        <v/>
      </c>
      <c r="AB245" s="30">
        <f t="array" ref="AB245">INDIRECT("'"&amp;$A245&amp;"'!Y8")</f>
        <v/>
      </c>
      <c r="AC245" s="30">
        <f t="array" ref="AC245">INDIRECT("'"&amp;$A245&amp;"'!Z8")</f>
        <v/>
      </c>
      <c r="AD245" s="31">
        <f t="array" ref="AD245">INDIRECT("'"&amp;$A245&amp;"'!AA8")</f>
        <v/>
      </c>
      <c r="AE245" s="79">
        <f t="array" ref="AE245">INDIRECT("'"&amp;$A246&amp;"'!J2")</f>
        <v/>
      </c>
      <c r="AF245" s="53">
        <f t="array" ref="AF245">INDIRECT("'"&amp;$A246&amp;"'!AD1")</f>
        <v/>
      </c>
    </row>
    <row r="246">
      <c r="A246" s="58" t="n">
        <v>82</v>
      </c>
      <c r="B246" s="105" t="n"/>
      <c r="C246" s="67">
        <f t="array" ref="C246">CONCATENATE("粮 ",INDIRECT("'"&amp;$A246&amp;"'!D4"))</f>
        <v/>
      </c>
      <c r="D246" s="55" t="inlineStr">
        <is>
          <t>2队</t>
        </is>
      </c>
      <c r="E246" s="80">
        <f t="array" ref="E246">INDIRECT("'"&amp;$A246&amp;"'!I3")</f>
        <v/>
      </c>
      <c r="F246" s="52">
        <f t="array" ref="F246">INDIRECT("'"&amp;$A246&amp;"'!C11")</f>
        <v/>
      </c>
      <c r="G246" s="3">
        <f t="array" ref="G246">INDIRECT("'"&amp;$A246&amp;"'!D11")</f>
        <v/>
      </c>
      <c r="H246" s="3">
        <f t="array" ref="H246">INDIRECT("'"&amp;$A246&amp;"'!E11")</f>
        <v/>
      </c>
      <c r="I246" s="3">
        <f t="array" ref="I246">INDIRECT("'"&amp;$A246&amp;"'!F11")</f>
        <v/>
      </c>
      <c r="J246" s="3">
        <f t="array" ref="J246">INDIRECT("'"&amp;$A246&amp;"'!G11")</f>
        <v/>
      </c>
      <c r="K246" s="3">
        <f t="array" ref="K246">INDIRECT("'"&amp;$A246&amp;"'!H11")</f>
        <v/>
      </c>
      <c r="L246" s="3">
        <f t="array" ref="L246">INDIRECT("'"&amp;$A246&amp;"'!I11")</f>
        <v/>
      </c>
      <c r="M246" s="3">
        <f t="array" ref="M246">INDIRECT("'"&amp;$A246&amp;"'!J11")</f>
        <v/>
      </c>
      <c r="N246" s="3">
        <f t="array" ref="N246">INDIRECT("'"&amp;$A246&amp;"'!K11")</f>
        <v/>
      </c>
      <c r="O246" s="3">
        <f t="array" ref="O246">INDIRECT("'"&amp;$A246&amp;"'!L11")</f>
        <v/>
      </c>
      <c r="P246" s="3">
        <f t="array" ref="P246">INDIRECT("'"&amp;$A246&amp;"'!M11")</f>
        <v/>
      </c>
      <c r="Q246" s="3">
        <f t="array" ref="Q246">INDIRECT("'"&amp;$A246&amp;"'!N11")</f>
        <v/>
      </c>
      <c r="R246" s="3">
        <f t="array" ref="R246">INDIRECT("'"&amp;$A246&amp;"'!O11")</f>
        <v/>
      </c>
      <c r="S246" s="3">
        <f t="array" ref="S246">INDIRECT("'"&amp;$A246&amp;"'!P11")</f>
        <v/>
      </c>
      <c r="T246" s="3">
        <f t="array" ref="T246">INDIRECT("'"&amp;$A246&amp;"'!Q11")</f>
        <v/>
      </c>
      <c r="U246" s="3">
        <f t="array" ref="U246">INDIRECT("'"&amp;$A246&amp;"'!R11")</f>
        <v/>
      </c>
      <c r="V246" s="3">
        <f t="array" ref="V246">INDIRECT("'"&amp;$A246&amp;"'!S11")</f>
        <v/>
      </c>
      <c r="W246" s="3">
        <f t="array" ref="W246">INDIRECT("'"&amp;$A246&amp;"'!T11")</f>
        <v/>
      </c>
      <c r="X246" s="3">
        <f t="array" ref="X246">INDIRECT("'"&amp;$A246&amp;"'!U11")</f>
        <v/>
      </c>
      <c r="Y246" s="3">
        <f t="array" ref="Y246">INDIRECT("'"&amp;$A246&amp;"'!V11")</f>
        <v/>
      </c>
      <c r="Z246" s="3">
        <f t="array" ref="Z246">INDIRECT("'"&amp;$A246&amp;"'!W11")</f>
        <v/>
      </c>
      <c r="AA246" s="3">
        <f t="array" ref="AA246">INDIRECT("'"&amp;$A246&amp;"'!X11")</f>
        <v/>
      </c>
      <c r="AB246" s="3">
        <f t="array" ref="AB246">INDIRECT("'"&amp;$A246&amp;"'!Y11")</f>
        <v/>
      </c>
      <c r="AC246" s="3">
        <f t="array" ref="AC246">INDIRECT("'"&amp;$A246&amp;"'!Z11")</f>
        <v/>
      </c>
      <c r="AD246" s="32">
        <f t="array" ref="AD246">INDIRECT("'"&amp;$A246&amp;"'!AA11")</f>
        <v/>
      </c>
      <c r="AE246" s="80">
        <f t="array" ref="AE246">INDIRECT("'"&amp;$A246&amp;"'!J3")</f>
        <v/>
      </c>
      <c r="AF246" s="53">
        <f t="array" ref="AF246">INDIRECT("'"&amp;$A246&amp;"'!AC1")</f>
        <v/>
      </c>
    </row>
    <row r="247" ht="15.75" customHeight="1" thickBot="1">
      <c r="A247" s="58" t="n">
        <v>82</v>
      </c>
      <c r="B247" s="106" t="n"/>
      <c r="C247" s="77">
        <f t="array" ref="C247">CONCATENATE("分 ",INDIRECT("'"&amp;$A246&amp;"'!D6"))</f>
        <v/>
      </c>
      <c r="D247" s="56" t="inlineStr">
        <is>
          <t>3队</t>
        </is>
      </c>
      <c r="E247" s="81">
        <f t="array" ref="E247">INDIRECT("'"&amp;$A246&amp;"'!I4")</f>
        <v/>
      </c>
      <c r="F247" s="52">
        <f t="array" ref="F247">INDIRECT("'"&amp;$A247&amp;"'!C14")</f>
        <v/>
      </c>
      <c r="G247" s="3">
        <f t="array" ref="G247">INDIRECT("'"&amp;$A247&amp;"'!D14")</f>
        <v/>
      </c>
      <c r="H247" s="3">
        <f t="array" ref="H247">INDIRECT("'"&amp;$A247&amp;"'!E14")</f>
        <v/>
      </c>
      <c r="I247" s="3">
        <f t="array" ref="I247">INDIRECT("'"&amp;$A247&amp;"'!F14")</f>
        <v/>
      </c>
      <c r="J247" s="3">
        <f t="array" ref="J247">INDIRECT("'"&amp;$A247&amp;"'!G14")</f>
        <v/>
      </c>
      <c r="K247" s="3">
        <f t="array" ref="K247">INDIRECT("'"&amp;$A247&amp;"'!H14")</f>
        <v/>
      </c>
      <c r="L247" s="3">
        <f t="array" ref="L247">INDIRECT("'"&amp;$A247&amp;"'!I14")</f>
        <v/>
      </c>
      <c r="M247" s="3">
        <f t="array" ref="M247">INDIRECT("'"&amp;$A247&amp;"'!J14")</f>
        <v/>
      </c>
      <c r="N247" s="3">
        <f t="array" ref="N247">INDIRECT("'"&amp;$A247&amp;"'!K14")</f>
        <v/>
      </c>
      <c r="O247" s="3">
        <f t="array" ref="O247">INDIRECT("'"&amp;$A247&amp;"'!L14")</f>
        <v/>
      </c>
      <c r="P247" s="3">
        <f t="array" ref="P247">INDIRECT("'"&amp;$A247&amp;"'!M14")</f>
        <v/>
      </c>
      <c r="Q247" s="3">
        <f t="array" ref="Q247">INDIRECT("'"&amp;$A247&amp;"'!N14")</f>
        <v/>
      </c>
      <c r="R247" s="3">
        <f t="array" ref="R247">INDIRECT("'"&amp;$A247&amp;"'!O14")</f>
        <v/>
      </c>
      <c r="S247" s="3">
        <f t="array" ref="S247">INDIRECT("'"&amp;$A247&amp;"'!P14")</f>
        <v/>
      </c>
      <c r="T247" s="3">
        <f t="array" ref="T247">INDIRECT("'"&amp;$A247&amp;"'!Q14")</f>
        <v/>
      </c>
      <c r="U247" s="3">
        <f t="array" ref="U247">INDIRECT("'"&amp;$A247&amp;"'!R14")</f>
        <v/>
      </c>
      <c r="V247" s="3">
        <f t="array" ref="V247">INDIRECT("'"&amp;$A247&amp;"'!S14")</f>
        <v/>
      </c>
      <c r="W247" s="3">
        <f t="array" ref="W247">INDIRECT("'"&amp;$A247&amp;"'!T14")</f>
        <v/>
      </c>
      <c r="X247" s="3">
        <f t="array" ref="X247">INDIRECT("'"&amp;$A247&amp;"'!U14")</f>
        <v/>
      </c>
      <c r="Y247" s="3">
        <f t="array" ref="Y247">INDIRECT("'"&amp;$A247&amp;"'!V14")</f>
        <v/>
      </c>
      <c r="Z247" s="3">
        <f t="array" ref="Z247">INDIRECT("'"&amp;$A247&amp;"'!W14")</f>
        <v/>
      </c>
      <c r="AA247" s="3">
        <f t="array" ref="AA247">INDIRECT("'"&amp;$A247&amp;"'!X14")</f>
        <v/>
      </c>
      <c r="AB247" s="3">
        <f t="array" ref="AB247">INDIRECT("'"&amp;$A247&amp;"'!Y14")</f>
        <v/>
      </c>
      <c r="AC247" s="3">
        <f t="array" ref="AC247">INDIRECT("'"&amp;$A247&amp;"'!Z14")</f>
        <v/>
      </c>
      <c r="AD247" s="32">
        <f t="array" ref="AD247">INDIRECT("'"&amp;$A247&amp;"'!AA14")</f>
        <v/>
      </c>
      <c r="AE247" s="81">
        <f t="array" ref="AE247">INDIRECT("'"&amp;$A246&amp;"'!J4")</f>
        <v/>
      </c>
      <c r="AF247" s="53" t="n"/>
    </row>
    <row r="248">
      <c r="A248" s="58" t="n">
        <v>83</v>
      </c>
      <c r="B248" s="103">
        <f>INDEX(data!$I$2:$I$98,MATCH(A248*1,data!$G$2:$G$98,0))</f>
        <v/>
      </c>
      <c r="C248" s="66">
        <f>HYPERLINK("#'" &amp; A248 &amp; "'!A1", "编辑")</f>
        <v/>
      </c>
      <c r="D248" s="54" t="inlineStr">
        <is>
          <t>1队</t>
        </is>
      </c>
      <c r="E248" s="79">
        <f t="array" ref="E248">INDIRECT("'"&amp;$A249&amp;"'!I2")</f>
        <v/>
      </c>
      <c r="F248" s="29">
        <f t="array" ref="F248">INDIRECT("'"&amp;$A248&amp;"'!C8")</f>
        <v/>
      </c>
      <c r="G248" s="30">
        <f t="array" ref="G248">INDIRECT("'"&amp;$A248&amp;"'!D8")</f>
        <v/>
      </c>
      <c r="H248" s="30">
        <f t="array" ref="H248">INDIRECT("'"&amp;$A248&amp;"'!E8")</f>
        <v/>
      </c>
      <c r="I248" s="30">
        <f t="array" ref="I248">INDIRECT("'"&amp;$A248&amp;"'!F8")</f>
        <v/>
      </c>
      <c r="J248" s="30">
        <f t="array" ref="J248">INDIRECT("'"&amp;$A248&amp;"'!G8")</f>
        <v/>
      </c>
      <c r="K248" s="30">
        <f t="array" ref="K248">INDIRECT("'"&amp;$A248&amp;"'!H8")</f>
        <v/>
      </c>
      <c r="L248" s="30">
        <f t="array" ref="L248">INDIRECT("'"&amp;$A248&amp;"'!I8")</f>
        <v/>
      </c>
      <c r="M248" s="30">
        <f t="array" ref="M248">INDIRECT("'"&amp;$A248&amp;"'!J8")</f>
        <v/>
      </c>
      <c r="N248" s="30">
        <f t="array" ref="N248">INDIRECT("'"&amp;$A248&amp;"'!K8")</f>
        <v/>
      </c>
      <c r="O248" s="30">
        <f t="array" ref="O248">INDIRECT("'"&amp;$A248&amp;"'!L8")</f>
        <v/>
      </c>
      <c r="P248" s="30">
        <f t="array" ref="P248">INDIRECT("'"&amp;$A248&amp;"'!M8")</f>
        <v/>
      </c>
      <c r="Q248" s="30">
        <f t="array" ref="Q248">INDIRECT("'"&amp;$A248&amp;"'!N8")</f>
        <v/>
      </c>
      <c r="R248" s="30">
        <f t="array" ref="R248">INDIRECT("'"&amp;$A248&amp;"'!O8")</f>
        <v/>
      </c>
      <c r="S248" s="30">
        <f t="array" ref="S248">INDIRECT("'"&amp;$A248&amp;"'!P8")</f>
        <v/>
      </c>
      <c r="T248" s="30">
        <f t="array" ref="T248">INDIRECT("'"&amp;$A248&amp;"'!Q8")</f>
        <v/>
      </c>
      <c r="U248" s="30">
        <f t="array" ref="U248">INDIRECT("'"&amp;$A248&amp;"'!R8")</f>
        <v/>
      </c>
      <c r="V248" s="30">
        <f t="array" ref="V248">INDIRECT("'"&amp;$A248&amp;"'!S8")</f>
        <v/>
      </c>
      <c r="W248" s="30">
        <f t="array" ref="W248">INDIRECT("'"&amp;$A248&amp;"'!T8")</f>
        <v/>
      </c>
      <c r="X248" s="30">
        <f t="array" ref="X248">INDIRECT("'"&amp;$A248&amp;"'!U8")</f>
        <v/>
      </c>
      <c r="Y248" s="30">
        <f t="array" ref="Y248">INDIRECT("'"&amp;$A248&amp;"'!V8")</f>
        <v/>
      </c>
      <c r="Z248" s="30">
        <f t="array" ref="Z248">INDIRECT("'"&amp;$A248&amp;"'!W8")</f>
        <v/>
      </c>
      <c r="AA248" s="30">
        <f t="array" ref="AA248">INDIRECT("'"&amp;$A248&amp;"'!X8")</f>
        <v/>
      </c>
      <c r="AB248" s="30">
        <f t="array" ref="AB248">INDIRECT("'"&amp;$A248&amp;"'!Y8")</f>
        <v/>
      </c>
      <c r="AC248" s="30">
        <f t="array" ref="AC248">INDIRECT("'"&amp;$A248&amp;"'!Z8")</f>
        <v/>
      </c>
      <c r="AD248" s="31">
        <f t="array" ref="AD248">INDIRECT("'"&amp;$A248&amp;"'!AA8")</f>
        <v/>
      </c>
      <c r="AE248" s="79">
        <f t="array" ref="AE248">INDIRECT("'"&amp;$A249&amp;"'!J2")</f>
        <v/>
      </c>
      <c r="AF248" s="53">
        <f t="array" ref="AF248">INDIRECT("'"&amp;$A249&amp;"'!AD1")</f>
        <v/>
      </c>
    </row>
    <row r="249">
      <c r="A249" s="58" t="n">
        <v>83</v>
      </c>
      <c r="B249" s="105" t="n"/>
      <c r="C249" s="67">
        <f t="array" ref="C249">CONCATENATE("粮 ",INDIRECT("'"&amp;$A249&amp;"'!D4"))</f>
        <v/>
      </c>
      <c r="D249" s="55" t="inlineStr">
        <is>
          <t>2队</t>
        </is>
      </c>
      <c r="E249" s="80">
        <f t="array" ref="E249">INDIRECT("'"&amp;$A249&amp;"'!I3")</f>
        <v/>
      </c>
      <c r="F249" s="52">
        <f t="array" ref="F249">INDIRECT("'"&amp;$A249&amp;"'!C11")</f>
        <v/>
      </c>
      <c r="G249" s="3">
        <f t="array" ref="G249">INDIRECT("'"&amp;$A249&amp;"'!D11")</f>
        <v/>
      </c>
      <c r="H249" s="3">
        <f t="array" ref="H249">INDIRECT("'"&amp;$A249&amp;"'!E11")</f>
        <v/>
      </c>
      <c r="I249" s="3">
        <f t="array" ref="I249">INDIRECT("'"&amp;$A249&amp;"'!F11")</f>
        <v/>
      </c>
      <c r="J249" s="3">
        <f t="array" ref="J249">INDIRECT("'"&amp;$A249&amp;"'!G11")</f>
        <v/>
      </c>
      <c r="K249" s="3">
        <f t="array" ref="K249">INDIRECT("'"&amp;$A249&amp;"'!H11")</f>
        <v/>
      </c>
      <c r="L249" s="3">
        <f t="array" ref="L249">INDIRECT("'"&amp;$A249&amp;"'!I11")</f>
        <v/>
      </c>
      <c r="M249" s="3">
        <f t="array" ref="M249">INDIRECT("'"&amp;$A249&amp;"'!J11")</f>
        <v/>
      </c>
      <c r="N249" s="3">
        <f t="array" ref="N249">INDIRECT("'"&amp;$A249&amp;"'!K11")</f>
        <v/>
      </c>
      <c r="O249" s="3">
        <f t="array" ref="O249">INDIRECT("'"&amp;$A249&amp;"'!L11")</f>
        <v/>
      </c>
      <c r="P249" s="3">
        <f t="array" ref="P249">INDIRECT("'"&amp;$A249&amp;"'!M11")</f>
        <v/>
      </c>
      <c r="Q249" s="3">
        <f t="array" ref="Q249">INDIRECT("'"&amp;$A249&amp;"'!N11")</f>
        <v/>
      </c>
      <c r="R249" s="3">
        <f t="array" ref="R249">INDIRECT("'"&amp;$A249&amp;"'!O11")</f>
        <v/>
      </c>
      <c r="S249" s="3">
        <f t="array" ref="S249">INDIRECT("'"&amp;$A249&amp;"'!P11")</f>
        <v/>
      </c>
      <c r="T249" s="3">
        <f t="array" ref="T249">INDIRECT("'"&amp;$A249&amp;"'!Q11")</f>
        <v/>
      </c>
      <c r="U249" s="3">
        <f t="array" ref="U249">INDIRECT("'"&amp;$A249&amp;"'!R11")</f>
        <v/>
      </c>
      <c r="V249" s="3">
        <f t="array" ref="V249">INDIRECT("'"&amp;$A249&amp;"'!S11")</f>
        <v/>
      </c>
      <c r="W249" s="3">
        <f t="array" ref="W249">INDIRECT("'"&amp;$A249&amp;"'!T11")</f>
        <v/>
      </c>
      <c r="X249" s="3">
        <f t="array" ref="X249">INDIRECT("'"&amp;$A249&amp;"'!U11")</f>
        <v/>
      </c>
      <c r="Y249" s="3">
        <f t="array" ref="Y249">INDIRECT("'"&amp;$A249&amp;"'!V11")</f>
        <v/>
      </c>
      <c r="Z249" s="3">
        <f t="array" ref="Z249">INDIRECT("'"&amp;$A249&amp;"'!W11")</f>
        <v/>
      </c>
      <c r="AA249" s="3">
        <f t="array" ref="AA249">INDIRECT("'"&amp;$A249&amp;"'!X11")</f>
        <v/>
      </c>
      <c r="AB249" s="3">
        <f t="array" ref="AB249">INDIRECT("'"&amp;$A249&amp;"'!Y11")</f>
        <v/>
      </c>
      <c r="AC249" s="3">
        <f t="array" ref="AC249">INDIRECT("'"&amp;$A249&amp;"'!Z11")</f>
        <v/>
      </c>
      <c r="AD249" s="32">
        <f t="array" ref="AD249">INDIRECT("'"&amp;$A249&amp;"'!AA11")</f>
        <v/>
      </c>
      <c r="AE249" s="80">
        <f t="array" ref="AE249">INDIRECT("'"&amp;$A249&amp;"'!J3")</f>
        <v/>
      </c>
      <c r="AF249" s="53">
        <f t="array" ref="AF249">INDIRECT("'"&amp;$A249&amp;"'!AC1")</f>
        <v/>
      </c>
    </row>
    <row r="250" ht="15.75" customHeight="1" thickBot="1">
      <c r="A250" s="58" t="n">
        <v>83</v>
      </c>
      <c r="B250" s="106" t="n"/>
      <c r="C250" s="77">
        <f t="array" ref="C250">CONCATENATE("分 ",INDIRECT("'"&amp;$A249&amp;"'!D6"))</f>
        <v/>
      </c>
      <c r="D250" s="56" t="inlineStr">
        <is>
          <t>3队</t>
        </is>
      </c>
      <c r="E250" s="81">
        <f t="array" ref="E250">INDIRECT("'"&amp;$A249&amp;"'!I4")</f>
        <v/>
      </c>
      <c r="F250" s="52">
        <f t="array" ref="F250">INDIRECT("'"&amp;$A250&amp;"'!C14")</f>
        <v/>
      </c>
      <c r="G250" s="3">
        <f t="array" ref="G250">INDIRECT("'"&amp;$A250&amp;"'!D14")</f>
        <v/>
      </c>
      <c r="H250" s="3">
        <f t="array" ref="H250">INDIRECT("'"&amp;$A250&amp;"'!E14")</f>
        <v/>
      </c>
      <c r="I250" s="3">
        <f t="array" ref="I250">INDIRECT("'"&amp;$A250&amp;"'!F14")</f>
        <v/>
      </c>
      <c r="J250" s="3">
        <f t="array" ref="J250">INDIRECT("'"&amp;$A250&amp;"'!G14")</f>
        <v/>
      </c>
      <c r="K250" s="3">
        <f t="array" ref="K250">INDIRECT("'"&amp;$A250&amp;"'!H14")</f>
        <v/>
      </c>
      <c r="L250" s="3">
        <f t="array" ref="L250">INDIRECT("'"&amp;$A250&amp;"'!I14")</f>
        <v/>
      </c>
      <c r="M250" s="3">
        <f t="array" ref="M250">INDIRECT("'"&amp;$A250&amp;"'!J14")</f>
        <v/>
      </c>
      <c r="N250" s="3">
        <f t="array" ref="N250">INDIRECT("'"&amp;$A250&amp;"'!K14")</f>
        <v/>
      </c>
      <c r="O250" s="3">
        <f t="array" ref="O250">INDIRECT("'"&amp;$A250&amp;"'!L14")</f>
        <v/>
      </c>
      <c r="P250" s="3">
        <f t="array" ref="P250">INDIRECT("'"&amp;$A250&amp;"'!M14")</f>
        <v/>
      </c>
      <c r="Q250" s="3">
        <f t="array" ref="Q250">INDIRECT("'"&amp;$A250&amp;"'!N14")</f>
        <v/>
      </c>
      <c r="R250" s="3">
        <f t="array" ref="R250">INDIRECT("'"&amp;$A250&amp;"'!O14")</f>
        <v/>
      </c>
      <c r="S250" s="3">
        <f t="array" ref="S250">INDIRECT("'"&amp;$A250&amp;"'!P14")</f>
        <v/>
      </c>
      <c r="T250" s="3">
        <f t="array" ref="T250">INDIRECT("'"&amp;$A250&amp;"'!Q14")</f>
        <v/>
      </c>
      <c r="U250" s="3">
        <f t="array" ref="U250">INDIRECT("'"&amp;$A250&amp;"'!R14")</f>
        <v/>
      </c>
      <c r="V250" s="3">
        <f t="array" ref="V250">INDIRECT("'"&amp;$A250&amp;"'!S14")</f>
        <v/>
      </c>
      <c r="W250" s="3">
        <f t="array" ref="W250">INDIRECT("'"&amp;$A250&amp;"'!T14")</f>
        <v/>
      </c>
      <c r="X250" s="3">
        <f t="array" ref="X250">INDIRECT("'"&amp;$A250&amp;"'!U14")</f>
        <v/>
      </c>
      <c r="Y250" s="3">
        <f t="array" ref="Y250">INDIRECT("'"&amp;$A250&amp;"'!V14")</f>
        <v/>
      </c>
      <c r="Z250" s="3">
        <f t="array" ref="Z250">INDIRECT("'"&amp;$A250&amp;"'!W14")</f>
        <v/>
      </c>
      <c r="AA250" s="3">
        <f t="array" ref="AA250">INDIRECT("'"&amp;$A250&amp;"'!X14")</f>
        <v/>
      </c>
      <c r="AB250" s="3">
        <f t="array" ref="AB250">INDIRECT("'"&amp;$A250&amp;"'!Y14")</f>
        <v/>
      </c>
      <c r="AC250" s="3">
        <f t="array" ref="AC250">INDIRECT("'"&amp;$A250&amp;"'!Z14")</f>
        <v/>
      </c>
      <c r="AD250" s="32">
        <f t="array" ref="AD250">INDIRECT("'"&amp;$A250&amp;"'!AA14")</f>
        <v/>
      </c>
      <c r="AE250" s="81">
        <f t="array" ref="AE250">INDIRECT("'"&amp;$A249&amp;"'!J4")</f>
        <v/>
      </c>
      <c r="AF250" s="53" t="n"/>
    </row>
    <row r="251">
      <c r="A251" s="58" t="n">
        <v>84</v>
      </c>
      <c r="B251" s="103">
        <f>INDEX(data!$I$2:$I$98,MATCH(A251*1,data!$G$2:$G$98,0))</f>
        <v/>
      </c>
      <c r="C251" s="66">
        <f>HYPERLINK("#'" &amp; A251 &amp; "'!A1", "编辑")</f>
        <v/>
      </c>
      <c r="D251" s="54" t="inlineStr">
        <is>
          <t>1队</t>
        </is>
      </c>
      <c r="E251" s="79">
        <f t="array" ref="E251">INDIRECT("'"&amp;$A252&amp;"'!I2")</f>
        <v/>
      </c>
      <c r="F251" s="29">
        <f t="array" ref="F251">INDIRECT("'"&amp;$A251&amp;"'!C8")</f>
        <v/>
      </c>
      <c r="G251" s="30">
        <f t="array" ref="G251">INDIRECT("'"&amp;$A251&amp;"'!D8")</f>
        <v/>
      </c>
      <c r="H251" s="30">
        <f t="array" ref="H251">INDIRECT("'"&amp;$A251&amp;"'!E8")</f>
        <v/>
      </c>
      <c r="I251" s="30">
        <f t="array" ref="I251">INDIRECT("'"&amp;$A251&amp;"'!F8")</f>
        <v/>
      </c>
      <c r="J251" s="30">
        <f t="array" ref="J251">INDIRECT("'"&amp;$A251&amp;"'!G8")</f>
        <v/>
      </c>
      <c r="K251" s="30">
        <f t="array" ref="K251">INDIRECT("'"&amp;$A251&amp;"'!H8")</f>
        <v/>
      </c>
      <c r="L251" s="30">
        <f t="array" ref="L251">INDIRECT("'"&amp;$A251&amp;"'!I8")</f>
        <v/>
      </c>
      <c r="M251" s="30">
        <f t="array" ref="M251">INDIRECT("'"&amp;$A251&amp;"'!J8")</f>
        <v/>
      </c>
      <c r="N251" s="30">
        <f t="array" ref="N251">INDIRECT("'"&amp;$A251&amp;"'!K8")</f>
        <v/>
      </c>
      <c r="O251" s="30">
        <f t="array" ref="O251">INDIRECT("'"&amp;$A251&amp;"'!L8")</f>
        <v/>
      </c>
      <c r="P251" s="30">
        <f t="array" ref="P251">INDIRECT("'"&amp;$A251&amp;"'!M8")</f>
        <v/>
      </c>
      <c r="Q251" s="30">
        <f t="array" ref="Q251">INDIRECT("'"&amp;$A251&amp;"'!N8")</f>
        <v/>
      </c>
      <c r="R251" s="30">
        <f t="array" ref="R251">INDIRECT("'"&amp;$A251&amp;"'!O8")</f>
        <v/>
      </c>
      <c r="S251" s="30">
        <f t="array" ref="S251">INDIRECT("'"&amp;$A251&amp;"'!P8")</f>
        <v/>
      </c>
      <c r="T251" s="30">
        <f t="array" ref="T251">INDIRECT("'"&amp;$A251&amp;"'!Q8")</f>
        <v/>
      </c>
      <c r="U251" s="30">
        <f t="array" ref="U251">INDIRECT("'"&amp;$A251&amp;"'!R8")</f>
        <v/>
      </c>
      <c r="V251" s="30">
        <f t="array" ref="V251">INDIRECT("'"&amp;$A251&amp;"'!S8")</f>
        <v/>
      </c>
      <c r="W251" s="30">
        <f t="array" ref="W251">INDIRECT("'"&amp;$A251&amp;"'!T8")</f>
        <v/>
      </c>
      <c r="X251" s="30">
        <f t="array" ref="X251">INDIRECT("'"&amp;$A251&amp;"'!U8")</f>
        <v/>
      </c>
      <c r="Y251" s="30">
        <f t="array" ref="Y251">INDIRECT("'"&amp;$A251&amp;"'!V8")</f>
        <v/>
      </c>
      <c r="Z251" s="30">
        <f t="array" ref="Z251">INDIRECT("'"&amp;$A251&amp;"'!W8")</f>
        <v/>
      </c>
      <c r="AA251" s="30">
        <f t="array" ref="AA251">INDIRECT("'"&amp;$A251&amp;"'!X8")</f>
        <v/>
      </c>
      <c r="AB251" s="30">
        <f t="array" ref="AB251">INDIRECT("'"&amp;$A251&amp;"'!Y8")</f>
        <v/>
      </c>
      <c r="AC251" s="30">
        <f t="array" ref="AC251">INDIRECT("'"&amp;$A251&amp;"'!Z8")</f>
        <v/>
      </c>
      <c r="AD251" s="31">
        <f t="array" ref="AD251">INDIRECT("'"&amp;$A251&amp;"'!AA8")</f>
        <v/>
      </c>
      <c r="AE251" s="79">
        <f t="array" ref="AE251">INDIRECT("'"&amp;$A252&amp;"'!J2")</f>
        <v/>
      </c>
      <c r="AF251" s="53">
        <f t="array" ref="AF251">INDIRECT("'"&amp;$A252&amp;"'!AD1")</f>
        <v/>
      </c>
    </row>
    <row r="252">
      <c r="A252" s="58" t="n">
        <v>84</v>
      </c>
      <c r="B252" s="105" t="n"/>
      <c r="C252" s="67">
        <f t="array" ref="C252">CONCATENATE("粮 ",INDIRECT("'"&amp;$A252&amp;"'!D4"))</f>
        <v/>
      </c>
      <c r="D252" s="55" t="inlineStr">
        <is>
          <t>2队</t>
        </is>
      </c>
      <c r="E252" s="80">
        <f t="array" ref="E252">INDIRECT("'"&amp;$A252&amp;"'!I3")</f>
        <v/>
      </c>
      <c r="F252" s="52">
        <f t="array" ref="F252">INDIRECT("'"&amp;$A252&amp;"'!C11")</f>
        <v/>
      </c>
      <c r="G252" s="3">
        <f t="array" ref="G252">INDIRECT("'"&amp;$A252&amp;"'!D11")</f>
        <v/>
      </c>
      <c r="H252" s="3">
        <f t="array" ref="H252">INDIRECT("'"&amp;$A252&amp;"'!E11")</f>
        <v/>
      </c>
      <c r="I252" s="3">
        <f t="array" ref="I252">INDIRECT("'"&amp;$A252&amp;"'!F11")</f>
        <v/>
      </c>
      <c r="J252" s="3">
        <f t="array" ref="J252">INDIRECT("'"&amp;$A252&amp;"'!G11")</f>
        <v/>
      </c>
      <c r="K252" s="3">
        <f t="array" ref="K252">INDIRECT("'"&amp;$A252&amp;"'!H11")</f>
        <v/>
      </c>
      <c r="L252" s="3">
        <f t="array" ref="L252">INDIRECT("'"&amp;$A252&amp;"'!I11")</f>
        <v/>
      </c>
      <c r="M252" s="3">
        <f t="array" ref="M252">INDIRECT("'"&amp;$A252&amp;"'!J11")</f>
        <v/>
      </c>
      <c r="N252" s="3">
        <f t="array" ref="N252">INDIRECT("'"&amp;$A252&amp;"'!K11")</f>
        <v/>
      </c>
      <c r="O252" s="3">
        <f t="array" ref="O252">INDIRECT("'"&amp;$A252&amp;"'!L11")</f>
        <v/>
      </c>
      <c r="P252" s="3">
        <f t="array" ref="P252">INDIRECT("'"&amp;$A252&amp;"'!M11")</f>
        <v/>
      </c>
      <c r="Q252" s="3">
        <f t="array" ref="Q252">INDIRECT("'"&amp;$A252&amp;"'!N11")</f>
        <v/>
      </c>
      <c r="R252" s="3">
        <f t="array" ref="R252">INDIRECT("'"&amp;$A252&amp;"'!O11")</f>
        <v/>
      </c>
      <c r="S252" s="3">
        <f t="array" ref="S252">INDIRECT("'"&amp;$A252&amp;"'!P11")</f>
        <v/>
      </c>
      <c r="T252" s="3">
        <f t="array" ref="T252">INDIRECT("'"&amp;$A252&amp;"'!Q11")</f>
        <v/>
      </c>
      <c r="U252" s="3">
        <f t="array" ref="U252">INDIRECT("'"&amp;$A252&amp;"'!R11")</f>
        <v/>
      </c>
      <c r="V252" s="3">
        <f t="array" ref="V252">INDIRECT("'"&amp;$A252&amp;"'!S11")</f>
        <v/>
      </c>
      <c r="W252" s="3">
        <f t="array" ref="W252">INDIRECT("'"&amp;$A252&amp;"'!T11")</f>
        <v/>
      </c>
      <c r="X252" s="3">
        <f t="array" ref="X252">INDIRECT("'"&amp;$A252&amp;"'!U11")</f>
        <v/>
      </c>
      <c r="Y252" s="3">
        <f t="array" ref="Y252">INDIRECT("'"&amp;$A252&amp;"'!V11")</f>
        <v/>
      </c>
      <c r="Z252" s="3">
        <f t="array" ref="Z252">INDIRECT("'"&amp;$A252&amp;"'!W11")</f>
        <v/>
      </c>
      <c r="AA252" s="3">
        <f t="array" ref="AA252">INDIRECT("'"&amp;$A252&amp;"'!X11")</f>
        <v/>
      </c>
      <c r="AB252" s="3">
        <f t="array" ref="AB252">INDIRECT("'"&amp;$A252&amp;"'!Y11")</f>
        <v/>
      </c>
      <c r="AC252" s="3">
        <f t="array" ref="AC252">INDIRECT("'"&amp;$A252&amp;"'!Z11")</f>
        <v/>
      </c>
      <c r="AD252" s="32">
        <f t="array" ref="AD252">INDIRECT("'"&amp;$A252&amp;"'!AA11")</f>
        <v/>
      </c>
      <c r="AE252" s="80">
        <f t="array" ref="AE252">INDIRECT("'"&amp;$A252&amp;"'!J3")</f>
        <v/>
      </c>
      <c r="AF252" s="53">
        <f t="array" ref="AF252">INDIRECT("'"&amp;$A252&amp;"'!AC1")</f>
        <v/>
      </c>
    </row>
    <row r="253" ht="15.75" customHeight="1" thickBot="1">
      <c r="A253" s="58" t="n">
        <v>84</v>
      </c>
      <c r="B253" s="106" t="n"/>
      <c r="C253" s="77">
        <f t="array" ref="C253">CONCATENATE("分 ",INDIRECT("'"&amp;$A252&amp;"'!D6"))</f>
        <v/>
      </c>
      <c r="D253" s="56" t="inlineStr">
        <is>
          <t>3队</t>
        </is>
      </c>
      <c r="E253" s="81">
        <f t="array" ref="E253">INDIRECT("'"&amp;$A252&amp;"'!I4")</f>
        <v/>
      </c>
      <c r="F253" s="52">
        <f t="array" ref="F253">INDIRECT("'"&amp;$A253&amp;"'!C14")</f>
        <v/>
      </c>
      <c r="G253" s="3">
        <f t="array" ref="G253">INDIRECT("'"&amp;$A253&amp;"'!D14")</f>
        <v/>
      </c>
      <c r="H253" s="3">
        <f t="array" ref="H253">INDIRECT("'"&amp;$A253&amp;"'!E14")</f>
        <v/>
      </c>
      <c r="I253" s="3">
        <f t="array" ref="I253">INDIRECT("'"&amp;$A253&amp;"'!F14")</f>
        <v/>
      </c>
      <c r="J253" s="3">
        <f t="array" ref="J253">INDIRECT("'"&amp;$A253&amp;"'!G14")</f>
        <v/>
      </c>
      <c r="K253" s="3">
        <f t="array" ref="K253">INDIRECT("'"&amp;$A253&amp;"'!H14")</f>
        <v/>
      </c>
      <c r="L253" s="3">
        <f t="array" ref="L253">INDIRECT("'"&amp;$A253&amp;"'!I14")</f>
        <v/>
      </c>
      <c r="M253" s="3">
        <f t="array" ref="M253">INDIRECT("'"&amp;$A253&amp;"'!J14")</f>
        <v/>
      </c>
      <c r="N253" s="3">
        <f t="array" ref="N253">INDIRECT("'"&amp;$A253&amp;"'!K14")</f>
        <v/>
      </c>
      <c r="O253" s="3">
        <f t="array" ref="O253">INDIRECT("'"&amp;$A253&amp;"'!L14")</f>
        <v/>
      </c>
      <c r="P253" s="3">
        <f t="array" ref="P253">INDIRECT("'"&amp;$A253&amp;"'!M14")</f>
        <v/>
      </c>
      <c r="Q253" s="3">
        <f t="array" ref="Q253">INDIRECT("'"&amp;$A253&amp;"'!N14")</f>
        <v/>
      </c>
      <c r="R253" s="3">
        <f t="array" ref="R253">INDIRECT("'"&amp;$A253&amp;"'!O14")</f>
        <v/>
      </c>
      <c r="S253" s="3">
        <f t="array" ref="S253">INDIRECT("'"&amp;$A253&amp;"'!P14")</f>
        <v/>
      </c>
      <c r="T253" s="3">
        <f t="array" ref="T253">INDIRECT("'"&amp;$A253&amp;"'!Q14")</f>
        <v/>
      </c>
      <c r="U253" s="3">
        <f t="array" ref="U253">INDIRECT("'"&amp;$A253&amp;"'!R14")</f>
        <v/>
      </c>
      <c r="V253" s="3">
        <f t="array" ref="V253">INDIRECT("'"&amp;$A253&amp;"'!S14")</f>
        <v/>
      </c>
      <c r="W253" s="3">
        <f t="array" ref="W253">INDIRECT("'"&amp;$A253&amp;"'!T14")</f>
        <v/>
      </c>
      <c r="X253" s="3">
        <f t="array" ref="X253">INDIRECT("'"&amp;$A253&amp;"'!U14")</f>
        <v/>
      </c>
      <c r="Y253" s="3">
        <f t="array" ref="Y253">INDIRECT("'"&amp;$A253&amp;"'!V14")</f>
        <v/>
      </c>
      <c r="Z253" s="3">
        <f t="array" ref="Z253">INDIRECT("'"&amp;$A253&amp;"'!W14")</f>
        <v/>
      </c>
      <c r="AA253" s="3">
        <f t="array" ref="AA253">INDIRECT("'"&amp;$A253&amp;"'!X14")</f>
        <v/>
      </c>
      <c r="AB253" s="3">
        <f t="array" ref="AB253">INDIRECT("'"&amp;$A253&amp;"'!Y14")</f>
        <v/>
      </c>
      <c r="AC253" s="3">
        <f t="array" ref="AC253">INDIRECT("'"&amp;$A253&amp;"'!Z14")</f>
        <v/>
      </c>
      <c r="AD253" s="32">
        <f t="array" ref="AD253">INDIRECT("'"&amp;$A253&amp;"'!AA14")</f>
        <v/>
      </c>
      <c r="AE253" s="81">
        <f t="array" ref="AE253">INDIRECT("'"&amp;$A252&amp;"'!J4")</f>
        <v/>
      </c>
      <c r="AF253" s="53" t="n"/>
    </row>
    <row r="254">
      <c r="A254" s="58" t="n">
        <v>85</v>
      </c>
      <c r="B254" s="103">
        <f>INDEX(data!$I$2:$I$98,MATCH(A254*1,data!$G$2:$G$98,0))</f>
        <v/>
      </c>
      <c r="C254" s="66">
        <f>HYPERLINK("#'" &amp; A254 &amp; "'!A1", "编辑")</f>
        <v/>
      </c>
      <c r="D254" s="54" t="inlineStr">
        <is>
          <t>1队</t>
        </is>
      </c>
      <c r="E254" s="79">
        <f t="array" ref="E254">INDIRECT("'"&amp;$A255&amp;"'!I2")</f>
        <v/>
      </c>
      <c r="F254" s="29">
        <f t="array" ref="F254">INDIRECT("'"&amp;$A254&amp;"'!C8")</f>
        <v/>
      </c>
      <c r="G254" s="30">
        <f t="array" ref="G254">INDIRECT("'"&amp;$A254&amp;"'!D8")</f>
        <v/>
      </c>
      <c r="H254" s="30">
        <f t="array" ref="H254">INDIRECT("'"&amp;$A254&amp;"'!E8")</f>
        <v/>
      </c>
      <c r="I254" s="30">
        <f t="array" ref="I254">INDIRECT("'"&amp;$A254&amp;"'!F8")</f>
        <v/>
      </c>
      <c r="J254" s="30">
        <f t="array" ref="J254">INDIRECT("'"&amp;$A254&amp;"'!G8")</f>
        <v/>
      </c>
      <c r="K254" s="30">
        <f t="array" ref="K254">INDIRECT("'"&amp;$A254&amp;"'!H8")</f>
        <v/>
      </c>
      <c r="L254" s="30">
        <f t="array" ref="L254">INDIRECT("'"&amp;$A254&amp;"'!I8")</f>
        <v/>
      </c>
      <c r="M254" s="30">
        <f t="array" ref="M254">INDIRECT("'"&amp;$A254&amp;"'!J8")</f>
        <v/>
      </c>
      <c r="N254" s="30">
        <f t="array" ref="N254">INDIRECT("'"&amp;$A254&amp;"'!K8")</f>
        <v/>
      </c>
      <c r="O254" s="30">
        <f t="array" ref="O254">INDIRECT("'"&amp;$A254&amp;"'!L8")</f>
        <v/>
      </c>
      <c r="P254" s="30">
        <f t="array" ref="P254">INDIRECT("'"&amp;$A254&amp;"'!M8")</f>
        <v/>
      </c>
      <c r="Q254" s="30">
        <f t="array" ref="Q254">INDIRECT("'"&amp;$A254&amp;"'!N8")</f>
        <v/>
      </c>
      <c r="R254" s="30">
        <f t="array" ref="R254">INDIRECT("'"&amp;$A254&amp;"'!O8")</f>
        <v/>
      </c>
      <c r="S254" s="30">
        <f t="array" ref="S254">INDIRECT("'"&amp;$A254&amp;"'!P8")</f>
        <v/>
      </c>
      <c r="T254" s="30">
        <f t="array" ref="T254">INDIRECT("'"&amp;$A254&amp;"'!Q8")</f>
        <v/>
      </c>
      <c r="U254" s="30">
        <f t="array" ref="U254">INDIRECT("'"&amp;$A254&amp;"'!R8")</f>
        <v/>
      </c>
      <c r="V254" s="30">
        <f t="array" ref="V254">INDIRECT("'"&amp;$A254&amp;"'!S8")</f>
        <v/>
      </c>
      <c r="W254" s="30">
        <f t="array" ref="W254">INDIRECT("'"&amp;$A254&amp;"'!T8")</f>
        <v/>
      </c>
      <c r="X254" s="30">
        <f t="array" ref="X254">INDIRECT("'"&amp;$A254&amp;"'!U8")</f>
        <v/>
      </c>
      <c r="Y254" s="30">
        <f t="array" ref="Y254">INDIRECT("'"&amp;$A254&amp;"'!V8")</f>
        <v/>
      </c>
      <c r="Z254" s="30">
        <f t="array" ref="Z254">INDIRECT("'"&amp;$A254&amp;"'!W8")</f>
        <v/>
      </c>
      <c r="AA254" s="30">
        <f t="array" ref="AA254">INDIRECT("'"&amp;$A254&amp;"'!X8")</f>
        <v/>
      </c>
      <c r="AB254" s="30">
        <f t="array" ref="AB254">INDIRECT("'"&amp;$A254&amp;"'!Y8")</f>
        <v/>
      </c>
      <c r="AC254" s="30">
        <f t="array" ref="AC254">INDIRECT("'"&amp;$A254&amp;"'!Z8")</f>
        <v/>
      </c>
      <c r="AD254" s="31">
        <f t="array" ref="AD254">INDIRECT("'"&amp;$A254&amp;"'!AA8")</f>
        <v/>
      </c>
      <c r="AE254" s="79">
        <f t="array" ref="AE254">INDIRECT("'"&amp;$A255&amp;"'!J2")</f>
        <v/>
      </c>
      <c r="AF254" s="53">
        <f t="array" ref="AF254">INDIRECT("'"&amp;$A255&amp;"'!AD1")</f>
        <v/>
      </c>
    </row>
    <row r="255">
      <c r="A255" s="58" t="n">
        <v>85</v>
      </c>
      <c r="B255" s="105" t="n"/>
      <c r="C255" s="67">
        <f t="array" ref="C255">CONCATENATE("粮 ",INDIRECT("'"&amp;$A255&amp;"'!D4"))</f>
        <v/>
      </c>
      <c r="D255" s="55" t="inlineStr">
        <is>
          <t>2队</t>
        </is>
      </c>
      <c r="E255" s="80">
        <f t="array" ref="E255">INDIRECT("'"&amp;$A255&amp;"'!I3")</f>
        <v/>
      </c>
      <c r="F255" s="52">
        <f t="array" ref="F255">INDIRECT("'"&amp;$A255&amp;"'!C11")</f>
        <v/>
      </c>
      <c r="G255" s="3">
        <f t="array" ref="G255">INDIRECT("'"&amp;$A255&amp;"'!D11")</f>
        <v/>
      </c>
      <c r="H255" s="3">
        <f t="array" ref="H255">INDIRECT("'"&amp;$A255&amp;"'!E11")</f>
        <v/>
      </c>
      <c r="I255" s="3">
        <f t="array" ref="I255">INDIRECT("'"&amp;$A255&amp;"'!F11")</f>
        <v/>
      </c>
      <c r="J255" s="3">
        <f t="array" ref="J255">INDIRECT("'"&amp;$A255&amp;"'!G11")</f>
        <v/>
      </c>
      <c r="K255" s="3">
        <f t="array" ref="K255">INDIRECT("'"&amp;$A255&amp;"'!H11")</f>
        <v/>
      </c>
      <c r="L255" s="3">
        <f t="array" ref="L255">INDIRECT("'"&amp;$A255&amp;"'!I11")</f>
        <v/>
      </c>
      <c r="M255" s="3">
        <f t="array" ref="M255">INDIRECT("'"&amp;$A255&amp;"'!J11")</f>
        <v/>
      </c>
      <c r="N255" s="3">
        <f t="array" ref="N255">INDIRECT("'"&amp;$A255&amp;"'!K11")</f>
        <v/>
      </c>
      <c r="O255" s="3">
        <f t="array" ref="O255">INDIRECT("'"&amp;$A255&amp;"'!L11")</f>
        <v/>
      </c>
      <c r="P255" s="3">
        <f t="array" ref="P255">INDIRECT("'"&amp;$A255&amp;"'!M11")</f>
        <v/>
      </c>
      <c r="Q255" s="3">
        <f t="array" ref="Q255">INDIRECT("'"&amp;$A255&amp;"'!N11")</f>
        <v/>
      </c>
      <c r="R255" s="3">
        <f t="array" ref="R255">INDIRECT("'"&amp;$A255&amp;"'!O11")</f>
        <v/>
      </c>
      <c r="S255" s="3">
        <f t="array" ref="S255">INDIRECT("'"&amp;$A255&amp;"'!P11")</f>
        <v/>
      </c>
      <c r="T255" s="3">
        <f t="array" ref="T255">INDIRECT("'"&amp;$A255&amp;"'!Q11")</f>
        <v/>
      </c>
      <c r="U255" s="3">
        <f t="array" ref="U255">INDIRECT("'"&amp;$A255&amp;"'!R11")</f>
        <v/>
      </c>
      <c r="V255" s="3">
        <f t="array" ref="V255">INDIRECT("'"&amp;$A255&amp;"'!S11")</f>
        <v/>
      </c>
      <c r="W255" s="3">
        <f t="array" ref="W255">INDIRECT("'"&amp;$A255&amp;"'!T11")</f>
        <v/>
      </c>
      <c r="X255" s="3">
        <f t="array" ref="X255">INDIRECT("'"&amp;$A255&amp;"'!U11")</f>
        <v/>
      </c>
      <c r="Y255" s="3">
        <f t="array" ref="Y255">INDIRECT("'"&amp;$A255&amp;"'!V11")</f>
        <v/>
      </c>
      <c r="Z255" s="3">
        <f t="array" ref="Z255">INDIRECT("'"&amp;$A255&amp;"'!W11")</f>
        <v/>
      </c>
      <c r="AA255" s="3">
        <f t="array" ref="AA255">INDIRECT("'"&amp;$A255&amp;"'!X11")</f>
        <v/>
      </c>
      <c r="AB255" s="3">
        <f t="array" ref="AB255">INDIRECT("'"&amp;$A255&amp;"'!Y11")</f>
        <v/>
      </c>
      <c r="AC255" s="3">
        <f t="array" ref="AC255">INDIRECT("'"&amp;$A255&amp;"'!Z11")</f>
        <v/>
      </c>
      <c r="AD255" s="32">
        <f t="array" ref="AD255">INDIRECT("'"&amp;$A255&amp;"'!AA11")</f>
        <v/>
      </c>
      <c r="AE255" s="80">
        <f t="array" ref="AE255">INDIRECT("'"&amp;$A255&amp;"'!J3")</f>
        <v/>
      </c>
      <c r="AF255" s="53">
        <f t="array" ref="AF255">INDIRECT("'"&amp;$A255&amp;"'!AC1")</f>
        <v/>
      </c>
    </row>
    <row r="256" ht="15.75" customHeight="1" thickBot="1">
      <c r="A256" s="58" t="n">
        <v>85</v>
      </c>
      <c r="B256" s="106" t="n"/>
      <c r="C256" s="77">
        <f t="array" ref="C256">CONCATENATE("分 ",INDIRECT("'"&amp;$A255&amp;"'!D6"))</f>
        <v/>
      </c>
      <c r="D256" s="56" t="inlineStr">
        <is>
          <t>3队</t>
        </is>
      </c>
      <c r="E256" s="81">
        <f t="array" ref="E256">INDIRECT("'"&amp;$A255&amp;"'!I4")</f>
        <v/>
      </c>
      <c r="F256" s="52">
        <f t="array" ref="F256">INDIRECT("'"&amp;$A256&amp;"'!C14")</f>
        <v/>
      </c>
      <c r="G256" s="3">
        <f t="array" ref="G256">INDIRECT("'"&amp;$A256&amp;"'!D14")</f>
        <v/>
      </c>
      <c r="H256" s="3">
        <f t="array" ref="H256">INDIRECT("'"&amp;$A256&amp;"'!E14")</f>
        <v/>
      </c>
      <c r="I256" s="3">
        <f t="array" ref="I256">INDIRECT("'"&amp;$A256&amp;"'!F14")</f>
        <v/>
      </c>
      <c r="J256" s="3">
        <f t="array" ref="J256">INDIRECT("'"&amp;$A256&amp;"'!G14")</f>
        <v/>
      </c>
      <c r="K256" s="3">
        <f t="array" ref="K256">INDIRECT("'"&amp;$A256&amp;"'!H14")</f>
        <v/>
      </c>
      <c r="L256" s="3">
        <f t="array" ref="L256">INDIRECT("'"&amp;$A256&amp;"'!I14")</f>
        <v/>
      </c>
      <c r="M256" s="3">
        <f t="array" ref="M256">INDIRECT("'"&amp;$A256&amp;"'!J14")</f>
        <v/>
      </c>
      <c r="N256" s="3">
        <f t="array" ref="N256">INDIRECT("'"&amp;$A256&amp;"'!K14")</f>
        <v/>
      </c>
      <c r="O256" s="3">
        <f t="array" ref="O256">INDIRECT("'"&amp;$A256&amp;"'!L14")</f>
        <v/>
      </c>
      <c r="P256" s="3">
        <f t="array" ref="P256">INDIRECT("'"&amp;$A256&amp;"'!M14")</f>
        <v/>
      </c>
      <c r="Q256" s="3">
        <f t="array" ref="Q256">INDIRECT("'"&amp;$A256&amp;"'!N14")</f>
        <v/>
      </c>
      <c r="R256" s="3">
        <f t="array" ref="R256">INDIRECT("'"&amp;$A256&amp;"'!O14")</f>
        <v/>
      </c>
      <c r="S256" s="3">
        <f t="array" ref="S256">INDIRECT("'"&amp;$A256&amp;"'!P14")</f>
        <v/>
      </c>
      <c r="T256" s="3">
        <f t="array" ref="T256">INDIRECT("'"&amp;$A256&amp;"'!Q14")</f>
        <v/>
      </c>
      <c r="U256" s="3">
        <f t="array" ref="U256">INDIRECT("'"&amp;$A256&amp;"'!R14")</f>
        <v/>
      </c>
      <c r="V256" s="3">
        <f t="array" ref="V256">INDIRECT("'"&amp;$A256&amp;"'!S14")</f>
        <v/>
      </c>
      <c r="W256" s="3">
        <f t="array" ref="W256">INDIRECT("'"&amp;$A256&amp;"'!T14")</f>
        <v/>
      </c>
      <c r="X256" s="3">
        <f t="array" ref="X256">INDIRECT("'"&amp;$A256&amp;"'!U14")</f>
        <v/>
      </c>
      <c r="Y256" s="3">
        <f t="array" ref="Y256">INDIRECT("'"&amp;$A256&amp;"'!V14")</f>
        <v/>
      </c>
      <c r="Z256" s="3">
        <f t="array" ref="Z256">INDIRECT("'"&amp;$A256&amp;"'!W14")</f>
        <v/>
      </c>
      <c r="AA256" s="3">
        <f t="array" ref="AA256">INDIRECT("'"&amp;$A256&amp;"'!X14")</f>
        <v/>
      </c>
      <c r="AB256" s="3">
        <f t="array" ref="AB256">INDIRECT("'"&amp;$A256&amp;"'!Y14")</f>
        <v/>
      </c>
      <c r="AC256" s="3">
        <f t="array" ref="AC256">INDIRECT("'"&amp;$A256&amp;"'!Z14")</f>
        <v/>
      </c>
      <c r="AD256" s="32">
        <f t="array" ref="AD256">INDIRECT("'"&amp;$A256&amp;"'!AA14")</f>
        <v/>
      </c>
      <c r="AE256" s="81">
        <f t="array" ref="AE256">INDIRECT("'"&amp;$A255&amp;"'!J4")</f>
        <v/>
      </c>
      <c r="AF256" s="53" t="n"/>
    </row>
    <row r="257">
      <c r="A257" s="58" t="n">
        <v>86</v>
      </c>
      <c r="B257" s="103">
        <f>INDEX(data!$I$2:$I$98,MATCH(A257*1,data!$G$2:$G$98,0))</f>
        <v/>
      </c>
      <c r="C257" s="66">
        <f>HYPERLINK("#'" &amp; A257 &amp; "'!A1", "编辑")</f>
        <v/>
      </c>
      <c r="D257" s="54" t="inlineStr">
        <is>
          <t>1队</t>
        </is>
      </c>
      <c r="E257" s="79">
        <f t="array" ref="E257">INDIRECT("'"&amp;$A258&amp;"'!I2")</f>
        <v/>
      </c>
      <c r="F257" s="29">
        <f t="array" ref="F257">INDIRECT("'"&amp;$A257&amp;"'!C8")</f>
        <v/>
      </c>
      <c r="G257" s="30">
        <f t="array" ref="G257">INDIRECT("'"&amp;$A257&amp;"'!D8")</f>
        <v/>
      </c>
      <c r="H257" s="30">
        <f t="array" ref="H257">INDIRECT("'"&amp;$A257&amp;"'!E8")</f>
        <v/>
      </c>
      <c r="I257" s="30">
        <f t="array" ref="I257">INDIRECT("'"&amp;$A257&amp;"'!F8")</f>
        <v/>
      </c>
      <c r="J257" s="30">
        <f t="array" ref="J257">INDIRECT("'"&amp;$A257&amp;"'!G8")</f>
        <v/>
      </c>
      <c r="K257" s="30">
        <f t="array" ref="K257">INDIRECT("'"&amp;$A257&amp;"'!H8")</f>
        <v/>
      </c>
      <c r="L257" s="30">
        <f t="array" ref="L257">INDIRECT("'"&amp;$A257&amp;"'!I8")</f>
        <v/>
      </c>
      <c r="M257" s="30">
        <f t="array" ref="M257">INDIRECT("'"&amp;$A257&amp;"'!J8")</f>
        <v/>
      </c>
      <c r="N257" s="30">
        <f t="array" ref="N257">INDIRECT("'"&amp;$A257&amp;"'!K8")</f>
        <v/>
      </c>
      <c r="O257" s="30">
        <f t="array" ref="O257">INDIRECT("'"&amp;$A257&amp;"'!L8")</f>
        <v/>
      </c>
      <c r="P257" s="30">
        <f t="array" ref="P257">INDIRECT("'"&amp;$A257&amp;"'!M8")</f>
        <v/>
      </c>
      <c r="Q257" s="30">
        <f t="array" ref="Q257">INDIRECT("'"&amp;$A257&amp;"'!N8")</f>
        <v/>
      </c>
      <c r="R257" s="30">
        <f t="array" ref="R257">INDIRECT("'"&amp;$A257&amp;"'!O8")</f>
        <v/>
      </c>
      <c r="S257" s="30">
        <f t="array" ref="S257">INDIRECT("'"&amp;$A257&amp;"'!P8")</f>
        <v/>
      </c>
      <c r="T257" s="30">
        <f t="array" ref="T257">INDIRECT("'"&amp;$A257&amp;"'!Q8")</f>
        <v/>
      </c>
      <c r="U257" s="30">
        <f t="array" ref="U257">INDIRECT("'"&amp;$A257&amp;"'!R8")</f>
        <v/>
      </c>
      <c r="V257" s="30">
        <f t="array" ref="V257">INDIRECT("'"&amp;$A257&amp;"'!S8")</f>
        <v/>
      </c>
      <c r="W257" s="30">
        <f t="array" ref="W257">INDIRECT("'"&amp;$A257&amp;"'!T8")</f>
        <v/>
      </c>
      <c r="X257" s="30">
        <f t="array" ref="X257">INDIRECT("'"&amp;$A257&amp;"'!U8")</f>
        <v/>
      </c>
      <c r="Y257" s="30">
        <f t="array" ref="Y257">INDIRECT("'"&amp;$A257&amp;"'!V8")</f>
        <v/>
      </c>
      <c r="Z257" s="30">
        <f t="array" ref="Z257">INDIRECT("'"&amp;$A257&amp;"'!W8")</f>
        <v/>
      </c>
      <c r="AA257" s="30">
        <f t="array" ref="AA257">INDIRECT("'"&amp;$A257&amp;"'!X8")</f>
        <v/>
      </c>
      <c r="AB257" s="30">
        <f t="array" ref="AB257">INDIRECT("'"&amp;$A257&amp;"'!Y8")</f>
        <v/>
      </c>
      <c r="AC257" s="30">
        <f t="array" ref="AC257">INDIRECT("'"&amp;$A257&amp;"'!Z8")</f>
        <v/>
      </c>
      <c r="AD257" s="31">
        <f t="array" ref="AD257">INDIRECT("'"&amp;$A257&amp;"'!AA8")</f>
        <v/>
      </c>
      <c r="AE257" s="79">
        <f t="array" ref="AE257">INDIRECT("'"&amp;$A258&amp;"'!J2")</f>
        <v/>
      </c>
      <c r="AF257" s="53">
        <f t="array" ref="AF257">INDIRECT("'"&amp;$A258&amp;"'!AD1")</f>
        <v/>
      </c>
    </row>
    <row r="258">
      <c r="A258" s="58" t="n">
        <v>86</v>
      </c>
      <c r="B258" s="105" t="n"/>
      <c r="C258" s="67">
        <f t="array" ref="C258">CONCATENATE("粮 ",INDIRECT("'"&amp;$A258&amp;"'!D4"))</f>
        <v/>
      </c>
      <c r="D258" s="55" t="inlineStr">
        <is>
          <t>2队</t>
        </is>
      </c>
      <c r="E258" s="80">
        <f t="array" ref="E258">INDIRECT("'"&amp;$A258&amp;"'!I3")</f>
        <v/>
      </c>
      <c r="F258" s="52">
        <f t="array" ref="F258">INDIRECT("'"&amp;$A258&amp;"'!C11")</f>
        <v/>
      </c>
      <c r="G258" s="3">
        <f t="array" ref="G258">INDIRECT("'"&amp;$A258&amp;"'!D11")</f>
        <v/>
      </c>
      <c r="H258" s="3">
        <f t="array" ref="H258">INDIRECT("'"&amp;$A258&amp;"'!E11")</f>
        <v/>
      </c>
      <c r="I258" s="3">
        <f t="array" ref="I258">INDIRECT("'"&amp;$A258&amp;"'!F11")</f>
        <v/>
      </c>
      <c r="J258" s="3">
        <f t="array" ref="J258">INDIRECT("'"&amp;$A258&amp;"'!G11")</f>
        <v/>
      </c>
      <c r="K258" s="3">
        <f t="array" ref="K258">INDIRECT("'"&amp;$A258&amp;"'!H11")</f>
        <v/>
      </c>
      <c r="L258" s="3">
        <f t="array" ref="L258">INDIRECT("'"&amp;$A258&amp;"'!I11")</f>
        <v/>
      </c>
      <c r="M258" s="3">
        <f t="array" ref="M258">INDIRECT("'"&amp;$A258&amp;"'!J11")</f>
        <v/>
      </c>
      <c r="N258" s="3">
        <f t="array" ref="N258">INDIRECT("'"&amp;$A258&amp;"'!K11")</f>
        <v/>
      </c>
      <c r="O258" s="3">
        <f t="array" ref="O258">INDIRECT("'"&amp;$A258&amp;"'!L11")</f>
        <v/>
      </c>
      <c r="P258" s="3">
        <f t="array" ref="P258">INDIRECT("'"&amp;$A258&amp;"'!M11")</f>
        <v/>
      </c>
      <c r="Q258" s="3">
        <f t="array" ref="Q258">INDIRECT("'"&amp;$A258&amp;"'!N11")</f>
        <v/>
      </c>
      <c r="R258" s="3">
        <f t="array" ref="R258">INDIRECT("'"&amp;$A258&amp;"'!O11")</f>
        <v/>
      </c>
      <c r="S258" s="3">
        <f t="array" ref="S258">INDIRECT("'"&amp;$A258&amp;"'!P11")</f>
        <v/>
      </c>
      <c r="T258" s="3">
        <f t="array" ref="T258">INDIRECT("'"&amp;$A258&amp;"'!Q11")</f>
        <v/>
      </c>
      <c r="U258" s="3">
        <f t="array" ref="U258">INDIRECT("'"&amp;$A258&amp;"'!R11")</f>
        <v/>
      </c>
      <c r="V258" s="3">
        <f t="array" ref="V258">INDIRECT("'"&amp;$A258&amp;"'!S11")</f>
        <v/>
      </c>
      <c r="W258" s="3">
        <f t="array" ref="W258">INDIRECT("'"&amp;$A258&amp;"'!T11")</f>
        <v/>
      </c>
      <c r="X258" s="3">
        <f t="array" ref="X258">INDIRECT("'"&amp;$A258&amp;"'!U11")</f>
        <v/>
      </c>
      <c r="Y258" s="3">
        <f t="array" ref="Y258">INDIRECT("'"&amp;$A258&amp;"'!V11")</f>
        <v/>
      </c>
      <c r="Z258" s="3">
        <f t="array" ref="Z258">INDIRECT("'"&amp;$A258&amp;"'!W11")</f>
        <v/>
      </c>
      <c r="AA258" s="3">
        <f t="array" ref="AA258">INDIRECT("'"&amp;$A258&amp;"'!X11")</f>
        <v/>
      </c>
      <c r="AB258" s="3">
        <f t="array" ref="AB258">INDIRECT("'"&amp;$A258&amp;"'!Y11")</f>
        <v/>
      </c>
      <c r="AC258" s="3">
        <f t="array" ref="AC258">INDIRECT("'"&amp;$A258&amp;"'!Z11")</f>
        <v/>
      </c>
      <c r="AD258" s="32">
        <f t="array" ref="AD258">INDIRECT("'"&amp;$A258&amp;"'!AA11")</f>
        <v/>
      </c>
      <c r="AE258" s="80">
        <f t="array" ref="AE258">INDIRECT("'"&amp;$A258&amp;"'!J3")</f>
        <v/>
      </c>
      <c r="AF258" s="53">
        <f t="array" ref="AF258">INDIRECT("'"&amp;$A258&amp;"'!AC1")</f>
        <v/>
      </c>
    </row>
    <row r="259" ht="15.75" customHeight="1" thickBot="1">
      <c r="A259" s="58" t="n">
        <v>86</v>
      </c>
      <c r="B259" s="106" t="n"/>
      <c r="C259" s="77">
        <f t="array" ref="C259">CONCATENATE("分 ",INDIRECT("'"&amp;$A258&amp;"'!D6"))</f>
        <v/>
      </c>
      <c r="D259" s="56" t="inlineStr">
        <is>
          <t>3队</t>
        </is>
      </c>
      <c r="E259" s="81">
        <f t="array" ref="E259">INDIRECT("'"&amp;$A258&amp;"'!I4")</f>
        <v/>
      </c>
      <c r="F259" s="52">
        <f t="array" ref="F259">INDIRECT("'"&amp;$A259&amp;"'!C14")</f>
        <v/>
      </c>
      <c r="G259" s="3">
        <f t="array" ref="G259">INDIRECT("'"&amp;$A259&amp;"'!D14")</f>
        <v/>
      </c>
      <c r="H259" s="3">
        <f t="array" ref="H259">INDIRECT("'"&amp;$A259&amp;"'!E14")</f>
        <v/>
      </c>
      <c r="I259" s="3">
        <f t="array" ref="I259">INDIRECT("'"&amp;$A259&amp;"'!F14")</f>
        <v/>
      </c>
      <c r="J259" s="3">
        <f t="array" ref="J259">INDIRECT("'"&amp;$A259&amp;"'!G14")</f>
        <v/>
      </c>
      <c r="K259" s="3">
        <f t="array" ref="K259">INDIRECT("'"&amp;$A259&amp;"'!H14")</f>
        <v/>
      </c>
      <c r="L259" s="3">
        <f t="array" ref="L259">INDIRECT("'"&amp;$A259&amp;"'!I14")</f>
        <v/>
      </c>
      <c r="M259" s="3">
        <f t="array" ref="M259">INDIRECT("'"&amp;$A259&amp;"'!J14")</f>
        <v/>
      </c>
      <c r="N259" s="3">
        <f t="array" ref="N259">INDIRECT("'"&amp;$A259&amp;"'!K14")</f>
        <v/>
      </c>
      <c r="O259" s="3">
        <f t="array" ref="O259">INDIRECT("'"&amp;$A259&amp;"'!L14")</f>
        <v/>
      </c>
      <c r="P259" s="3">
        <f t="array" ref="P259">INDIRECT("'"&amp;$A259&amp;"'!M14")</f>
        <v/>
      </c>
      <c r="Q259" s="3">
        <f t="array" ref="Q259">INDIRECT("'"&amp;$A259&amp;"'!N14")</f>
        <v/>
      </c>
      <c r="R259" s="3">
        <f t="array" ref="R259">INDIRECT("'"&amp;$A259&amp;"'!O14")</f>
        <v/>
      </c>
      <c r="S259" s="3">
        <f t="array" ref="S259">INDIRECT("'"&amp;$A259&amp;"'!P14")</f>
        <v/>
      </c>
      <c r="T259" s="3">
        <f t="array" ref="T259">INDIRECT("'"&amp;$A259&amp;"'!Q14")</f>
        <v/>
      </c>
      <c r="U259" s="3">
        <f t="array" ref="U259">INDIRECT("'"&amp;$A259&amp;"'!R14")</f>
        <v/>
      </c>
      <c r="V259" s="3">
        <f t="array" ref="V259">INDIRECT("'"&amp;$A259&amp;"'!S14")</f>
        <v/>
      </c>
      <c r="W259" s="3">
        <f t="array" ref="W259">INDIRECT("'"&amp;$A259&amp;"'!T14")</f>
        <v/>
      </c>
      <c r="X259" s="3">
        <f t="array" ref="X259">INDIRECT("'"&amp;$A259&amp;"'!U14")</f>
        <v/>
      </c>
      <c r="Y259" s="3">
        <f t="array" ref="Y259">INDIRECT("'"&amp;$A259&amp;"'!V14")</f>
        <v/>
      </c>
      <c r="Z259" s="3">
        <f t="array" ref="Z259">INDIRECT("'"&amp;$A259&amp;"'!W14")</f>
        <v/>
      </c>
      <c r="AA259" s="3">
        <f t="array" ref="AA259">INDIRECT("'"&amp;$A259&amp;"'!X14")</f>
        <v/>
      </c>
      <c r="AB259" s="3">
        <f t="array" ref="AB259">INDIRECT("'"&amp;$A259&amp;"'!Y14")</f>
        <v/>
      </c>
      <c r="AC259" s="3">
        <f t="array" ref="AC259">INDIRECT("'"&amp;$A259&amp;"'!Z14")</f>
        <v/>
      </c>
      <c r="AD259" s="32">
        <f t="array" ref="AD259">INDIRECT("'"&amp;$A259&amp;"'!AA14")</f>
        <v/>
      </c>
      <c r="AE259" s="81">
        <f t="array" ref="AE259">INDIRECT("'"&amp;$A258&amp;"'!J4")</f>
        <v/>
      </c>
      <c r="AF259" s="53" t="n"/>
    </row>
    <row r="260">
      <c r="A260" s="58" t="n">
        <v>87</v>
      </c>
      <c r="B260" s="103">
        <f>INDEX(data!$I$2:$I$98,MATCH(A260*1,data!$G$2:$G$98,0))</f>
        <v/>
      </c>
      <c r="C260" s="66">
        <f>HYPERLINK("#'" &amp; A260 &amp; "'!A1", "编辑")</f>
        <v/>
      </c>
      <c r="D260" s="54" t="inlineStr">
        <is>
          <t>1队</t>
        </is>
      </c>
      <c r="E260" s="79">
        <f t="array" ref="E260">INDIRECT("'"&amp;$A261&amp;"'!I2")</f>
        <v/>
      </c>
      <c r="F260" s="29">
        <f t="array" ref="F260">INDIRECT("'"&amp;$A260&amp;"'!C8")</f>
        <v/>
      </c>
      <c r="G260" s="30">
        <f t="array" ref="G260">INDIRECT("'"&amp;$A260&amp;"'!D8")</f>
        <v/>
      </c>
      <c r="H260" s="30">
        <f t="array" ref="H260">INDIRECT("'"&amp;$A260&amp;"'!E8")</f>
        <v/>
      </c>
      <c r="I260" s="30">
        <f t="array" ref="I260">INDIRECT("'"&amp;$A260&amp;"'!F8")</f>
        <v/>
      </c>
      <c r="J260" s="30">
        <f t="array" ref="J260">INDIRECT("'"&amp;$A260&amp;"'!G8")</f>
        <v/>
      </c>
      <c r="K260" s="30">
        <f t="array" ref="K260">INDIRECT("'"&amp;$A260&amp;"'!H8")</f>
        <v/>
      </c>
      <c r="L260" s="30">
        <f t="array" ref="L260">INDIRECT("'"&amp;$A260&amp;"'!I8")</f>
        <v/>
      </c>
      <c r="M260" s="30">
        <f t="array" ref="M260">INDIRECT("'"&amp;$A260&amp;"'!J8")</f>
        <v/>
      </c>
      <c r="N260" s="30">
        <f t="array" ref="N260">INDIRECT("'"&amp;$A260&amp;"'!K8")</f>
        <v/>
      </c>
      <c r="O260" s="30">
        <f t="array" ref="O260">INDIRECT("'"&amp;$A260&amp;"'!L8")</f>
        <v/>
      </c>
      <c r="P260" s="30">
        <f t="array" ref="P260">INDIRECT("'"&amp;$A260&amp;"'!M8")</f>
        <v/>
      </c>
      <c r="Q260" s="30">
        <f t="array" ref="Q260">INDIRECT("'"&amp;$A260&amp;"'!N8")</f>
        <v/>
      </c>
      <c r="R260" s="30">
        <f t="array" ref="R260">INDIRECT("'"&amp;$A260&amp;"'!O8")</f>
        <v/>
      </c>
      <c r="S260" s="30">
        <f t="array" ref="S260">INDIRECT("'"&amp;$A260&amp;"'!P8")</f>
        <v/>
      </c>
      <c r="T260" s="30">
        <f t="array" ref="T260">INDIRECT("'"&amp;$A260&amp;"'!Q8")</f>
        <v/>
      </c>
      <c r="U260" s="30">
        <f t="array" ref="U260">INDIRECT("'"&amp;$A260&amp;"'!R8")</f>
        <v/>
      </c>
      <c r="V260" s="30">
        <f t="array" ref="V260">INDIRECT("'"&amp;$A260&amp;"'!S8")</f>
        <v/>
      </c>
      <c r="W260" s="30">
        <f t="array" ref="W260">INDIRECT("'"&amp;$A260&amp;"'!T8")</f>
        <v/>
      </c>
      <c r="X260" s="30">
        <f t="array" ref="X260">INDIRECT("'"&amp;$A260&amp;"'!U8")</f>
        <v/>
      </c>
      <c r="Y260" s="30">
        <f t="array" ref="Y260">INDIRECT("'"&amp;$A260&amp;"'!V8")</f>
        <v/>
      </c>
      <c r="Z260" s="30">
        <f t="array" ref="Z260">INDIRECT("'"&amp;$A260&amp;"'!W8")</f>
        <v/>
      </c>
      <c r="AA260" s="30">
        <f t="array" ref="AA260">INDIRECT("'"&amp;$A260&amp;"'!X8")</f>
        <v/>
      </c>
      <c r="AB260" s="30">
        <f t="array" ref="AB260">INDIRECT("'"&amp;$A260&amp;"'!Y8")</f>
        <v/>
      </c>
      <c r="AC260" s="30">
        <f t="array" ref="AC260">INDIRECT("'"&amp;$A260&amp;"'!Z8")</f>
        <v/>
      </c>
      <c r="AD260" s="31">
        <f t="array" ref="AD260">INDIRECT("'"&amp;$A260&amp;"'!AA8")</f>
        <v/>
      </c>
      <c r="AE260" s="79">
        <f t="array" ref="AE260">INDIRECT("'"&amp;$A261&amp;"'!J2")</f>
        <v/>
      </c>
      <c r="AF260" s="53">
        <f t="array" ref="AF260">INDIRECT("'"&amp;$A261&amp;"'!AD1")</f>
        <v/>
      </c>
    </row>
    <row r="261">
      <c r="A261" s="58" t="n">
        <v>87</v>
      </c>
      <c r="B261" s="105" t="n"/>
      <c r="C261" s="67">
        <f t="array" ref="C261">CONCATENATE("粮 ",INDIRECT("'"&amp;$A261&amp;"'!D4"))</f>
        <v/>
      </c>
      <c r="D261" s="55" t="inlineStr">
        <is>
          <t>2队</t>
        </is>
      </c>
      <c r="E261" s="80">
        <f t="array" ref="E261">INDIRECT("'"&amp;$A261&amp;"'!I3")</f>
        <v/>
      </c>
      <c r="F261" s="52">
        <f t="array" ref="F261">INDIRECT("'"&amp;$A261&amp;"'!C11")</f>
        <v/>
      </c>
      <c r="G261" s="3">
        <f t="array" ref="G261">INDIRECT("'"&amp;$A261&amp;"'!D11")</f>
        <v/>
      </c>
      <c r="H261" s="3">
        <f t="array" ref="H261">INDIRECT("'"&amp;$A261&amp;"'!E11")</f>
        <v/>
      </c>
      <c r="I261" s="3">
        <f t="array" ref="I261">INDIRECT("'"&amp;$A261&amp;"'!F11")</f>
        <v/>
      </c>
      <c r="J261" s="3">
        <f t="array" ref="J261">INDIRECT("'"&amp;$A261&amp;"'!G11")</f>
        <v/>
      </c>
      <c r="K261" s="3">
        <f t="array" ref="K261">INDIRECT("'"&amp;$A261&amp;"'!H11")</f>
        <v/>
      </c>
      <c r="L261" s="3">
        <f t="array" ref="L261">INDIRECT("'"&amp;$A261&amp;"'!I11")</f>
        <v/>
      </c>
      <c r="M261" s="3">
        <f t="array" ref="M261">INDIRECT("'"&amp;$A261&amp;"'!J11")</f>
        <v/>
      </c>
      <c r="N261" s="3">
        <f t="array" ref="N261">INDIRECT("'"&amp;$A261&amp;"'!K11")</f>
        <v/>
      </c>
      <c r="O261" s="3">
        <f t="array" ref="O261">INDIRECT("'"&amp;$A261&amp;"'!L11")</f>
        <v/>
      </c>
      <c r="P261" s="3">
        <f t="array" ref="P261">INDIRECT("'"&amp;$A261&amp;"'!M11")</f>
        <v/>
      </c>
      <c r="Q261" s="3">
        <f t="array" ref="Q261">INDIRECT("'"&amp;$A261&amp;"'!N11")</f>
        <v/>
      </c>
      <c r="R261" s="3">
        <f t="array" ref="R261">INDIRECT("'"&amp;$A261&amp;"'!O11")</f>
        <v/>
      </c>
      <c r="S261" s="3">
        <f t="array" ref="S261">INDIRECT("'"&amp;$A261&amp;"'!P11")</f>
        <v/>
      </c>
      <c r="T261" s="3">
        <f t="array" ref="T261">INDIRECT("'"&amp;$A261&amp;"'!Q11")</f>
        <v/>
      </c>
      <c r="U261" s="3">
        <f t="array" ref="U261">INDIRECT("'"&amp;$A261&amp;"'!R11")</f>
        <v/>
      </c>
      <c r="V261" s="3">
        <f t="array" ref="V261">INDIRECT("'"&amp;$A261&amp;"'!S11")</f>
        <v/>
      </c>
      <c r="W261" s="3">
        <f t="array" ref="W261">INDIRECT("'"&amp;$A261&amp;"'!T11")</f>
        <v/>
      </c>
      <c r="X261" s="3">
        <f t="array" ref="X261">INDIRECT("'"&amp;$A261&amp;"'!U11")</f>
        <v/>
      </c>
      <c r="Y261" s="3">
        <f t="array" ref="Y261">INDIRECT("'"&amp;$A261&amp;"'!V11")</f>
        <v/>
      </c>
      <c r="Z261" s="3">
        <f t="array" ref="Z261">INDIRECT("'"&amp;$A261&amp;"'!W11")</f>
        <v/>
      </c>
      <c r="AA261" s="3">
        <f t="array" ref="AA261">INDIRECT("'"&amp;$A261&amp;"'!X11")</f>
        <v/>
      </c>
      <c r="AB261" s="3">
        <f t="array" ref="AB261">INDIRECT("'"&amp;$A261&amp;"'!Y11")</f>
        <v/>
      </c>
      <c r="AC261" s="3">
        <f t="array" ref="AC261">INDIRECT("'"&amp;$A261&amp;"'!Z11")</f>
        <v/>
      </c>
      <c r="AD261" s="32">
        <f t="array" ref="AD261">INDIRECT("'"&amp;$A261&amp;"'!AA11")</f>
        <v/>
      </c>
      <c r="AE261" s="80">
        <f t="array" ref="AE261">INDIRECT("'"&amp;$A261&amp;"'!J3")</f>
        <v/>
      </c>
      <c r="AF261" s="53">
        <f t="array" ref="AF261">INDIRECT("'"&amp;$A261&amp;"'!AC1")</f>
        <v/>
      </c>
    </row>
    <row r="262" ht="15.75" customHeight="1" thickBot="1">
      <c r="A262" s="58" t="n">
        <v>87</v>
      </c>
      <c r="B262" s="106" t="n"/>
      <c r="C262" s="77">
        <f t="array" ref="C262">CONCATENATE("分 ",INDIRECT("'"&amp;$A261&amp;"'!D6"))</f>
        <v/>
      </c>
      <c r="D262" s="56" t="inlineStr">
        <is>
          <t>3队</t>
        </is>
      </c>
      <c r="E262" s="81">
        <f t="array" ref="E262">INDIRECT("'"&amp;$A261&amp;"'!I4")</f>
        <v/>
      </c>
      <c r="F262" s="52">
        <f t="array" ref="F262">INDIRECT("'"&amp;$A262&amp;"'!C14")</f>
        <v/>
      </c>
      <c r="G262" s="3">
        <f t="array" ref="G262">INDIRECT("'"&amp;$A262&amp;"'!D14")</f>
        <v/>
      </c>
      <c r="H262" s="3">
        <f t="array" ref="H262">INDIRECT("'"&amp;$A262&amp;"'!E14")</f>
        <v/>
      </c>
      <c r="I262" s="3">
        <f t="array" ref="I262">INDIRECT("'"&amp;$A262&amp;"'!F14")</f>
        <v/>
      </c>
      <c r="J262" s="3">
        <f t="array" ref="J262">INDIRECT("'"&amp;$A262&amp;"'!G14")</f>
        <v/>
      </c>
      <c r="K262" s="3">
        <f t="array" ref="K262">INDIRECT("'"&amp;$A262&amp;"'!H14")</f>
        <v/>
      </c>
      <c r="L262" s="3">
        <f t="array" ref="L262">INDIRECT("'"&amp;$A262&amp;"'!I14")</f>
        <v/>
      </c>
      <c r="M262" s="3">
        <f t="array" ref="M262">INDIRECT("'"&amp;$A262&amp;"'!J14")</f>
        <v/>
      </c>
      <c r="N262" s="3">
        <f t="array" ref="N262">INDIRECT("'"&amp;$A262&amp;"'!K14")</f>
        <v/>
      </c>
      <c r="O262" s="3">
        <f t="array" ref="O262">INDIRECT("'"&amp;$A262&amp;"'!L14")</f>
        <v/>
      </c>
      <c r="P262" s="3">
        <f t="array" ref="P262">INDIRECT("'"&amp;$A262&amp;"'!M14")</f>
        <v/>
      </c>
      <c r="Q262" s="3">
        <f t="array" ref="Q262">INDIRECT("'"&amp;$A262&amp;"'!N14")</f>
        <v/>
      </c>
      <c r="R262" s="3">
        <f t="array" ref="R262">INDIRECT("'"&amp;$A262&amp;"'!O14")</f>
        <v/>
      </c>
      <c r="S262" s="3">
        <f t="array" ref="S262">INDIRECT("'"&amp;$A262&amp;"'!P14")</f>
        <v/>
      </c>
      <c r="T262" s="3">
        <f t="array" ref="T262">INDIRECT("'"&amp;$A262&amp;"'!Q14")</f>
        <v/>
      </c>
      <c r="U262" s="3">
        <f t="array" ref="U262">INDIRECT("'"&amp;$A262&amp;"'!R14")</f>
        <v/>
      </c>
      <c r="V262" s="3">
        <f t="array" ref="V262">INDIRECT("'"&amp;$A262&amp;"'!S14")</f>
        <v/>
      </c>
      <c r="W262" s="3">
        <f t="array" ref="W262">INDIRECT("'"&amp;$A262&amp;"'!T14")</f>
        <v/>
      </c>
      <c r="X262" s="3">
        <f t="array" ref="X262">INDIRECT("'"&amp;$A262&amp;"'!U14")</f>
        <v/>
      </c>
      <c r="Y262" s="3">
        <f t="array" ref="Y262">INDIRECT("'"&amp;$A262&amp;"'!V14")</f>
        <v/>
      </c>
      <c r="Z262" s="3">
        <f t="array" ref="Z262">INDIRECT("'"&amp;$A262&amp;"'!W14")</f>
        <v/>
      </c>
      <c r="AA262" s="3">
        <f t="array" ref="AA262">INDIRECT("'"&amp;$A262&amp;"'!X14")</f>
        <v/>
      </c>
      <c r="AB262" s="3">
        <f t="array" ref="AB262">INDIRECT("'"&amp;$A262&amp;"'!Y14")</f>
        <v/>
      </c>
      <c r="AC262" s="3">
        <f t="array" ref="AC262">INDIRECT("'"&amp;$A262&amp;"'!Z14")</f>
        <v/>
      </c>
      <c r="AD262" s="32">
        <f t="array" ref="AD262">INDIRECT("'"&amp;$A262&amp;"'!AA14")</f>
        <v/>
      </c>
      <c r="AE262" s="81">
        <f t="array" ref="AE262">INDIRECT("'"&amp;$A261&amp;"'!J4")</f>
        <v/>
      </c>
      <c r="AF262" s="53" t="n"/>
    </row>
    <row r="263">
      <c r="A263" s="58" t="n">
        <v>88</v>
      </c>
      <c r="B263" s="103">
        <f>INDEX(data!$I$2:$I$98,MATCH(A263*1,data!$G$2:$G$98,0))</f>
        <v/>
      </c>
      <c r="C263" s="66">
        <f>HYPERLINK("#'" &amp; A263 &amp; "'!A1", "编辑")</f>
        <v/>
      </c>
      <c r="D263" s="54" t="inlineStr">
        <is>
          <t>1队</t>
        </is>
      </c>
      <c r="E263" s="79">
        <f t="array" ref="E263">INDIRECT("'"&amp;$A264&amp;"'!I2")</f>
        <v/>
      </c>
      <c r="F263" s="29">
        <f t="array" ref="F263">INDIRECT("'"&amp;$A263&amp;"'!C8")</f>
        <v/>
      </c>
      <c r="G263" s="30">
        <f t="array" ref="G263">INDIRECT("'"&amp;$A263&amp;"'!D8")</f>
        <v/>
      </c>
      <c r="H263" s="30">
        <f t="array" ref="H263">INDIRECT("'"&amp;$A263&amp;"'!E8")</f>
        <v/>
      </c>
      <c r="I263" s="30">
        <f t="array" ref="I263">INDIRECT("'"&amp;$A263&amp;"'!F8")</f>
        <v/>
      </c>
      <c r="J263" s="30">
        <f t="array" ref="J263">INDIRECT("'"&amp;$A263&amp;"'!G8")</f>
        <v/>
      </c>
      <c r="K263" s="30">
        <f t="array" ref="K263">INDIRECT("'"&amp;$A263&amp;"'!H8")</f>
        <v/>
      </c>
      <c r="L263" s="30">
        <f t="array" ref="L263">INDIRECT("'"&amp;$A263&amp;"'!I8")</f>
        <v/>
      </c>
      <c r="M263" s="30">
        <f t="array" ref="M263">INDIRECT("'"&amp;$A263&amp;"'!J8")</f>
        <v/>
      </c>
      <c r="N263" s="30">
        <f t="array" ref="N263">INDIRECT("'"&amp;$A263&amp;"'!K8")</f>
        <v/>
      </c>
      <c r="O263" s="30">
        <f t="array" ref="O263">INDIRECT("'"&amp;$A263&amp;"'!L8")</f>
        <v/>
      </c>
      <c r="P263" s="30">
        <f t="array" ref="P263">INDIRECT("'"&amp;$A263&amp;"'!M8")</f>
        <v/>
      </c>
      <c r="Q263" s="30">
        <f t="array" ref="Q263">INDIRECT("'"&amp;$A263&amp;"'!N8")</f>
        <v/>
      </c>
      <c r="R263" s="30">
        <f t="array" ref="R263">INDIRECT("'"&amp;$A263&amp;"'!O8")</f>
        <v/>
      </c>
      <c r="S263" s="30">
        <f t="array" ref="S263">INDIRECT("'"&amp;$A263&amp;"'!P8")</f>
        <v/>
      </c>
      <c r="T263" s="30">
        <f t="array" ref="T263">INDIRECT("'"&amp;$A263&amp;"'!Q8")</f>
        <v/>
      </c>
      <c r="U263" s="30">
        <f t="array" ref="U263">INDIRECT("'"&amp;$A263&amp;"'!R8")</f>
        <v/>
      </c>
      <c r="V263" s="30">
        <f t="array" ref="V263">INDIRECT("'"&amp;$A263&amp;"'!S8")</f>
        <v/>
      </c>
      <c r="W263" s="30">
        <f t="array" ref="W263">INDIRECT("'"&amp;$A263&amp;"'!T8")</f>
        <v/>
      </c>
      <c r="X263" s="30">
        <f t="array" ref="X263">INDIRECT("'"&amp;$A263&amp;"'!U8")</f>
        <v/>
      </c>
      <c r="Y263" s="30">
        <f t="array" ref="Y263">INDIRECT("'"&amp;$A263&amp;"'!V8")</f>
        <v/>
      </c>
      <c r="Z263" s="30">
        <f t="array" ref="Z263">INDIRECT("'"&amp;$A263&amp;"'!W8")</f>
        <v/>
      </c>
      <c r="AA263" s="30">
        <f t="array" ref="AA263">INDIRECT("'"&amp;$A263&amp;"'!X8")</f>
        <v/>
      </c>
      <c r="AB263" s="30">
        <f t="array" ref="AB263">INDIRECT("'"&amp;$A263&amp;"'!Y8")</f>
        <v/>
      </c>
      <c r="AC263" s="30">
        <f t="array" ref="AC263">INDIRECT("'"&amp;$A263&amp;"'!Z8")</f>
        <v/>
      </c>
      <c r="AD263" s="31">
        <f t="array" ref="AD263">INDIRECT("'"&amp;$A263&amp;"'!AA8")</f>
        <v/>
      </c>
      <c r="AE263" s="79">
        <f t="array" ref="AE263">INDIRECT("'"&amp;$A264&amp;"'!J2")</f>
        <v/>
      </c>
      <c r="AF263" s="53">
        <f t="array" ref="AF263">INDIRECT("'"&amp;$A264&amp;"'!AD1")</f>
        <v/>
      </c>
    </row>
    <row r="264">
      <c r="A264" s="58" t="n">
        <v>88</v>
      </c>
      <c r="B264" s="105" t="n"/>
      <c r="C264" s="67">
        <f t="array" ref="C264">CONCATENATE("粮 ",INDIRECT("'"&amp;$A264&amp;"'!D4"))</f>
        <v/>
      </c>
      <c r="D264" s="55" t="inlineStr">
        <is>
          <t>2队</t>
        </is>
      </c>
      <c r="E264" s="80">
        <f t="array" ref="E264">INDIRECT("'"&amp;$A264&amp;"'!I3")</f>
        <v/>
      </c>
      <c r="F264" s="52">
        <f t="array" ref="F264">INDIRECT("'"&amp;$A264&amp;"'!C11")</f>
        <v/>
      </c>
      <c r="G264" s="3">
        <f t="array" ref="G264">INDIRECT("'"&amp;$A264&amp;"'!D11")</f>
        <v/>
      </c>
      <c r="H264" s="3">
        <f t="array" ref="H264">INDIRECT("'"&amp;$A264&amp;"'!E11")</f>
        <v/>
      </c>
      <c r="I264" s="3">
        <f t="array" ref="I264">INDIRECT("'"&amp;$A264&amp;"'!F11")</f>
        <v/>
      </c>
      <c r="J264" s="3">
        <f t="array" ref="J264">INDIRECT("'"&amp;$A264&amp;"'!G11")</f>
        <v/>
      </c>
      <c r="K264" s="3">
        <f t="array" ref="K264">INDIRECT("'"&amp;$A264&amp;"'!H11")</f>
        <v/>
      </c>
      <c r="L264" s="3">
        <f t="array" ref="L264">INDIRECT("'"&amp;$A264&amp;"'!I11")</f>
        <v/>
      </c>
      <c r="M264" s="3">
        <f t="array" ref="M264">INDIRECT("'"&amp;$A264&amp;"'!J11")</f>
        <v/>
      </c>
      <c r="N264" s="3">
        <f t="array" ref="N264">INDIRECT("'"&amp;$A264&amp;"'!K11")</f>
        <v/>
      </c>
      <c r="O264" s="3">
        <f t="array" ref="O264">INDIRECT("'"&amp;$A264&amp;"'!L11")</f>
        <v/>
      </c>
      <c r="P264" s="3">
        <f t="array" ref="P264">INDIRECT("'"&amp;$A264&amp;"'!M11")</f>
        <v/>
      </c>
      <c r="Q264" s="3">
        <f t="array" ref="Q264">INDIRECT("'"&amp;$A264&amp;"'!N11")</f>
        <v/>
      </c>
      <c r="R264" s="3">
        <f t="array" ref="R264">INDIRECT("'"&amp;$A264&amp;"'!O11")</f>
        <v/>
      </c>
      <c r="S264" s="3">
        <f t="array" ref="S264">INDIRECT("'"&amp;$A264&amp;"'!P11")</f>
        <v/>
      </c>
      <c r="T264" s="3">
        <f t="array" ref="T264">INDIRECT("'"&amp;$A264&amp;"'!Q11")</f>
        <v/>
      </c>
      <c r="U264" s="3">
        <f t="array" ref="U264">INDIRECT("'"&amp;$A264&amp;"'!R11")</f>
        <v/>
      </c>
      <c r="V264" s="3">
        <f t="array" ref="V264">INDIRECT("'"&amp;$A264&amp;"'!S11")</f>
        <v/>
      </c>
      <c r="W264" s="3">
        <f t="array" ref="W264">INDIRECT("'"&amp;$A264&amp;"'!T11")</f>
        <v/>
      </c>
      <c r="X264" s="3">
        <f t="array" ref="X264">INDIRECT("'"&amp;$A264&amp;"'!U11")</f>
        <v/>
      </c>
      <c r="Y264" s="3">
        <f t="array" ref="Y264">INDIRECT("'"&amp;$A264&amp;"'!V11")</f>
        <v/>
      </c>
      <c r="Z264" s="3">
        <f t="array" ref="Z264">INDIRECT("'"&amp;$A264&amp;"'!W11")</f>
        <v/>
      </c>
      <c r="AA264" s="3">
        <f t="array" ref="AA264">INDIRECT("'"&amp;$A264&amp;"'!X11")</f>
        <v/>
      </c>
      <c r="AB264" s="3">
        <f t="array" ref="AB264">INDIRECT("'"&amp;$A264&amp;"'!Y11")</f>
        <v/>
      </c>
      <c r="AC264" s="3">
        <f t="array" ref="AC264">INDIRECT("'"&amp;$A264&amp;"'!Z11")</f>
        <v/>
      </c>
      <c r="AD264" s="32">
        <f t="array" ref="AD264">INDIRECT("'"&amp;$A264&amp;"'!AA11")</f>
        <v/>
      </c>
      <c r="AE264" s="80">
        <f t="array" ref="AE264">INDIRECT("'"&amp;$A264&amp;"'!J3")</f>
        <v/>
      </c>
      <c r="AF264" s="53">
        <f t="array" ref="AF264">INDIRECT("'"&amp;$A264&amp;"'!AC1")</f>
        <v/>
      </c>
    </row>
    <row r="265" ht="15.75" customHeight="1" thickBot="1">
      <c r="A265" s="58" t="n">
        <v>88</v>
      </c>
      <c r="B265" s="106" t="n"/>
      <c r="C265" s="77">
        <f t="array" ref="C265">CONCATENATE("分 ",INDIRECT("'"&amp;$A264&amp;"'!D6"))</f>
        <v/>
      </c>
      <c r="D265" s="56" t="inlineStr">
        <is>
          <t>3队</t>
        </is>
      </c>
      <c r="E265" s="81">
        <f t="array" ref="E265">INDIRECT("'"&amp;$A264&amp;"'!I4")</f>
        <v/>
      </c>
      <c r="F265" s="52">
        <f t="array" ref="F265">INDIRECT("'"&amp;$A265&amp;"'!C14")</f>
        <v/>
      </c>
      <c r="G265" s="3">
        <f t="array" ref="G265">INDIRECT("'"&amp;$A265&amp;"'!D14")</f>
        <v/>
      </c>
      <c r="H265" s="3">
        <f t="array" ref="H265">INDIRECT("'"&amp;$A265&amp;"'!E14")</f>
        <v/>
      </c>
      <c r="I265" s="3">
        <f t="array" ref="I265">INDIRECT("'"&amp;$A265&amp;"'!F14")</f>
        <v/>
      </c>
      <c r="J265" s="3">
        <f t="array" ref="J265">INDIRECT("'"&amp;$A265&amp;"'!G14")</f>
        <v/>
      </c>
      <c r="K265" s="3">
        <f t="array" ref="K265">INDIRECT("'"&amp;$A265&amp;"'!H14")</f>
        <v/>
      </c>
      <c r="L265" s="3">
        <f t="array" ref="L265">INDIRECT("'"&amp;$A265&amp;"'!I14")</f>
        <v/>
      </c>
      <c r="M265" s="3">
        <f t="array" ref="M265">INDIRECT("'"&amp;$A265&amp;"'!J14")</f>
        <v/>
      </c>
      <c r="N265" s="3">
        <f t="array" ref="N265">INDIRECT("'"&amp;$A265&amp;"'!K14")</f>
        <v/>
      </c>
      <c r="O265" s="3">
        <f t="array" ref="O265">INDIRECT("'"&amp;$A265&amp;"'!L14")</f>
        <v/>
      </c>
      <c r="P265" s="3">
        <f t="array" ref="P265">INDIRECT("'"&amp;$A265&amp;"'!M14")</f>
        <v/>
      </c>
      <c r="Q265" s="3">
        <f t="array" ref="Q265">INDIRECT("'"&amp;$A265&amp;"'!N14")</f>
        <v/>
      </c>
      <c r="R265" s="3">
        <f t="array" ref="R265">INDIRECT("'"&amp;$A265&amp;"'!O14")</f>
        <v/>
      </c>
      <c r="S265" s="3">
        <f t="array" ref="S265">INDIRECT("'"&amp;$A265&amp;"'!P14")</f>
        <v/>
      </c>
      <c r="T265" s="3">
        <f t="array" ref="T265">INDIRECT("'"&amp;$A265&amp;"'!Q14")</f>
        <v/>
      </c>
      <c r="U265" s="3">
        <f t="array" ref="U265">INDIRECT("'"&amp;$A265&amp;"'!R14")</f>
        <v/>
      </c>
      <c r="V265" s="3">
        <f t="array" ref="V265">INDIRECT("'"&amp;$A265&amp;"'!S14")</f>
        <v/>
      </c>
      <c r="W265" s="3">
        <f t="array" ref="W265">INDIRECT("'"&amp;$A265&amp;"'!T14")</f>
        <v/>
      </c>
      <c r="X265" s="3">
        <f t="array" ref="X265">INDIRECT("'"&amp;$A265&amp;"'!U14")</f>
        <v/>
      </c>
      <c r="Y265" s="3">
        <f t="array" ref="Y265">INDIRECT("'"&amp;$A265&amp;"'!V14")</f>
        <v/>
      </c>
      <c r="Z265" s="3">
        <f t="array" ref="Z265">INDIRECT("'"&amp;$A265&amp;"'!W14")</f>
        <v/>
      </c>
      <c r="AA265" s="3">
        <f t="array" ref="AA265">INDIRECT("'"&amp;$A265&amp;"'!X14")</f>
        <v/>
      </c>
      <c r="AB265" s="3">
        <f t="array" ref="AB265">INDIRECT("'"&amp;$A265&amp;"'!Y14")</f>
        <v/>
      </c>
      <c r="AC265" s="3">
        <f t="array" ref="AC265">INDIRECT("'"&amp;$A265&amp;"'!Z14")</f>
        <v/>
      </c>
      <c r="AD265" s="32">
        <f t="array" ref="AD265">INDIRECT("'"&amp;$A265&amp;"'!AA14")</f>
        <v/>
      </c>
      <c r="AE265" s="81">
        <f t="array" ref="AE265">INDIRECT("'"&amp;$A264&amp;"'!J4")</f>
        <v/>
      </c>
      <c r="AF265" s="53" t="n"/>
    </row>
    <row r="266">
      <c r="A266" s="58" t="n">
        <v>89</v>
      </c>
      <c r="B266" s="103">
        <f>INDEX(data!$I$2:$I$98,MATCH(A266*1,data!$G$2:$G$98,0))</f>
        <v/>
      </c>
      <c r="C266" s="66">
        <f>HYPERLINK("#'" &amp; A266 &amp; "'!A1", "编辑")</f>
        <v/>
      </c>
      <c r="D266" s="54" t="inlineStr">
        <is>
          <t>1队</t>
        </is>
      </c>
      <c r="E266" s="79">
        <f t="array" ref="E266">INDIRECT("'"&amp;$A267&amp;"'!I2")</f>
        <v/>
      </c>
      <c r="F266" s="29">
        <f t="array" ref="F266">INDIRECT("'"&amp;$A266&amp;"'!C8")</f>
        <v/>
      </c>
      <c r="G266" s="30">
        <f t="array" ref="G266">INDIRECT("'"&amp;$A266&amp;"'!D8")</f>
        <v/>
      </c>
      <c r="H266" s="30">
        <f t="array" ref="H266">INDIRECT("'"&amp;$A266&amp;"'!E8")</f>
        <v/>
      </c>
      <c r="I266" s="30">
        <f t="array" ref="I266">INDIRECT("'"&amp;$A266&amp;"'!F8")</f>
        <v/>
      </c>
      <c r="J266" s="30">
        <f t="array" ref="J266">INDIRECT("'"&amp;$A266&amp;"'!G8")</f>
        <v/>
      </c>
      <c r="K266" s="30">
        <f t="array" ref="K266">INDIRECT("'"&amp;$A266&amp;"'!H8")</f>
        <v/>
      </c>
      <c r="L266" s="30">
        <f t="array" ref="L266">INDIRECT("'"&amp;$A266&amp;"'!I8")</f>
        <v/>
      </c>
      <c r="M266" s="30">
        <f t="array" ref="M266">INDIRECT("'"&amp;$A266&amp;"'!J8")</f>
        <v/>
      </c>
      <c r="N266" s="30">
        <f t="array" ref="N266">INDIRECT("'"&amp;$A266&amp;"'!K8")</f>
        <v/>
      </c>
      <c r="O266" s="30">
        <f t="array" ref="O266">INDIRECT("'"&amp;$A266&amp;"'!L8")</f>
        <v/>
      </c>
      <c r="P266" s="30">
        <f t="array" ref="P266">INDIRECT("'"&amp;$A266&amp;"'!M8")</f>
        <v/>
      </c>
      <c r="Q266" s="30">
        <f t="array" ref="Q266">INDIRECT("'"&amp;$A266&amp;"'!N8")</f>
        <v/>
      </c>
      <c r="R266" s="30">
        <f t="array" ref="R266">INDIRECT("'"&amp;$A266&amp;"'!O8")</f>
        <v/>
      </c>
      <c r="S266" s="30">
        <f t="array" ref="S266">INDIRECT("'"&amp;$A266&amp;"'!P8")</f>
        <v/>
      </c>
      <c r="T266" s="30">
        <f t="array" ref="T266">INDIRECT("'"&amp;$A266&amp;"'!Q8")</f>
        <v/>
      </c>
      <c r="U266" s="30">
        <f t="array" ref="U266">INDIRECT("'"&amp;$A266&amp;"'!R8")</f>
        <v/>
      </c>
      <c r="V266" s="30">
        <f t="array" ref="V266">INDIRECT("'"&amp;$A266&amp;"'!S8")</f>
        <v/>
      </c>
      <c r="W266" s="30">
        <f t="array" ref="W266">INDIRECT("'"&amp;$A266&amp;"'!T8")</f>
        <v/>
      </c>
      <c r="X266" s="30">
        <f t="array" ref="X266">INDIRECT("'"&amp;$A266&amp;"'!U8")</f>
        <v/>
      </c>
      <c r="Y266" s="30">
        <f t="array" ref="Y266">INDIRECT("'"&amp;$A266&amp;"'!V8")</f>
        <v/>
      </c>
      <c r="Z266" s="30">
        <f t="array" ref="Z266">INDIRECT("'"&amp;$A266&amp;"'!W8")</f>
        <v/>
      </c>
      <c r="AA266" s="30">
        <f t="array" ref="AA266">INDIRECT("'"&amp;$A266&amp;"'!X8")</f>
        <v/>
      </c>
      <c r="AB266" s="30">
        <f t="array" ref="AB266">INDIRECT("'"&amp;$A266&amp;"'!Y8")</f>
        <v/>
      </c>
      <c r="AC266" s="30">
        <f t="array" ref="AC266">INDIRECT("'"&amp;$A266&amp;"'!Z8")</f>
        <v/>
      </c>
      <c r="AD266" s="31">
        <f t="array" ref="AD266">INDIRECT("'"&amp;$A266&amp;"'!AA8")</f>
        <v/>
      </c>
      <c r="AE266" s="79">
        <f t="array" ref="AE266">INDIRECT("'"&amp;$A267&amp;"'!J2")</f>
        <v/>
      </c>
      <c r="AF266" s="53">
        <f t="array" ref="AF266">INDIRECT("'"&amp;$A267&amp;"'!AD1")</f>
        <v/>
      </c>
    </row>
    <row r="267">
      <c r="A267" s="58" t="n">
        <v>89</v>
      </c>
      <c r="B267" s="105" t="n"/>
      <c r="C267" s="67">
        <f t="array" ref="C267">CONCATENATE("粮 ",INDIRECT("'"&amp;$A267&amp;"'!D4"))</f>
        <v/>
      </c>
      <c r="D267" s="55" t="inlineStr">
        <is>
          <t>2队</t>
        </is>
      </c>
      <c r="E267" s="80">
        <f t="array" ref="E267">INDIRECT("'"&amp;$A267&amp;"'!I3")</f>
        <v/>
      </c>
      <c r="F267" s="52">
        <f t="array" ref="F267">INDIRECT("'"&amp;$A267&amp;"'!C11")</f>
        <v/>
      </c>
      <c r="G267" s="3">
        <f t="array" ref="G267">INDIRECT("'"&amp;$A267&amp;"'!D11")</f>
        <v/>
      </c>
      <c r="H267" s="3">
        <f t="array" ref="H267">INDIRECT("'"&amp;$A267&amp;"'!E11")</f>
        <v/>
      </c>
      <c r="I267" s="3">
        <f t="array" ref="I267">INDIRECT("'"&amp;$A267&amp;"'!F11")</f>
        <v/>
      </c>
      <c r="J267" s="3">
        <f t="array" ref="J267">INDIRECT("'"&amp;$A267&amp;"'!G11")</f>
        <v/>
      </c>
      <c r="K267" s="3">
        <f t="array" ref="K267">INDIRECT("'"&amp;$A267&amp;"'!H11")</f>
        <v/>
      </c>
      <c r="L267" s="3">
        <f t="array" ref="L267">INDIRECT("'"&amp;$A267&amp;"'!I11")</f>
        <v/>
      </c>
      <c r="M267" s="3">
        <f t="array" ref="M267">INDIRECT("'"&amp;$A267&amp;"'!J11")</f>
        <v/>
      </c>
      <c r="N267" s="3">
        <f t="array" ref="N267">INDIRECT("'"&amp;$A267&amp;"'!K11")</f>
        <v/>
      </c>
      <c r="O267" s="3">
        <f t="array" ref="O267">INDIRECT("'"&amp;$A267&amp;"'!L11")</f>
        <v/>
      </c>
      <c r="P267" s="3">
        <f t="array" ref="P267">INDIRECT("'"&amp;$A267&amp;"'!M11")</f>
        <v/>
      </c>
      <c r="Q267" s="3">
        <f t="array" ref="Q267">INDIRECT("'"&amp;$A267&amp;"'!N11")</f>
        <v/>
      </c>
      <c r="R267" s="3">
        <f t="array" ref="R267">INDIRECT("'"&amp;$A267&amp;"'!O11")</f>
        <v/>
      </c>
      <c r="S267" s="3">
        <f t="array" ref="S267">INDIRECT("'"&amp;$A267&amp;"'!P11")</f>
        <v/>
      </c>
      <c r="T267" s="3">
        <f t="array" ref="T267">INDIRECT("'"&amp;$A267&amp;"'!Q11")</f>
        <v/>
      </c>
      <c r="U267" s="3">
        <f t="array" ref="U267">INDIRECT("'"&amp;$A267&amp;"'!R11")</f>
        <v/>
      </c>
      <c r="V267" s="3">
        <f t="array" ref="V267">INDIRECT("'"&amp;$A267&amp;"'!S11")</f>
        <v/>
      </c>
      <c r="W267" s="3">
        <f t="array" ref="W267">INDIRECT("'"&amp;$A267&amp;"'!T11")</f>
        <v/>
      </c>
      <c r="X267" s="3">
        <f t="array" ref="X267">INDIRECT("'"&amp;$A267&amp;"'!U11")</f>
        <v/>
      </c>
      <c r="Y267" s="3">
        <f t="array" ref="Y267">INDIRECT("'"&amp;$A267&amp;"'!V11")</f>
        <v/>
      </c>
      <c r="Z267" s="3">
        <f t="array" ref="Z267">INDIRECT("'"&amp;$A267&amp;"'!W11")</f>
        <v/>
      </c>
      <c r="AA267" s="3">
        <f t="array" ref="AA267">INDIRECT("'"&amp;$A267&amp;"'!X11")</f>
        <v/>
      </c>
      <c r="AB267" s="3">
        <f t="array" ref="AB267">INDIRECT("'"&amp;$A267&amp;"'!Y11")</f>
        <v/>
      </c>
      <c r="AC267" s="3">
        <f t="array" ref="AC267">INDIRECT("'"&amp;$A267&amp;"'!Z11")</f>
        <v/>
      </c>
      <c r="AD267" s="32">
        <f t="array" ref="AD267">INDIRECT("'"&amp;$A267&amp;"'!AA11")</f>
        <v/>
      </c>
      <c r="AE267" s="80">
        <f t="array" ref="AE267">INDIRECT("'"&amp;$A267&amp;"'!J3")</f>
        <v/>
      </c>
      <c r="AF267" s="53">
        <f t="array" ref="AF267">INDIRECT("'"&amp;$A267&amp;"'!AC1")</f>
        <v/>
      </c>
    </row>
    <row r="268" ht="15.75" customHeight="1" thickBot="1">
      <c r="A268" s="58" t="n">
        <v>89</v>
      </c>
      <c r="B268" s="106" t="n"/>
      <c r="C268" s="77">
        <f t="array" ref="C268">CONCATENATE("分 ",INDIRECT("'"&amp;$A267&amp;"'!D6"))</f>
        <v/>
      </c>
      <c r="D268" s="56" t="inlineStr">
        <is>
          <t>3队</t>
        </is>
      </c>
      <c r="E268" s="81">
        <f t="array" ref="E268">INDIRECT("'"&amp;$A267&amp;"'!I4")</f>
        <v/>
      </c>
      <c r="F268" s="52">
        <f t="array" ref="F268">INDIRECT("'"&amp;$A268&amp;"'!C14")</f>
        <v/>
      </c>
      <c r="G268" s="3">
        <f t="array" ref="G268">INDIRECT("'"&amp;$A268&amp;"'!D14")</f>
        <v/>
      </c>
      <c r="H268" s="3">
        <f t="array" ref="H268">INDIRECT("'"&amp;$A268&amp;"'!E14")</f>
        <v/>
      </c>
      <c r="I268" s="3">
        <f t="array" ref="I268">INDIRECT("'"&amp;$A268&amp;"'!F14")</f>
        <v/>
      </c>
      <c r="J268" s="3">
        <f t="array" ref="J268">INDIRECT("'"&amp;$A268&amp;"'!G14")</f>
        <v/>
      </c>
      <c r="K268" s="3">
        <f t="array" ref="K268">INDIRECT("'"&amp;$A268&amp;"'!H14")</f>
        <v/>
      </c>
      <c r="L268" s="3">
        <f t="array" ref="L268">INDIRECT("'"&amp;$A268&amp;"'!I14")</f>
        <v/>
      </c>
      <c r="M268" s="3">
        <f t="array" ref="M268">INDIRECT("'"&amp;$A268&amp;"'!J14")</f>
        <v/>
      </c>
      <c r="N268" s="3">
        <f t="array" ref="N268">INDIRECT("'"&amp;$A268&amp;"'!K14")</f>
        <v/>
      </c>
      <c r="O268" s="3">
        <f t="array" ref="O268">INDIRECT("'"&amp;$A268&amp;"'!L14")</f>
        <v/>
      </c>
      <c r="P268" s="3">
        <f t="array" ref="P268">INDIRECT("'"&amp;$A268&amp;"'!M14")</f>
        <v/>
      </c>
      <c r="Q268" s="3">
        <f t="array" ref="Q268">INDIRECT("'"&amp;$A268&amp;"'!N14")</f>
        <v/>
      </c>
      <c r="R268" s="3">
        <f t="array" ref="R268">INDIRECT("'"&amp;$A268&amp;"'!O14")</f>
        <v/>
      </c>
      <c r="S268" s="3">
        <f t="array" ref="S268">INDIRECT("'"&amp;$A268&amp;"'!P14")</f>
        <v/>
      </c>
      <c r="T268" s="3">
        <f t="array" ref="T268">INDIRECT("'"&amp;$A268&amp;"'!Q14")</f>
        <v/>
      </c>
      <c r="U268" s="3">
        <f t="array" ref="U268">INDIRECT("'"&amp;$A268&amp;"'!R14")</f>
        <v/>
      </c>
      <c r="V268" s="3">
        <f t="array" ref="V268">INDIRECT("'"&amp;$A268&amp;"'!S14")</f>
        <v/>
      </c>
      <c r="W268" s="3">
        <f t="array" ref="W268">INDIRECT("'"&amp;$A268&amp;"'!T14")</f>
        <v/>
      </c>
      <c r="X268" s="3">
        <f t="array" ref="X268">INDIRECT("'"&amp;$A268&amp;"'!U14")</f>
        <v/>
      </c>
      <c r="Y268" s="3">
        <f t="array" ref="Y268">INDIRECT("'"&amp;$A268&amp;"'!V14")</f>
        <v/>
      </c>
      <c r="Z268" s="3">
        <f t="array" ref="Z268">INDIRECT("'"&amp;$A268&amp;"'!W14")</f>
        <v/>
      </c>
      <c r="AA268" s="3">
        <f t="array" ref="AA268">INDIRECT("'"&amp;$A268&amp;"'!X14")</f>
        <v/>
      </c>
      <c r="AB268" s="3">
        <f t="array" ref="AB268">INDIRECT("'"&amp;$A268&amp;"'!Y14")</f>
        <v/>
      </c>
      <c r="AC268" s="3">
        <f t="array" ref="AC268">INDIRECT("'"&amp;$A268&amp;"'!Z14")</f>
        <v/>
      </c>
      <c r="AD268" s="32">
        <f t="array" ref="AD268">INDIRECT("'"&amp;$A268&amp;"'!AA14")</f>
        <v/>
      </c>
      <c r="AE268" s="81">
        <f t="array" ref="AE268">INDIRECT("'"&amp;$A267&amp;"'!J4")</f>
        <v/>
      </c>
      <c r="AF268" s="53" t="n"/>
    </row>
    <row r="269">
      <c r="A269" s="58" t="n">
        <v>90</v>
      </c>
      <c r="B269" s="103">
        <f>INDEX(data!$I$2:$I$98,MATCH(A269*1,data!$G$2:$G$98,0))</f>
        <v/>
      </c>
      <c r="C269" s="66">
        <f>HYPERLINK("#'" &amp; A269 &amp; "'!A1", "编辑")</f>
        <v/>
      </c>
      <c r="D269" s="54" t="inlineStr">
        <is>
          <t>1队</t>
        </is>
      </c>
      <c r="E269" s="79">
        <f t="array" ref="E269">INDIRECT("'"&amp;$A270&amp;"'!I2")</f>
        <v/>
      </c>
      <c r="F269" s="29">
        <f t="array" ref="F269">INDIRECT("'"&amp;$A269&amp;"'!C8")</f>
        <v/>
      </c>
      <c r="G269" s="30">
        <f t="array" ref="G269">INDIRECT("'"&amp;$A269&amp;"'!D8")</f>
        <v/>
      </c>
      <c r="H269" s="30">
        <f t="array" ref="H269">INDIRECT("'"&amp;$A269&amp;"'!E8")</f>
        <v/>
      </c>
      <c r="I269" s="30">
        <f t="array" ref="I269">INDIRECT("'"&amp;$A269&amp;"'!F8")</f>
        <v/>
      </c>
      <c r="J269" s="30">
        <f t="array" ref="J269">INDIRECT("'"&amp;$A269&amp;"'!G8")</f>
        <v/>
      </c>
      <c r="K269" s="30">
        <f t="array" ref="K269">INDIRECT("'"&amp;$A269&amp;"'!H8")</f>
        <v/>
      </c>
      <c r="L269" s="30">
        <f t="array" ref="L269">INDIRECT("'"&amp;$A269&amp;"'!I8")</f>
        <v/>
      </c>
      <c r="M269" s="30">
        <f t="array" ref="M269">INDIRECT("'"&amp;$A269&amp;"'!J8")</f>
        <v/>
      </c>
      <c r="N269" s="30">
        <f t="array" ref="N269">INDIRECT("'"&amp;$A269&amp;"'!K8")</f>
        <v/>
      </c>
      <c r="O269" s="30">
        <f t="array" ref="O269">INDIRECT("'"&amp;$A269&amp;"'!L8")</f>
        <v/>
      </c>
      <c r="P269" s="30">
        <f t="array" ref="P269">INDIRECT("'"&amp;$A269&amp;"'!M8")</f>
        <v/>
      </c>
      <c r="Q269" s="30">
        <f t="array" ref="Q269">INDIRECT("'"&amp;$A269&amp;"'!N8")</f>
        <v/>
      </c>
      <c r="R269" s="30">
        <f t="array" ref="R269">INDIRECT("'"&amp;$A269&amp;"'!O8")</f>
        <v/>
      </c>
      <c r="S269" s="30">
        <f t="array" ref="S269">INDIRECT("'"&amp;$A269&amp;"'!P8")</f>
        <v/>
      </c>
      <c r="T269" s="30">
        <f t="array" ref="T269">INDIRECT("'"&amp;$A269&amp;"'!Q8")</f>
        <v/>
      </c>
      <c r="U269" s="30">
        <f t="array" ref="U269">INDIRECT("'"&amp;$A269&amp;"'!R8")</f>
        <v/>
      </c>
      <c r="V269" s="30">
        <f t="array" ref="V269">INDIRECT("'"&amp;$A269&amp;"'!S8")</f>
        <v/>
      </c>
      <c r="W269" s="30">
        <f t="array" ref="W269">INDIRECT("'"&amp;$A269&amp;"'!T8")</f>
        <v/>
      </c>
      <c r="X269" s="30">
        <f t="array" ref="X269">INDIRECT("'"&amp;$A269&amp;"'!U8")</f>
        <v/>
      </c>
      <c r="Y269" s="30">
        <f t="array" ref="Y269">INDIRECT("'"&amp;$A269&amp;"'!V8")</f>
        <v/>
      </c>
      <c r="Z269" s="30">
        <f t="array" ref="Z269">INDIRECT("'"&amp;$A269&amp;"'!W8")</f>
        <v/>
      </c>
      <c r="AA269" s="30">
        <f t="array" ref="AA269">INDIRECT("'"&amp;$A269&amp;"'!X8")</f>
        <v/>
      </c>
      <c r="AB269" s="30">
        <f t="array" ref="AB269">INDIRECT("'"&amp;$A269&amp;"'!Y8")</f>
        <v/>
      </c>
      <c r="AC269" s="30">
        <f t="array" ref="AC269">INDIRECT("'"&amp;$A269&amp;"'!Z8")</f>
        <v/>
      </c>
      <c r="AD269" s="31">
        <f t="array" ref="AD269">INDIRECT("'"&amp;$A269&amp;"'!AA8")</f>
        <v/>
      </c>
      <c r="AE269" s="79">
        <f t="array" ref="AE269">INDIRECT("'"&amp;$A270&amp;"'!J2")</f>
        <v/>
      </c>
      <c r="AF269" s="53">
        <f t="array" ref="AF269">INDIRECT("'"&amp;$A270&amp;"'!AD1")</f>
        <v/>
      </c>
    </row>
    <row r="270">
      <c r="A270" s="58" t="n">
        <v>90</v>
      </c>
      <c r="B270" s="105" t="n"/>
      <c r="C270" s="67">
        <f t="array" ref="C270">CONCATENATE("粮 ",INDIRECT("'"&amp;$A270&amp;"'!D4"))</f>
        <v/>
      </c>
      <c r="D270" s="55" t="inlineStr">
        <is>
          <t>2队</t>
        </is>
      </c>
      <c r="E270" s="80">
        <f t="array" ref="E270">INDIRECT("'"&amp;$A270&amp;"'!I3")</f>
        <v/>
      </c>
      <c r="F270" s="52">
        <f t="array" ref="F270">INDIRECT("'"&amp;$A270&amp;"'!C11")</f>
        <v/>
      </c>
      <c r="G270" s="3">
        <f t="array" ref="G270">INDIRECT("'"&amp;$A270&amp;"'!D11")</f>
        <v/>
      </c>
      <c r="H270" s="3">
        <f t="array" ref="H270">INDIRECT("'"&amp;$A270&amp;"'!E11")</f>
        <v/>
      </c>
      <c r="I270" s="3">
        <f t="array" ref="I270">INDIRECT("'"&amp;$A270&amp;"'!F11")</f>
        <v/>
      </c>
      <c r="J270" s="3">
        <f t="array" ref="J270">INDIRECT("'"&amp;$A270&amp;"'!G11")</f>
        <v/>
      </c>
      <c r="K270" s="3">
        <f t="array" ref="K270">INDIRECT("'"&amp;$A270&amp;"'!H11")</f>
        <v/>
      </c>
      <c r="L270" s="3">
        <f t="array" ref="L270">INDIRECT("'"&amp;$A270&amp;"'!I11")</f>
        <v/>
      </c>
      <c r="M270" s="3">
        <f t="array" ref="M270">INDIRECT("'"&amp;$A270&amp;"'!J11")</f>
        <v/>
      </c>
      <c r="N270" s="3">
        <f t="array" ref="N270">INDIRECT("'"&amp;$A270&amp;"'!K11")</f>
        <v/>
      </c>
      <c r="O270" s="3">
        <f t="array" ref="O270">INDIRECT("'"&amp;$A270&amp;"'!L11")</f>
        <v/>
      </c>
      <c r="P270" s="3">
        <f t="array" ref="P270">INDIRECT("'"&amp;$A270&amp;"'!M11")</f>
        <v/>
      </c>
      <c r="Q270" s="3">
        <f t="array" ref="Q270">INDIRECT("'"&amp;$A270&amp;"'!N11")</f>
        <v/>
      </c>
      <c r="R270" s="3">
        <f t="array" ref="R270">INDIRECT("'"&amp;$A270&amp;"'!O11")</f>
        <v/>
      </c>
      <c r="S270" s="3">
        <f t="array" ref="S270">INDIRECT("'"&amp;$A270&amp;"'!P11")</f>
        <v/>
      </c>
      <c r="T270" s="3">
        <f t="array" ref="T270">INDIRECT("'"&amp;$A270&amp;"'!Q11")</f>
        <v/>
      </c>
      <c r="U270" s="3">
        <f t="array" ref="U270">INDIRECT("'"&amp;$A270&amp;"'!R11")</f>
        <v/>
      </c>
      <c r="V270" s="3">
        <f t="array" ref="V270">INDIRECT("'"&amp;$A270&amp;"'!S11")</f>
        <v/>
      </c>
      <c r="W270" s="3">
        <f t="array" ref="W270">INDIRECT("'"&amp;$A270&amp;"'!T11")</f>
        <v/>
      </c>
      <c r="X270" s="3">
        <f t="array" ref="X270">INDIRECT("'"&amp;$A270&amp;"'!U11")</f>
        <v/>
      </c>
      <c r="Y270" s="3">
        <f t="array" ref="Y270">INDIRECT("'"&amp;$A270&amp;"'!V11")</f>
        <v/>
      </c>
      <c r="Z270" s="3">
        <f t="array" ref="Z270">INDIRECT("'"&amp;$A270&amp;"'!W11")</f>
        <v/>
      </c>
      <c r="AA270" s="3">
        <f t="array" ref="AA270">INDIRECT("'"&amp;$A270&amp;"'!X11")</f>
        <v/>
      </c>
      <c r="AB270" s="3">
        <f t="array" ref="AB270">INDIRECT("'"&amp;$A270&amp;"'!Y11")</f>
        <v/>
      </c>
      <c r="AC270" s="3">
        <f t="array" ref="AC270">INDIRECT("'"&amp;$A270&amp;"'!Z11")</f>
        <v/>
      </c>
      <c r="AD270" s="32">
        <f t="array" ref="AD270">INDIRECT("'"&amp;$A270&amp;"'!AA11")</f>
        <v/>
      </c>
      <c r="AE270" s="80">
        <f t="array" ref="AE270">INDIRECT("'"&amp;$A270&amp;"'!J3")</f>
        <v/>
      </c>
      <c r="AF270" s="53">
        <f t="array" ref="AF270">INDIRECT("'"&amp;$A270&amp;"'!AC1")</f>
        <v/>
      </c>
    </row>
    <row r="271" ht="15.75" customHeight="1" thickBot="1">
      <c r="A271" s="58" t="n">
        <v>90</v>
      </c>
      <c r="B271" s="106" t="n"/>
      <c r="C271" s="77">
        <f t="array" ref="C271">CONCATENATE("分 ",INDIRECT("'"&amp;$A270&amp;"'!D6"))</f>
        <v/>
      </c>
      <c r="D271" s="56" t="inlineStr">
        <is>
          <t>3队</t>
        </is>
      </c>
      <c r="E271" s="81">
        <f t="array" ref="E271">INDIRECT("'"&amp;$A270&amp;"'!I4")</f>
        <v/>
      </c>
      <c r="F271" s="52">
        <f t="array" ref="F271">INDIRECT("'"&amp;$A271&amp;"'!C14")</f>
        <v/>
      </c>
      <c r="G271" s="3">
        <f t="array" ref="G271">INDIRECT("'"&amp;$A271&amp;"'!D14")</f>
        <v/>
      </c>
      <c r="H271" s="3">
        <f t="array" ref="H271">INDIRECT("'"&amp;$A271&amp;"'!E14")</f>
        <v/>
      </c>
      <c r="I271" s="3">
        <f t="array" ref="I271">INDIRECT("'"&amp;$A271&amp;"'!F14")</f>
        <v/>
      </c>
      <c r="J271" s="3">
        <f t="array" ref="J271">INDIRECT("'"&amp;$A271&amp;"'!G14")</f>
        <v/>
      </c>
      <c r="K271" s="3">
        <f t="array" ref="K271">INDIRECT("'"&amp;$A271&amp;"'!H14")</f>
        <v/>
      </c>
      <c r="L271" s="3">
        <f t="array" ref="L271">INDIRECT("'"&amp;$A271&amp;"'!I14")</f>
        <v/>
      </c>
      <c r="M271" s="3">
        <f t="array" ref="M271">INDIRECT("'"&amp;$A271&amp;"'!J14")</f>
        <v/>
      </c>
      <c r="N271" s="3">
        <f t="array" ref="N271">INDIRECT("'"&amp;$A271&amp;"'!K14")</f>
        <v/>
      </c>
      <c r="O271" s="3">
        <f t="array" ref="O271">INDIRECT("'"&amp;$A271&amp;"'!L14")</f>
        <v/>
      </c>
      <c r="P271" s="3">
        <f t="array" ref="P271">INDIRECT("'"&amp;$A271&amp;"'!M14")</f>
        <v/>
      </c>
      <c r="Q271" s="3">
        <f t="array" ref="Q271">INDIRECT("'"&amp;$A271&amp;"'!N14")</f>
        <v/>
      </c>
      <c r="R271" s="3">
        <f t="array" ref="R271">INDIRECT("'"&amp;$A271&amp;"'!O14")</f>
        <v/>
      </c>
      <c r="S271" s="3">
        <f t="array" ref="S271">INDIRECT("'"&amp;$A271&amp;"'!P14")</f>
        <v/>
      </c>
      <c r="T271" s="3">
        <f t="array" ref="T271">INDIRECT("'"&amp;$A271&amp;"'!Q14")</f>
        <v/>
      </c>
      <c r="U271" s="3">
        <f t="array" ref="U271">INDIRECT("'"&amp;$A271&amp;"'!R14")</f>
        <v/>
      </c>
      <c r="V271" s="3">
        <f t="array" ref="V271">INDIRECT("'"&amp;$A271&amp;"'!S14")</f>
        <v/>
      </c>
      <c r="W271" s="3">
        <f t="array" ref="W271">INDIRECT("'"&amp;$A271&amp;"'!T14")</f>
        <v/>
      </c>
      <c r="X271" s="3">
        <f t="array" ref="X271">INDIRECT("'"&amp;$A271&amp;"'!U14")</f>
        <v/>
      </c>
      <c r="Y271" s="3">
        <f t="array" ref="Y271">INDIRECT("'"&amp;$A271&amp;"'!V14")</f>
        <v/>
      </c>
      <c r="Z271" s="3">
        <f t="array" ref="Z271">INDIRECT("'"&amp;$A271&amp;"'!W14")</f>
        <v/>
      </c>
      <c r="AA271" s="3">
        <f t="array" ref="AA271">INDIRECT("'"&amp;$A271&amp;"'!X14")</f>
        <v/>
      </c>
      <c r="AB271" s="3">
        <f t="array" ref="AB271">INDIRECT("'"&amp;$A271&amp;"'!Y14")</f>
        <v/>
      </c>
      <c r="AC271" s="3">
        <f t="array" ref="AC271">INDIRECT("'"&amp;$A271&amp;"'!Z14")</f>
        <v/>
      </c>
      <c r="AD271" s="32">
        <f t="array" ref="AD271">INDIRECT("'"&amp;$A271&amp;"'!AA14")</f>
        <v/>
      </c>
      <c r="AE271" s="81">
        <f t="array" ref="AE271">INDIRECT("'"&amp;$A270&amp;"'!J4")</f>
        <v/>
      </c>
      <c r="AF271" s="53" t="n"/>
    </row>
    <row r="272">
      <c r="A272" s="58" t="n">
        <v>91</v>
      </c>
      <c r="B272" s="103">
        <f>INDEX(data!$I$2:$I$98,MATCH(A272*1,data!$G$2:$G$98,0))</f>
        <v/>
      </c>
      <c r="C272" s="66">
        <f>HYPERLINK("#'" &amp; A272 &amp; "'!A1", "编辑")</f>
        <v/>
      </c>
      <c r="D272" s="54" t="inlineStr">
        <is>
          <t>1队</t>
        </is>
      </c>
      <c r="E272" s="79">
        <f t="array" ref="E272">INDIRECT("'"&amp;$A273&amp;"'!I2")</f>
        <v/>
      </c>
      <c r="F272" s="29">
        <f t="array" ref="F272">INDIRECT("'"&amp;$A272&amp;"'!C8")</f>
        <v/>
      </c>
      <c r="G272" s="30">
        <f t="array" ref="G272">INDIRECT("'"&amp;$A272&amp;"'!D8")</f>
        <v/>
      </c>
      <c r="H272" s="30">
        <f t="array" ref="H272">INDIRECT("'"&amp;$A272&amp;"'!E8")</f>
        <v/>
      </c>
      <c r="I272" s="30">
        <f t="array" ref="I272">INDIRECT("'"&amp;$A272&amp;"'!F8")</f>
        <v/>
      </c>
      <c r="J272" s="30">
        <f t="array" ref="J272">INDIRECT("'"&amp;$A272&amp;"'!G8")</f>
        <v/>
      </c>
      <c r="K272" s="30">
        <f t="array" ref="K272">INDIRECT("'"&amp;$A272&amp;"'!H8")</f>
        <v/>
      </c>
      <c r="L272" s="30">
        <f t="array" ref="L272">INDIRECT("'"&amp;$A272&amp;"'!I8")</f>
        <v/>
      </c>
      <c r="M272" s="30">
        <f t="array" ref="M272">INDIRECT("'"&amp;$A272&amp;"'!J8")</f>
        <v/>
      </c>
      <c r="N272" s="30">
        <f t="array" ref="N272">INDIRECT("'"&amp;$A272&amp;"'!K8")</f>
        <v/>
      </c>
      <c r="O272" s="30">
        <f t="array" ref="O272">INDIRECT("'"&amp;$A272&amp;"'!L8")</f>
        <v/>
      </c>
      <c r="P272" s="30">
        <f t="array" ref="P272">INDIRECT("'"&amp;$A272&amp;"'!M8")</f>
        <v/>
      </c>
      <c r="Q272" s="30">
        <f t="array" ref="Q272">INDIRECT("'"&amp;$A272&amp;"'!N8")</f>
        <v/>
      </c>
      <c r="R272" s="30">
        <f t="array" ref="R272">INDIRECT("'"&amp;$A272&amp;"'!O8")</f>
        <v/>
      </c>
      <c r="S272" s="30">
        <f t="array" ref="S272">INDIRECT("'"&amp;$A272&amp;"'!P8")</f>
        <v/>
      </c>
      <c r="T272" s="30">
        <f t="array" ref="T272">INDIRECT("'"&amp;$A272&amp;"'!Q8")</f>
        <v/>
      </c>
      <c r="U272" s="30">
        <f t="array" ref="U272">INDIRECT("'"&amp;$A272&amp;"'!R8")</f>
        <v/>
      </c>
      <c r="V272" s="30">
        <f t="array" ref="V272">INDIRECT("'"&amp;$A272&amp;"'!S8")</f>
        <v/>
      </c>
      <c r="W272" s="30">
        <f t="array" ref="W272">INDIRECT("'"&amp;$A272&amp;"'!T8")</f>
        <v/>
      </c>
      <c r="X272" s="30">
        <f t="array" ref="X272">INDIRECT("'"&amp;$A272&amp;"'!U8")</f>
        <v/>
      </c>
      <c r="Y272" s="30">
        <f t="array" ref="Y272">INDIRECT("'"&amp;$A272&amp;"'!V8")</f>
        <v/>
      </c>
      <c r="Z272" s="30">
        <f t="array" ref="Z272">INDIRECT("'"&amp;$A272&amp;"'!W8")</f>
        <v/>
      </c>
      <c r="AA272" s="30">
        <f t="array" ref="AA272">INDIRECT("'"&amp;$A272&amp;"'!X8")</f>
        <v/>
      </c>
      <c r="AB272" s="30">
        <f t="array" ref="AB272">INDIRECT("'"&amp;$A272&amp;"'!Y8")</f>
        <v/>
      </c>
      <c r="AC272" s="30">
        <f t="array" ref="AC272">INDIRECT("'"&amp;$A272&amp;"'!Z8")</f>
        <v/>
      </c>
      <c r="AD272" s="31">
        <f t="array" ref="AD272">INDIRECT("'"&amp;$A272&amp;"'!AA8")</f>
        <v/>
      </c>
      <c r="AE272" s="79">
        <f t="array" ref="AE272">INDIRECT("'"&amp;$A273&amp;"'!J2")</f>
        <v/>
      </c>
      <c r="AF272" s="53">
        <f t="array" ref="AF272">INDIRECT("'"&amp;$A273&amp;"'!AD1")</f>
        <v/>
      </c>
    </row>
    <row r="273">
      <c r="A273" s="58" t="n">
        <v>91</v>
      </c>
      <c r="B273" s="105" t="n"/>
      <c r="C273" s="67">
        <f t="array" ref="C273">CONCATENATE("粮 ",INDIRECT("'"&amp;$A273&amp;"'!D4"))</f>
        <v/>
      </c>
      <c r="D273" s="55" t="inlineStr">
        <is>
          <t>2队</t>
        </is>
      </c>
      <c r="E273" s="80">
        <f t="array" ref="E273">INDIRECT("'"&amp;$A273&amp;"'!I3")</f>
        <v/>
      </c>
      <c r="F273" s="52">
        <f t="array" ref="F273">INDIRECT("'"&amp;$A273&amp;"'!C11")</f>
        <v/>
      </c>
      <c r="G273" s="3">
        <f t="array" ref="G273">INDIRECT("'"&amp;$A273&amp;"'!D11")</f>
        <v/>
      </c>
      <c r="H273" s="3">
        <f t="array" ref="H273">INDIRECT("'"&amp;$A273&amp;"'!E11")</f>
        <v/>
      </c>
      <c r="I273" s="3">
        <f t="array" ref="I273">INDIRECT("'"&amp;$A273&amp;"'!F11")</f>
        <v/>
      </c>
      <c r="J273" s="3">
        <f t="array" ref="J273">INDIRECT("'"&amp;$A273&amp;"'!G11")</f>
        <v/>
      </c>
      <c r="K273" s="3">
        <f t="array" ref="K273">INDIRECT("'"&amp;$A273&amp;"'!H11")</f>
        <v/>
      </c>
      <c r="L273" s="3">
        <f t="array" ref="L273">INDIRECT("'"&amp;$A273&amp;"'!I11")</f>
        <v/>
      </c>
      <c r="M273" s="3">
        <f t="array" ref="M273">INDIRECT("'"&amp;$A273&amp;"'!J11")</f>
        <v/>
      </c>
      <c r="N273" s="3">
        <f t="array" ref="N273">INDIRECT("'"&amp;$A273&amp;"'!K11")</f>
        <v/>
      </c>
      <c r="O273" s="3">
        <f t="array" ref="O273">INDIRECT("'"&amp;$A273&amp;"'!L11")</f>
        <v/>
      </c>
      <c r="P273" s="3">
        <f t="array" ref="P273">INDIRECT("'"&amp;$A273&amp;"'!M11")</f>
        <v/>
      </c>
      <c r="Q273" s="3">
        <f t="array" ref="Q273">INDIRECT("'"&amp;$A273&amp;"'!N11")</f>
        <v/>
      </c>
      <c r="R273" s="3">
        <f t="array" ref="R273">INDIRECT("'"&amp;$A273&amp;"'!O11")</f>
        <v/>
      </c>
      <c r="S273" s="3">
        <f t="array" ref="S273">INDIRECT("'"&amp;$A273&amp;"'!P11")</f>
        <v/>
      </c>
      <c r="T273" s="3">
        <f t="array" ref="T273">INDIRECT("'"&amp;$A273&amp;"'!Q11")</f>
        <v/>
      </c>
      <c r="U273" s="3">
        <f t="array" ref="U273">INDIRECT("'"&amp;$A273&amp;"'!R11")</f>
        <v/>
      </c>
      <c r="V273" s="3">
        <f t="array" ref="V273">INDIRECT("'"&amp;$A273&amp;"'!S11")</f>
        <v/>
      </c>
      <c r="W273" s="3">
        <f t="array" ref="W273">INDIRECT("'"&amp;$A273&amp;"'!T11")</f>
        <v/>
      </c>
      <c r="X273" s="3">
        <f t="array" ref="X273">INDIRECT("'"&amp;$A273&amp;"'!U11")</f>
        <v/>
      </c>
      <c r="Y273" s="3">
        <f t="array" ref="Y273">INDIRECT("'"&amp;$A273&amp;"'!V11")</f>
        <v/>
      </c>
      <c r="Z273" s="3">
        <f t="array" ref="Z273">INDIRECT("'"&amp;$A273&amp;"'!W11")</f>
        <v/>
      </c>
      <c r="AA273" s="3">
        <f t="array" ref="AA273">INDIRECT("'"&amp;$A273&amp;"'!X11")</f>
        <v/>
      </c>
      <c r="AB273" s="3">
        <f t="array" ref="AB273">INDIRECT("'"&amp;$A273&amp;"'!Y11")</f>
        <v/>
      </c>
      <c r="AC273" s="3">
        <f t="array" ref="AC273">INDIRECT("'"&amp;$A273&amp;"'!Z11")</f>
        <v/>
      </c>
      <c r="AD273" s="32">
        <f t="array" ref="AD273">INDIRECT("'"&amp;$A273&amp;"'!AA11")</f>
        <v/>
      </c>
      <c r="AE273" s="80">
        <f t="array" ref="AE273">INDIRECT("'"&amp;$A273&amp;"'!J3")</f>
        <v/>
      </c>
      <c r="AF273" s="53">
        <f t="array" ref="AF273">INDIRECT("'"&amp;$A273&amp;"'!AC1")</f>
        <v/>
      </c>
    </row>
    <row r="274" ht="15.75" customHeight="1" thickBot="1">
      <c r="A274" s="58" t="n">
        <v>91</v>
      </c>
      <c r="B274" s="106" t="n"/>
      <c r="C274" s="77">
        <f t="array" ref="C274">CONCATENATE("分 ",INDIRECT("'"&amp;$A273&amp;"'!D6"))</f>
        <v/>
      </c>
      <c r="D274" s="56" t="inlineStr">
        <is>
          <t>3队</t>
        </is>
      </c>
      <c r="E274" s="81">
        <f t="array" ref="E274">INDIRECT("'"&amp;$A273&amp;"'!I4")</f>
        <v/>
      </c>
      <c r="F274" s="52">
        <f t="array" ref="F274">INDIRECT("'"&amp;$A274&amp;"'!C14")</f>
        <v/>
      </c>
      <c r="G274" s="3">
        <f t="array" ref="G274">INDIRECT("'"&amp;$A274&amp;"'!D14")</f>
        <v/>
      </c>
      <c r="H274" s="3">
        <f t="array" ref="H274">INDIRECT("'"&amp;$A274&amp;"'!E14")</f>
        <v/>
      </c>
      <c r="I274" s="3">
        <f t="array" ref="I274">INDIRECT("'"&amp;$A274&amp;"'!F14")</f>
        <v/>
      </c>
      <c r="J274" s="3">
        <f t="array" ref="J274">INDIRECT("'"&amp;$A274&amp;"'!G14")</f>
        <v/>
      </c>
      <c r="K274" s="3">
        <f t="array" ref="K274">INDIRECT("'"&amp;$A274&amp;"'!H14")</f>
        <v/>
      </c>
      <c r="L274" s="3">
        <f t="array" ref="L274">INDIRECT("'"&amp;$A274&amp;"'!I14")</f>
        <v/>
      </c>
      <c r="M274" s="3">
        <f t="array" ref="M274">INDIRECT("'"&amp;$A274&amp;"'!J14")</f>
        <v/>
      </c>
      <c r="N274" s="3">
        <f t="array" ref="N274">INDIRECT("'"&amp;$A274&amp;"'!K14")</f>
        <v/>
      </c>
      <c r="O274" s="3">
        <f t="array" ref="O274">INDIRECT("'"&amp;$A274&amp;"'!L14")</f>
        <v/>
      </c>
      <c r="P274" s="3">
        <f t="array" ref="P274">INDIRECT("'"&amp;$A274&amp;"'!M14")</f>
        <v/>
      </c>
      <c r="Q274" s="3">
        <f t="array" ref="Q274">INDIRECT("'"&amp;$A274&amp;"'!N14")</f>
        <v/>
      </c>
      <c r="R274" s="3">
        <f t="array" ref="R274">INDIRECT("'"&amp;$A274&amp;"'!O14")</f>
        <v/>
      </c>
      <c r="S274" s="3">
        <f t="array" ref="S274">INDIRECT("'"&amp;$A274&amp;"'!P14")</f>
        <v/>
      </c>
      <c r="T274" s="3">
        <f t="array" ref="T274">INDIRECT("'"&amp;$A274&amp;"'!Q14")</f>
        <v/>
      </c>
      <c r="U274" s="3">
        <f t="array" ref="U274">INDIRECT("'"&amp;$A274&amp;"'!R14")</f>
        <v/>
      </c>
      <c r="V274" s="3">
        <f t="array" ref="V274">INDIRECT("'"&amp;$A274&amp;"'!S14")</f>
        <v/>
      </c>
      <c r="W274" s="3">
        <f t="array" ref="W274">INDIRECT("'"&amp;$A274&amp;"'!T14")</f>
        <v/>
      </c>
      <c r="X274" s="3">
        <f t="array" ref="X274">INDIRECT("'"&amp;$A274&amp;"'!U14")</f>
        <v/>
      </c>
      <c r="Y274" s="3">
        <f t="array" ref="Y274">INDIRECT("'"&amp;$A274&amp;"'!V14")</f>
        <v/>
      </c>
      <c r="Z274" s="3">
        <f t="array" ref="Z274">INDIRECT("'"&amp;$A274&amp;"'!W14")</f>
        <v/>
      </c>
      <c r="AA274" s="3">
        <f t="array" ref="AA274">INDIRECT("'"&amp;$A274&amp;"'!X14")</f>
        <v/>
      </c>
      <c r="AB274" s="3">
        <f t="array" ref="AB274">INDIRECT("'"&amp;$A274&amp;"'!Y14")</f>
        <v/>
      </c>
      <c r="AC274" s="3">
        <f t="array" ref="AC274">INDIRECT("'"&amp;$A274&amp;"'!Z14")</f>
        <v/>
      </c>
      <c r="AD274" s="32">
        <f t="array" ref="AD274">INDIRECT("'"&amp;$A274&amp;"'!AA14")</f>
        <v/>
      </c>
      <c r="AE274" s="81">
        <f t="array" ref="AE274">INDIRECT("'"&amp;$A273&amp;"'!J4")</f>
        <v/>
      </c>
      <c r="AF274" s="53" t="n"/>
    </row>
    <row r="275">
      <c r="A275" s="58" t="n">
        <v>92</v>
      </c>
      <c r="B275" s="103">
        <f>INDEX(data!$I$2:$I$98,MATCH(A275*1,data!$G$2:$G$98,0))</f>
        <v/>
      </c>
      <c r="C275" s="66">
        <f>HYPERLINK("#'" &amp; A275 &amp; "'!A1", "编辑")</f>
        <v/>
      </c>
      <c r="D275" s="54" t="inlineStr">
        <is>
          <t>1队</t>
        </is>
      </c>
      <c r="E275" s="79">
        <f t="array" ref="E275">INDIRECT("'"&amp;$A276&amp;"'!I2")</f>
        <v/>
      </c>
      <c r="F275" s="29">
        <f t="array" ref="F275">INDIRECT("'"&amp;$A275&amp;"'!C8")</f>
        <v/>
      </c>
      <c r="G275" s="30">
        <f t="array" ref="G275">INDIRECT("'"&amp;$A275&amp;"'!D8")</f>
        <v/>
      </c>
      <c r="H275" s="30">
        <f t="array" ref="H275">INDIRECT("'"&amp;$A275&amp;"'!E8")</f>
        <v/>
      </c>
      <c r="I275" s="30">
        <f t="array" ref="I275">INDIRECT("'"&amp;$A275&amp;"'!F8")</f>
        <v/>
      </c>
      <c r="J275" s="30">
        <f t="array" ref="J275">INDIRECT("'"&amp;$A275&amp;"'!G8")</f>
        <v/>
      </c>
      <c r="K275" s="30">
        <f t="array" ref="K275">INDIRECT("'"&amp;$A275&amp;"'!H8")</f>
        <v/>
      </c>
      <c r="L275" s="30">
        <f t="array" ref="L275">INDIRECT("'"&amp;$A275&amp;"'!I8")</f>
        <v/>
      </c>
      <c r="M275" s="30">
        <f t="array" ref="M275">INDIRECT("'"&amp;$A275&amp;"'!J8")</f>
        <v/>
      </c>
      <c r="N275" s="30">
        <f t="array" ref="N275">INDIRECT("'"&amp;$A275&amp;"'!K8")</f>
        <v/>
      </c>
      <c r="O275" s="30">
        <f t="array" ref="O275">INDIRECT("'"&amp;$A275&amp;"'!L8")</f>
        <v/>
      </c>
      <c r="P275" s="30">
        <f t="array" ref="P275">INDIRECT("'"&amp;$A275&amp;"'!M8")</f>
        <v/>
      </c>
      <c r="Q275" s="30">
        <f t="array" ref="Q275">INDIRECT("'"&amp;$A275&amp;"'!N8")</f>
        <v/>
      </c>
      <c r="R275" s="30">
        <f t="array" ref="R275">INDIRECT("'"&amp;$A275&amp;"'!O8")</f>
        <v/>
      </c>
      <c r="S275" s="30">
        <f t="array" ref="S275">INDIRECT("'"&amp;$A275&amp;"'!P8")</f>
        <v/>
      </c>
      <c r="T275" s="30">
        <f t="array" ref="T275">INDIRECT("'"&amp;$A275&amp;"'!Q8")</f>
        <v/>
      </c>
      <c r="U275" s="30">
        <f t="array" ref="U275">INDIRECT("'"&amp;$A275&amp;"'!R8")</f>
        <v/>
      </c>
      <c r="V275" s="30">
        <f t="array" ref="V275">INDIRECT("'"&amp;$A275&amp;"'!S8")</f>
        <v/>
      </c>
      <c r="W275" s="30">
        <f t="array" ref="W275">INDIRECT("'"&amp;$A275&amp;"'!T8")</f>
        <v/>
      </c>
      <c r="X275" s="30">
        <f t="array" ref="X275">INDIRECT("'"&amp;$A275&amp;"'!U8")</f>
        <v/>
      </c>
      <c r="Y275" s="30">
        <f t="array" ref="Y275">INDIRECT("'"&amp;$A275&amp;"'!V8")</f>
        <v/>
      </c>
      <c r="Z275" s="30">
        <f t="array" ref="Z275">INDIRECT("'"&amp;$A275&amp;"'!W8")</f>
        <v/>
      </c>
      <c r="AA275" s="30">
        <f t="array" ref="AA275">INDIRECT("'"&amp;$A275&amp;"'!X8")</f>
        <v/>
      </c>
      <c r="AB275" s="30">
        <f t="array" ref="AB275">INDIRECT("'"&amp;$A275&amp;"'!Y8")</f>
        <v/>
      </c>
      <c r="AC275" s="30">
        <f t="array" ref="AC275">INDIRECT("'"&amp;$A275&amp;"'!Z8")</f>
        <v/>
      </c>
      <c r="AD275" s="31">
        <f t="array" ref="AD275">INDIRECT("'"&amp;$A275&amp;"'!AA8")</f>
        <v/>
      </c>
      <c r="AE275" s="79">
        <f t="array" ref="AE275">INDIRECT("'"&amp;$A276&amp;"'!J2")</f>
        <v/>
      </c>
      <c r="AF275" s="53">
        <f t="array" ref="AF275">INDIRECT("'"&amp;$A276&amp;"'!AD1")</f>
        <v/>
      </c>
    </row>
    <row r="276">
      <c r="A276" s="58" t="n">
        <v>92</v>
      </c>
      <c r="B276" s="105" t="n"/>
      <c r="C276" s="67">
        <f t="array" ref="C276">CONCATENATE("粮 ",INDIRECT("'"&amp;$A276&amp;"'!D4"))</f>
        <v/>
      </c>
      <c r="D276" s="55" t="inlineStr">
        <is>
          <t>2队</t>
        </is>
      </c>
      <c r="E276" s="80">
        <f t="array" ref="E276">INDIRECT("'"&amp;$A276&amp;"'!I3")</f>
        <v/>
      </c>
      <c r="F276" s="52">
        <f t="array" ref="F276">INDIRECT("'"&amp;$A276&amp;"'!C11")</f>
        <v/>
      </c>
      <c r="G276" s="3">
        <f t="array" ref="G276">INDIRECT("'"&amp;$A276&amp;"'!D11")</f>
        <v/>
      </c>
      <c r="H276" s="3">
        <f t="array" ref="H276">INDIRECT("'"&amp;$A276&amp;"'!E11")</f>
        <v/>
      </c>
      <c r="I276" s="3">
        <f t="array" ref="I276">INDIRECT("'"&amp;$A276&amp;"'!F11")</f>
        <v/>
      </c>
      <c r="J276" s="3">
        <f t="array" ref="J276">INDIRECT("'"&amp;$A276&amp;"'!G11")</f>
        <v/>
      </c>
      <c r="K276" s="3">
        <f t="array" ref="K276">INDIRECT("'"&amp;$A276&amp;"'!H11")</f>
        <v/>
      </c>
      <c r="L276" s="3">
        <f t="array" ref="L276">INDIRECT("'"&amp;$A276&amp;"'!I11")</f>
        <v/>
      </c>
      <c r="M276" s="3">
        <f t="array" ref="M276">INDIRECT("'"&amp;$A276&amp;"'!J11")</f>
        <v/>
      </c>
      <c r="N276" s="3">
        <f t="array" ref="N276">INDIRECT("'"&amp;$A276&amp;"'!K11")</f>
        <v/>
      </c>
      <c r="O276" s="3">
        <f t="array" ref="O276">INDIRECT("'"&amp;$A276&amp;"'!L11")</f>
        <v/>
      </c>
      <c r="P276" s="3">
        <f t="array" ref="P276">INDIRECT("'"&amp;$A276&amp;"'!M11")</f>
        <v/>
      </c>
      <c r="Q276" s="3">
        <f t="array" ref="Q276">INDIRECT("'"&amp;$A276&amp;"'!N11")</f>
        <v/>
      </c>
      <c r="R276" s="3">
        <f t="array" ref="R276">INDIRECT("'"&amp;$A276&amp;"'!O11")</f>
        <v/>
      </c>
      <c r="S276" s="3">
        <f t="array" ref="S276">INDIRECT("'"&amp;$A276&amp;"'!P11")</f>
        <v/>
      </c>
      <c r="T276" s="3">
        <f t="array" ref="T276">INDIRECT("'"&amp;$A276&amp;"'!Q11")</f>
        <v/>
      </c>
      <c r="U276" s="3">
        <f t="array" ref="U276">INDIRECT("'"&amp;$A276&amp;"'!R11")</f>
        <v/>
      </c>
      <c r="V276" s="3">
        <f t="array" ref="V276">INDIRECT("'"&amp;$A276&amp;"'!S11")</f>
        <v/>
      </c>
      <c r="W276" s="3">
        <f t="array" ref="W276">INDIRECT("'"&amp;$A276&amp;"'!T11")</f>
        <v/>
      </c>
      <c r="X276" s="3">
        <f t="array" ref="X276">INDIRECT("'"&amp;$A276&amp;"'!U11")</f>
        <v/>
      </c>
      <c r="Y276" s="3">
        <f t="array" ref="Y276">INDIRECT("'"&amp;$A276&amp;"'!V11")</f>
        <v/>
      </c>
      <c r="Z276" s="3">
        <f t="array" ref="Z276">INDIRECT("'"&amp;$A276&amp;"'!W11")</f>
        <v/>
      </c>
      <c r="AA276" s="3">
        <f t="array" ref="AA276">INDIRECT("'"&amp;$A276&amp;"'!X11")</f>
        <v/>
      </c>
      <c r="AB276" s="3">
        <f t="array" ref="AB276">INDIRECT("'"&amp;$A276&amp;"'!Y11")</f>
        <v/>
      </c>
      <c r="AC276" s="3">
        <f t="array" ref="AC276">INDIRECT("'"&amp;$A276&amp;"'!Z11")</f>
        <v/>
      </c>
      <c r="AD276" s="32">
        <f t="array" ref="AD276">INDIRECT("'"&amp;$A276&amp;"'!AA11")</f>
        <v/>
      </c>
      <c r="AE276" s="80">
        <f t="array" ref="AE276">INDIRECT("'"&amp;$A276&amp;"'!J3")</f>
        <v/>
      </c>
      <c r="AF276" s="53">
        <f t="array" ref="AF276">INDIRECT("'"&amp;$A276&amp;"'!AC1")</f>
        <v/>
      </c>
    </row>
    <row r="277" ht="15.75" customHeight="1" thickBot="1">
      <c r="A277" s="58" t="n">
        <v>92</v>
      </c>
      <c r="B277" s="106" t="n"/>
      <c r="C277" s="77">
        <f t="array" ref="C277">CONCATENATE("分 ",INDIRECT("'"&amp;$A276&amp;"'!D6"))</f>
        <v/>
      </c>
      <c r="D277" s="56" t="inlineStr">
        <is>
          <t>3队</t>
        </is>
      </c>
      <c r="E277" s="81">
        <f t="array" ref="E277">INDIRECT("'"&amp;$A276&amp;"'!I4")</f>
        <v/>
      </c>
      <c r="F277" s="52">
        <f t="array" ref="F277">INDIRECT("'"&amp;$A277&amp;"'!C14")</f>
        <v/>
      </c>
      <c r="G277" s="3">
        <f t="array" ref="G277">INDIRECT("'"&amp;$A277&amp;"'!D14")</f>
        <v/>
      </c>
      <c r="H277" s="3">
        <f t="array" ref="H277">INDIRECT("'"&amp;$A277&amp;"'!E14")</f>
        <v/>
      </c>
      <c r="I277" s="3">
        <f t="array" ref="I277">INDIRECT("'"&amp;$A277&amp;"'!F14")</f>
        <v/>
      </c>
      <c r="J277" s="3">
        <f t="array" ref="J277">INDIRECT("'"&amp;$A277&amp;"'!G14")</f>
        <v/>
      </c>
      <c r="K277" s="3">
        <f t="array" ref="K277">INDIRECT("'"&amp;$A277&amp;"'!H14")</f>
        <v/>
      </c>
      <c r="L277" s="3">
        <f t="array" ref="L277">INDIRECT("'"&amp;$A277&amp;"'!I14")</f>
        <v/>
      </c>
      <c r="M277" s="3">
        <f t="array" ref="M277">INDIRECT("'"&amp;$A277&amp;"'!J14")</f>
        <v/>
      </c>
      <c r="N277" s="3">
        <f t="array" ref="N277">INDIRECT("'"&amp;$A277&amp;"'!K14")</f>
        <v/>
      </c>
      <c r="O277" s="3">
        <f t="array" ref="O277">INDIRECT("'"&amp;$A277&amp;"'!L14")</f>
        <v/>
      </c>
      <c r="P277" s="3">
        <f t="array" ref="P277">INDIRECT("'"&amp;$A277&amp;"'!M14")</f>
        <v/>
      </c>
      <c r="Q277" s="3">
        <f t="array" ref="Q277">INDIRECT("'"&amp;$A277&amp;"'!N14")</f>
        <v/>
      </c>
      <c r="R277" s="3">
        <f t="array" ref="R277">INDIRECT("'"&amp;$A277&amp;"'!O14")</f>
        <v/>
      </c>
      <c r="S277" s="3">
        <f t="array" ref="S277">INDIRECT("'"&amp;$A277&amp;"'!P14")</f>
        <v/>
      </c>
      <c r="T277" s="3">
        <f t="array" ref="T277">INDIRECT("'"&amp;$A277&amp;"'!Q14")</f>
        <v/>
      </c>
      <c r="U277" s="3">
        <f t="array" ref="U277">INDIRECT("'"&amp;$A277&amp;"'!R14")</f>
        <v/>
      </c>
      <c r="V277" s="3">
        <f t="array" ref="V277">INDIRECT("'"&amp;$A277&amp;"'!S14")</f>
        <v/>
      </c>
      <c r="W277" s="3">
        <f t="array" ref="W277">INDIRECT("'"&amp;$A277&amp;"'!T14")</f>
        <v/>
      </c>
      <c r="X277" s="3">
        <f t="array" ref="X277">INDIRECT("'"&amp;$A277&amp;"'!U14")</f>
        <v/>
      </c>
      <c r="Y277" s="3">
        <f t="array" ref="Y277">INDIRECT("'"&amp;$A277&amp;"'!V14")</f>
        <v/>
      </c>
      <c r="Z277" s="3">
        <f t="array" ref="Z277">INDIRECT("'"&amp;$A277&amp;"'!W14")</f>
        <v/>
      </c>
      <c r="AA277" s="3">
        <f t="array" ref="AA277">INDIRECT("'"&amp;$A277&amp;"'!X14")</f>
        <v/>
      </c>
      <c r="AB277" s="3">
        <f t="array" ref="AB277">INDIRECT("'"&amp;$A277&amp;"'!Y14")</f>
        <v/>
      </c>
      <c r="AC277" s="3">
        <f t="array" ref="AC277">INDIRECT("'"&amp;$A277&amp;"'!Z14")</f>
        <v/>
      </c>
      <c r="AD277" s="32">
        <f t="array" ref="AD277">INDIRECT("'"&amp;$A277&amp;"'!AA14")</f>
        <v/>
      </c>
      <c r="AE277" s="81">
        <f t="array" ref="AE277">INDIRECT("'"&amp;$A276&amp;"'!J4")</f>
        <v/>
      </c>
      <c r="AF277" s="53" t="n"/>
    </row>
    <row r="278">
      <c r="A278" s="58" t="n">
        <v>93</v>
      </c>
      <c r="B278" s="103">
        <f>INDEX(data!$I$2:$I$98,MATCH(A278*1,data!$G$2:$G$98,0))</f>
        <v/>
      </c>
      <c r="C278" s="66">
        <f>HYPERLINK("#'" &amp; A278 &amp; "'!A1", "编辑")</f>
        <v/>
      </c>
      <c r="D278" s="54" t="inlineStr">
        <is>
          <t>1队</t>
        </is>
      </c>
      <c r="E278" s="79">
        <f t="array" ref="E278">INDIRECT("'"&amp;$A279&amp;"'!I2")</f>
        <v/>
      </c>
      <c r="F278" s="29">
        <f t="array" ref="F278">INDIRECT("'"&amp;$A278&amp;"'!C8")</f>
        <v/>
      </c>
      <c r="G278" s="30">
        <f t="array" ref="G278">INDIRECT("'"&amp;$A278&amp;"'!D8")</f>
        <v/>
      </c>
      <c r="H278" s="30">
        <f t="array" ref="H278">INDIRECT("'"&amp;$A278&amp;"'!E8")</f>
        <v/>
      </c>
      <c r="I278" s="30">
        <f t="array" ref="I278">INDIRECT("'"&amp;$A278&amp;"'!F8")</f>
        <v/>
      </c>
      <c r="J278" s="30">
        <f t="array" ref="J278">INDIRECT("'"&amp;$A278&amp;"'!G8")</f>
        <v/>
      </c>
      <c r="K278" s="30">
        <f t="array" ref="K278">INDIRECT("'"&amp;$A278&amp;"'!H8")</f>
        <v/>
      </c>
      <c r="L278" s="30">
        <f t="array" ref="L278">INDIRECT("'"&amp;$A278&amp;"'!I8")</f>
        <v/>
      </c>
      <c r="M278" s="30">
        <f t="array" ref="M278">INDIRECT("'"&amp;$A278&amp;"'!J8")</f>
        <v/>
      </c>
      <c r="N278" s="30">
        <f t="array" ref="N278">INDIRECT("'"&amp;$A278&amp;"'!K8")</f>
        <v/>
      </c>
      <c r="O278" s="30">
        <f t="array" ref="O278">INDIRECT("'"&amp;$A278&amp;"'!L8")</f>
        <v/>
      </c>
      <c r="P278" s="30">
        <f t="array" ref="P278">INDIRECT("'"&amp;$A278&amp;"'!M8")</f>
        <v/>
      </c>
      <c r="Q278" s="30">
        <f t="array" ref="Q278">INDIRECT("'"&amp;$A278&amp;"'!N8")</f>
        <v/>
      </c>
      <c r="R278" s="30">
        <f t="array" ref="R278">INDIRECT("'"&amp;$A278&amp;"'!O8")</f>
        <v/>
      </c>
      <c r="S278" s="30">
        <f t="array" ref="S278">INDIRECT("'"&amp;$A278&amp;"'!P8")</f>
        <v/>
      </c>
      <c r="T278" s="30">
        <f t="array" ref="T278">INDIRECT("'"&amp;$A278&amp;"'!Q8")</f>
        <v/>
      </c>
      <c r="U278" s="30">
        <f t="array" ref="U278">INDIRECT("'"&amp;$A278&amp;"'!R8")</f>
        <v/>
      </c>
      <c r="V278" s="30">
        <f t="array" ref="V278">INDIRECT("'"&amp;$A278&amp;"'!S8")</f>
        <v/>
      </c>
      <c r="W278" s="30">
        <f t="array" ref="W278">INDIRECT("'"&amp;$A278&amp;"'!T8")</f>
        <v/>
      </c>
      <c r="X278" s="30">
        <f t="array" ref="X278">INDIRECT("'"&amp;$A278&amp;"'!U8")</f>
        <v/>
      </c>
      <c r="Y278" s="30">
        <f t="array" ref="Y278">INDIRECT("'"&amp;$A278&amp;"'!V8")</f>
        <v/>
      </c>
      <c r="Z278" s="30">
        <f t="array" ref="Z278">INDIRECT("'"&amp;$A278&amp;"'!W8")</f>
        <v/>
      </c>
      <c r="AA278" s="30">
        <f t="array" ref="AA278">INDIRECT("'"&amp;$A278&amp;"'!X8")</f>
        <v/>
      </c>
      <c r="AB278" s="30">
        <f t="array" ref="AB278">INDIRECT("'"&amp;$A278&amp;"'!Y8")</f>
        <v/>
      </c>
      <c r="AC278" s="30">
        <f t="array" ref="AC278">INDIRECT("'"&amp;$A278&amp;"'!Z8")</f>
        <v/>
      </c>
      <c r="AD278" s="31">
        <f t="array" ref="AD278">INDIRECT("'"&amp;$A278&amp;"'!AA8")</f>
        <v/>
      </c>
      <c r="AE278" s="79">
        <f t="array" ref="AE278">INDIRECT("'"&amp;$A279&amp;"'!J2")</f>
        <v/>
      </c>
      <c r="AF278" s="53">
        <f t="array" ref="AF278">INDIRECT("'"&amp;$A279&amp;"'!AD1")</f>
        <v/>
      </c>
    </row>
    <row r="279">
      <c r="A279" s="58" t="n">
        <v>93</v>
      </c>
      <c r="B279" s="105" t="n"/>
      <c r="C279" s="67">
        <f t="array" ref="C279">CONCATENATE("粮 ",INDIRECT("'"&amp;$A279&amp;"'!D4"))</f>
        <v/>
      </c>
      <c r="D279" s="55" t="inlineStr">
        <is>
          <t>2队</t>
        </is>
      </c>
      <c r="E279" s="80">
        <f t="array" ref="E279">INDIRECT("'"&amp;$A279&amp;"'!I3")</f>
        <v/>
      </c>
      <c r="F279" s="52">
        <f t="array" ref="F279">INDIRECT("'"&amp;$A279&amp;"'!C11")</f>
        <v/>
      </c>
      <c r="G279" s="3">
        <f t="array" ref="G279">INDIRECT("'"&amp;$A279&amp;"'!D11")</f>
        <v/>
      </c>
      <c r="H279" s="3">
        <f t="array" ref="H279">INDIRECT("'"&amp;$A279&amp;"'!E11")</f>
        <v/>
      </c>
      <c r="I279" s="3">
        <f t="array" ref="I279">INDIRECT("'"&amp;$A279&amp;"'!F11")</f>
        <v/>
      </c>
      <c r="J279" s="3">
        <f t="array" ref="J279">INDIRECT("'"&amp;$A279&amp;"'!G11")</f>
        <v/>
      </c>
      <c r="K279" s="3">
        <f t="array" ref="K279">INDIRECT("'"&amp;$A279&amp;"'!H11")</f>
        <v/>
      </c>
      <c r="L279" s="3">
        <f t="array" ref="L279">INDIRECT("'"&amp;$A279&amp;"'!I11")</f>
        <v/>
      </c>
      <c r="M279" s="3">
        <f t="array" ref="M279">INDIRECT("'"&amp;$A279&amp;"'!J11")</f>
        <v/>
      </c>
      <c r="N279" s="3">
        <f t="array" ref="N279">INDIRECT("'"&amp;$A279&amp;"'!K11")</f>
        <v/>
      </c>
      <c r="O279" s="3">
        <f t="array" ref="O279">INDIRECT("'"&amp;$A279&amp;"'!L11")</f>
        <v/>
      </c>
      <c r="P279" s="3">
        <f t="array" ref="P279">INDIRECT("'"&amp;$A279&amp;"'!M11")</f>
        <v/>
      </c>
      <c r="Q279" s="3">
        <f t="array" ref="Q279">INDIRECT("'"&amp;$A279&amp;"'!N11")</f>
        <v/>
      </c>
      <c r="R279" s="3">
        <f t="array" ref="R279">INDIRECT("'"&amp;$A279&amp;"'!O11")</f>
        <v/>
      </c>
      <c r="S279" s="3">
        <f t="array" ref="S279">INDIRECT("'"&amp;$A279&amp;"'!P11")</f>
        <v/>
      </c>
      <c r="T279" s="3">
        <f t="array" ref="T279">INDIRECT("'"&amp;$A279&amp;"'!Q11")</f>
        <v/>
      </c>
      <c r="U279" s="3">
        <f t="array" ref="U279">INDIRECT("'"&amp;$A279&amp;"'!R11")</f>
        <v/>
      </c>
      <c r="V279" s="3">
        <f t="array" ref="V279">INDIRECT("'"&amp;$A279&amp;"'!S11")</f>
        <v/>
      </c>
      <c r="W279" s="3">
        <f t="array" ref="W279">INDIRECT("'"&amp;$A279&amp;"'!T11")</f>
        <v/>
      </c>
      <c r="X279" s="3">
        <f t="array" ref="X279">INDIRECT("'"&amp;$A279&amp;"'!U11")</f>
        <v/>
      </c>
      <c r="Y279" s="3">
        <f t="array" ref="Y279">INDIRECT("'"&amp;$A279&amp;"'!V11")</f>
        <v/>
      </c>
      <c r="Z279" s="3">
        <f t="array" ref="Z279">INDIRECT("'"&amp;$A279&amp;"'!W11")</f>
        <v/>
      </c>
      <c r="AA279" s="3">
        <f t="array" ref="AA279">INDIRECT("'"&amp;$A279&amp;"'!X11")</f>
        <v/>
      </c>
      <c r="AB279" s="3">
        <f t="array" ref="AB279">INDIRECT("'"&amp;$A279&amp;"'!Y11")</f>
        <v/>
      </c>
      <c r="AC279" s="3">
        <f t="array" ref="AC279">INDIRECT("'"&amp;$A279&amp;"'!Z11")</f>
        <v/>
      </c>
      <c r="AD279" s="32">
        <f t="array" ref="AD279">INDIRECT("'"&amp;$A279&amp;"'!AA11")</f>
        <v/>
      </c>
      <c r="AE279" s="80">
        <f t="array" ref="AE279">INDIRECT("'"&amp;$A279&amp;"'!J3")</f>
        <v/>
      </c>
      <c r="AF279" s="53">
        <f t="array" ref="AF279">INDIRECT("'"&amp;$A279&amp;"'!AC1")</f>
        <v/>
      </c>
    </row>
    <row r="280" ht="15.75" customHeight="1" thickBot="1">
      <c r="A280" s="58" t="n">
        <v>93</v>
      </c>
      <c r="B280" s="106" t="n"/>
      <c r="C280" s="77">
        <f t="array" ref="C280">CONCATENATE("分 ",INDIRECT("'"&amp;$A279&amp;"'!D6"))</f>
        <v/>
      </c>
      <c r="D280" s="56" t="inlineStr">
        <is>
          <t>3队</t>
        </is>
      </c>
      <c r="E280" s="81">
        <f t="array" ref="E280">INDIRECT("'"&amp;$A279&amp;"'!I4")</f>
        <v/>
      </c>
      <c r="F280" s="52">
        <f t="array" ref="F280">INDIRECT("'"&amp;$A280&amp;"'!C14")</f>
        <v/>
      </c>
      <c r="G280" s="3">
        <f t="array" ref="G280">INDIRECT("'"&amp;$A280&amp;"'!D14")</f>
        <v/>
      </c>
      <c r="H280" s="3">
        <f t="array" ref="H280">INDIRECT("'"&amp;$A280&amp;"'!E14")</f>
        <v/>
      </c>
      <c r="I280" s="3">
        <f t="array" ref="I280">INDIRECT("'"&amp;$A280&amp;"'!F14")</f>
        <v/>
      </c>
      <c r="J280" s="3">
        <f t="array" ref="J280">INDIRECT("'"&amp;$A280&amp;"'!G14")</f>
        <v/>
      </c>
      <c r="K280" s="3">
        <f t="array" ref="K280">INDIRECT("'"&amp;$A280&amp;"'!H14")</f>
        <v/>
      </c>
      <c r="L280" s="3">
        <f t="array" ref="L280">INDIRECT("'"&amp;$A280&amp;"'!I14")</f>
        <v/>
      </c>
      <c r="M280" s="3">
        <f t="array" ref="M280">INDIRECT("'"&amp;$A280&amp;"'!J14")</f>
        <v/>
      </c>
      <c r="N280" s="3">
        <f t="array" ref="N280">INDIRECT("'"&amp;$A280&amp;"'!K14")</f>
        <v/>
      </c>
      <c r="O280" s="3">
        <f t="array" ref="O280">INDIRECT("'"&amp;$A280&amp;"'!L14")</f>
        <v/>
      </c>
      <c r="P280" s="3">
        <f t="array" ref="P280">INDIRECT("'"&amp;$A280&amp;"'!M14")</f>
        <v/>
      </c>
      <c r="Q280" s="3">
        <f t="array" ref="Q280">INDIRECT("'"&amp;$A280&amp;"'!N14")</f>
        <v/>
      </c>
      <c r="R280" s="3">
        <f t="array" ref="R280">INDIRECT("'"&amp;$A280&amp;"'!O14")</f>
        <v/>
      </c>
      <c r="S280" s="3">
        <f t="array" ref="S280">INDIRECT("'"&amp;$A280&amp;"'!P14")</f>
        <v/>
      </c>
      <c r="T280" s="3">
        <f t="array" ref="T280">INDIRECT("'"&amp;$A280&amp;"'!Q14")</f>
        <v/>
      </c>
      <c r="U280" s="3">
        <f t="array" ref="U280">INDIRECT("'"&amp;$A280&amp;"'!R14")</f>
        <v/>
      </c>
      <c r="V280" s="3">
        <f t="array" ref="V280">INDIRECT("'"&amp;$A280&amp;"'!S14")</f>
        <v/>
      </c>
      <c r="W280" s="3">
        <f t="array" ref="W280">INDIRECT("'"&amp;$A280&amp;"'!T14")</f>
        <v/>
      </c>
      <c r="X280" s="3">
        <f t="array" ref="X280">INDIRECT("'"&amp;$A280&amp;"'!U14")</f>
        <v/>
      </c>
      <c r="Y280" s="3">
        <f t="array" ref="Y280">INDIRECT("'"&amp;$A280&amp;"'!V14")</f>
        <v/>
      </c>
      <c r="Z280" s="3">
        <f t="array" ref="Z280">INDIRECT("'"&amp;$A280&amp;"'!W14")</f>
        <v/>
      </c>
      <c r="AA280" s="3">
        <f t="array" ref="AA280">INDIRECT("'"&amp;$A280&amp;"'!X14")</f>
        <v/>
      </c>
      <c r="AB280" s="3">
        <f t="array" ref="AB280">INDIRECT("'"&amp;$A280&amp;"'!Y14")</f>
        <v/>
      </c>
      <c r="AC280" s="3">
        <f t="array" ref="AC280">INDIRECT("'"&amp;$A280&amp;"'!Z14")</f>
        <v/>
      </c>
      <c r="AD280" s="32">
        <f t="array" ref="AD280">INDIRECT("'"&amp;$A280&amp;"'!AA14")</f>
        <v/>
      </c>
      <c r="AE280" s="81">
        <f t="array" ref="AE280">INDIRECT("'"&amp;$A279&amp;"'!J4")</f>
        <v/>
      </c>
      <c r="AF280" s="53" t="n"/>
    </row>
    <row r="281">
      <c r="A281" s="58" t="n">
        <v>94</v>
      </c>
      <c r="B281" s="103">
        <f>INDEX(data!$I$2:$I$98,MATCH(A281*1,data!$G$2:$G$98,0))</f>
        <v/>
      </c>
      <c r="C281" s="66">
        <f>HYPERLINK("#'" &amp; A281 &amp; "'!A1", "编辑")</f>
        <v/>
      </c>
      <c r="D281" s="54" t="inlineStr">
        <is>
          <t>1队</t>
        </is>
      </c>
      <c r="E281" s="79">
        <f t="array" ref="E281">INDIRECT("'"&amp;$A282&amp;"'!I2")</f>
        <v/>
      </c>
      <c r="F281" s="29">
        <f t="array" ref="F281">INDIRECT("'"&amp;$A281&amp;"'!C8")</f>
        <v/>
      </c>
      <c r="G281" s="30">
        <f t="array" ref="G281">INDIRECT("'"&amp;$A281&amp;"'!D8")</f>
        <v/>
      </c>
      <c r="H281" s="30">
        <f t="array" ref="H281">INDIRECT("'"&amp;$A281&amp;"'!E8")</f>
        <v/>
      </c>
      <c r="I281" s="30">
        <f t="array" ref="I281">INDIRECT("'"&amp;$A281&amp;"'!F8")</f>
        <v/>
      </c>
      <c r="J281" s="30">
        <f t="array" ref="J281">INDIRECT("'"&amp;$A281&amp;"'!G8")</f>
        <v/>
      </c>
      <c r="K281" s="30">
        <f t="array" ref="K281">INDIRECT("'"&amp;$A281&amp;"'!H8")</f>
        <v/>
      </c>
      <c r="L281" s="30">
        <f t="array" ref="L281">INDIRECT("'"&amp;$A281&amp;"'!I8")</f>
        <v/>
      </c>
      <c r="M281" s="30">
        <f t="array" ref="M281">INDIRECT("'"&amp;$A281&amp;"'!J8")</f>
        <v/>
      </c>
      <c r="N281" s="30">
        <f t="array" ref="N281">INDIRECT("'"&amp;$A281&amp;"'!K8")</f>
        <v/>
      </c>
      <c r="O281" s="30">
        <f t="array" ref="O281">INDIRECT("'"&amp;$A281&amp;"'!L8")</f>
        <v/>
      </c>
      <c r="P281" s="30">
        <f t="array" ref="P281">INDIRECT("'"&amp;$A281&amp;"'!M8")</f>
        <v/>
      </c>
      <c r="Q281" s="30">
        <f t="array" ref="Q281">INDIRECT("'"&amp;$A281&amp;"'!N8")</f>
        <v/>
      </c>
      <c r="R281" s="30">
        <f t="array" ref="R281">INDIRECT("'"&amp;$A281&amp;"'!O8")</f>
        <v/>
      </c>
      <c r="S281" s="30">
        <f t="array" ref="S281">INDIRECT("'"&amp;$A281&amp;"'!P8")</f>
        <v/>
      </c>
      <c r="T281" s="30">
        <f t="array" ref="T281">INDIRECT("'"&amp;$A281&amp;"'!Q8")</f>
        <v/>
      </c>
      <c r="U281" s="30">
        <f t="array" ref="U281">INDIRECT("'"&amp;$A281&amp;"'!R8")</f>
        <v/>
      </c>
      <c r="V281" s="30">
        <f t="array" ref="V281">INDIRECT("'"&amp;$A281&amp;"'!S8")</f>
        <v/>
      </c>
      <c r="W281" s="30">
        <f t="array" ref="W281">INDIRECT("'"&amp;$A281&amp;"'!T8")</f>
        <v/>
      </c>
      <c r="X281" s="30">
        <f t="array" ref="X281">INDIRECT("'"&amp;$A281&amp;"'!U8")</f>
        <v/>
      </c>
      <c r="Y281" s="30">
        <f t="array" ref="Y281">INDIRECT("'"&amp;$A281&amp;"'!V8")</f>
        <v/>
      </c>
      <c r="Z281" s="30">
        <f t="array" ref="Z281">INDIRECT("'"&amp;$A281&amp;"'!W8")</f>
        <v/>
      </c>
      <c r="AA281" s="30">
        <f t="array" ref="AA281">INDIRECT("'"&amp;$A281&amp;"'!X8")</f>
        <v/>
      </c>
      <c r="AB281" s="30">
        <f t="array" ref="AB281">INDIRECT("'"&amp;$A281&amp;"'!Y8")</f>
        <v/>
      </c>
      <c r="AC281" s="30">
        <f t="array" ref="AC281">INDIRECT("'"&amp;$A281&amp;"'!Z8")</f>
        <v/>
      </c>
      <c r="AD281" s="31">
        <f t="array" ref="AD281">INDIRECT("'"&amp;$A281&amp;"'!AA8")</f>
        <v/>
      </c>
      <c r="AE281" s="79">
        <f t="array" ref="AE281">INDIRECT("'"&amp;$A282&amp;"'!J2")</f>
        <v/>
      </c>
      <c r="AF281" s="53">
        <f t="array" ref="AF281">INDIRECT("'"&amp;$A282&amp;"'!AD1")</f>
        <v/>
      </c>
    </row>
    <row r="282">
      <c r="A282" s="58" t="n">
        <v>94</v>
      </c>
      <c r="B282" s="105" t="n"/>
      <c r="C282" s="67">
        <f t="array" ref="C282">CONCATENATE("粮 ",INDIRECT("'"&amp;$A282&amp;"'!D4"))</f>
        <v/>
      </c>
      <c r="D282" s="55" t="inlineStr">
        <is>
          <t>2队</t>
        </is>
      </c>
      <c r="E282" s="80">
        <f t="array" ref="E282">INDIRECT("'"&amp;$A282&amp;"'!I3")</f>
        <v/>
      </c>
      <c r="F282" s="52">
        <f t="array" ref="F282">INDIRECT("'"&amp;$A282&amp;"'!C11")</f>
        <v/>
      </c>
      <c r="G282" s="3">
        <f t="array" ref="G282">INDIRECT("'"&amp;$A282&amp;"'!D11")</f>
        <v/>
      </c>
      <c r="H282" s="3">
        <f t="array" ref="H282">INDIRECT("'"&amp;$A282&amp;"'!E11")</f>
        <v/>
      </c>
      <c r="I282" s="3">
        <f t="array" ref="I282">INDIRECT("'"&amp;$A282&amp;"'!F11")</f>
        <v/>
      </c>
      <c r="J282" s="3">
        <f t="array" ref="J282">INDIRECT("'"&amp;$A282&amp;"'!G11")</f>
        <v/>
      </c>
      <c r="K282" s="3">
        <f t="array" ref="K282">INDIRECT("'"&amp;$A282&amp;"'!H11")</f>
        <v/>
      </c>
      <c r="L282" s="3">
        <f t="array" ref="L282">INDIRECT("'"&amp;$A282&amp;"'!I11")</f>
        <v/>
      </c>
      <c r="M282" s="3">
        <f t="array" ref="M282">INDIRECT("'"&amp;$A282&amp;"'!J11")</f>
        <v/>
      </c>
      <c r="N282" s="3">
        <f t="array" ref="N282">INDIRECT("'"&amp;$A282&amp;"'!K11")</f>
        <v/>
      </c>
      <c r="O282" s="3">
        <f t="array" ref="O282">INDIRECT("'"&amp;$A282&amp;"'!L11")</f>
        <v/>
      </c>
      <c r="P282" s="3">
        <f t="array" ref="P282">INDIRECT("'"&amp;$A282&amp;"'!M11")</f>
        <v/>
      </c>
      <c r="Q282" s="3">
        <f t="array" ref="Q282">INDIRECT("'"&amp;$A282&amp;"'!N11")</f>
        <v/>
      </c>
      <c r="R282" s="3">
        <f t="array" ref="R282">INDIRECT("'"&amp;$A282&amp;"'!O11")</f>
        <v/>
      </c>
      <c r="S282" s="3">
        <f t="array" ref="S282">INDIRECT("'"&amp;$A282&amp;"'!P11")</f>
        <v/>
      </c>
      <c r="T282" s="3">
        <f t="array" ref="T282">INDIRECT("'"&amp;$A282&amp;"'!Q11")</f>
        <v/>
      </c>
      <c r="U282" s="3">
        <f t="array" ref="U282">INDIRECT("'"&amp;$A282&amp;"'!R11")</f>
        <v/>
      </c>
      <c r="V282" s="3">
        <f t="array" ref="V282">INDIRECT("'"&amp;$A282&amp;"'!S11")</f>
        <v/>
      </c>
      <c r="W282" s="3">
        <f t="array" ref="W282">INDIRECT("'"&amp;$A282&amp;"'!T11")</f>
        <v/>
      </c>
      <c r="X282" s="3">
        <f t="array" ref="X282">INDIRECT("'"&amp;$A282&amp;"'!U11")</f>
        <v/>
      </c>
      <c r="Y282" s="3">
        <f t="array" ref="Y282">INDIRECT("'"&amp;$A282&amp;"'!V11")</f>
        <v/>
      </c>
      <c r="Z282" s="3">
        <f t="array" ref="Z282">INDIRECT("'"&amp;$A282&amp;"'!W11")</f>
        <v/>
      </c>
      <c r="AA282" s="3">
        <f t="array" ref="AA282">INDIRECT("'"&amp;$A282&amp;"'!X11")</f>
        <v/>
      </c>
      <c r="AB282" s="3">
        <f t="array" ref="AB282">INDIRECT("'"&amp;$A282&amp;"'!Y11")</f>
        <v/>
      </c>
      <c r="AC282" s="3">
        <f t="array" ref="AC282">INDIRECT("'"&amp;$A282&amp;"'!Z11")</f>
        <v/>
      </c>
      <c r="AD282" s="32">
        <f t="array" ref="AD282">INDIRECT("'"&amp;$A282&amp;"'!AA11")</f>
        <v/>
      </c>
      <c r="AE282" s="80">
        <f t="array" ref="AE282">INDIRECT("'"&amp;$A282&amp;"'!J3")</f>
        <v/>
      </c>
      <c r="AF282" s="53">
        <f t="array" ref="AF282">INDIRECT("'"&amp;$A282&amp;"'!AC1")</f>
        <v/>
      </c>
    </row>
    <row r="283" ht="15.75" customHeight="1" thickBot="1">
      <c r="A283" s="58" t="n">
        <v>94</v>
      </c>
      <c r="B283" s="106" t="n"/>
      <c r="C283" s="77">
        <f t="array" ref="C283">CONCATENATE("分 ",INDIRECT("'"&amp;$A282&amp;"'!D6"))</f>
        <v/>
      </c>
      <c r="D283" s="56" t="inlineStr">
        <is>
          <t>3队</t>
        </is>
      </c>
      <c r="E283" s="81">
        <f t="array" ref="E283">INDIRECT("'"&amp;$A282&amp;"'!I4")</f>
        <v/>
      </c>
      <c r="F283" s="52">
        <f t="array" ref="F283">INDIRECT("'"&amp;$A283&amp;"'!C14")</f>
        <v/>
      </c>
      <c r="G283" s="3">
        <f t="array" ref="G283">INDIRECT("'"&amp;$A283&amp;"'!D14")</f>
        <v/>
      </c>
      <c r="H283" s="3">
        <f t="array" ref="H283">INDIRECT("'"&amp;$A283&amp;"'!E14")</f>
        <v/>
      </c>
      <c r="I283" s="3">
        <f t="array" ref="I283">INDIRECT("'"&amp;$A283&amp;"'!F14")</f>
        <v/>
      </c>
      <c r="J283" s="3">
        <f t="array" ref="J283">INDIRECT("'"&amp;$A283&amp;"'!G14")</f>
        <v/>
      </c>
      <c r="K283" s="3">
        <f t="array" ref="K283">INDIRECT("'"&amp;$A283&amp;"'!H14")</f>
        <v/>
      </c>
      <c r="L283" s="3">
        <f t="array" ref="L283">INDIRECT("'"&amp;$A283&amp;"'!I14")</f>
        <v/>
      </c>
      <c r="M283" s="3">
        <f t="array" ref="M283">INDIRECT("'"&amp;$A283&amp;"'!J14")</f>
        <v/>
      </c>
      <c r="N283" s="3">
        <f t="array" ref="N283">INDIRECT("'"&amp;$A283&amp;"'!K14")</f>
        <v/>
      </c>
      <c r="O283" s="3">
        <f t="array" ref="O283">INDIRECT("'"&amp;$A283&amp;"'!L14")</f>
        <v/>
      </c>
      <c r="P283" s="3">
        <f t="array" ref="P283">INDIRECT("'"&amp;$A283&amp;"'!M14")</f>
        <v/>
      </c>
      <c r="Q283" s="3">
        <f t="array" ref="Q283">INDIRECT("'"&amp;$A283&amp;"'!N14")</f>
        <v/>
      </c>
      <c r="R283" s="3">
        <f t="array" ref="R283">INDIRECT("'"&amp;$A283&amp;"'!O14")</f>
        <v/>
      </c>
      <c r="S283" s="3">
        <f t="array" ref="S283">INDIRECT("'"&amp;$A283&amp;"'!P14")</f>
        <v/>
      </c>
      <c r="T283" s="3">
        <f t="array" ref="T283">INDIRECT("'"&amp;$A283&amp;"'!Q14")</f>
        <v/>
      </c>
      <c r="U283" s="3">
        <f t="array" ref="U283">INDIRECT("'"&amp;$A283&amp;"'!R14")</f>
        <v/>
      </c>
      <c r="V283" s="3">
        <f t="array" ref="V283">INDIRECT("'"&amp;$A283&amp;"'!S14")</f>
        <v/>
      </c>
      <c r="W283" s="3">
        <f t="array" ref="W283">INDIRECT("'"&amp;$A283&amp;"'!T14")</f>
        <v/>
      </c>
      <c r="X283" s="3">
        <f t="array" ref="X283">INDIRECT("'"&amp;$A283&amp;"'!U14")</f>
        <v/>
      </c>
      <c r="Y283" s="3">
        <f t="array" ref="Y283">INDIRECT("'"&amp;$A283&amp;"'!V14")</f>
        <v/>
      </c>
      <c r="Z283" s="3">
        <f t="array" ref="Z283">INDIRECT("'"&amp;$A283&amp;"'!W14")</f>
        <v/>
      </c>
      <c r="AA283" s="3">
        <f t="array" ref="AA283">INDIRECT("'"&amp;$A283&amp;"'!X14")</f>
        <v/>
      </c>
      <c r="AB283" s="3">
        <f t="array" ref="AB283">INDIRECT("'"&amp;$A283&amp;"'!Y14")</f>
        <v/>
      </c>
      <c r="AC283" s="3">
        <f t="array" ref="AC283">INDIRECT("'"&amp;$A283&amp;"'!Z14")</f>
        <v/>
      </c>
      <c r="AD283" s="32">
        <f t="array" ref="AD283">INDIRECT("'"&amp;$A283&amp;"'!AA14")</f>
        <v/>
      </c>
      <c r="AE283" s="81">
        <f t="array" ref="AE283">INDIRECT("'"&amp;$A282&amp;"'!J4")</f>
        <v/>
      </c>
      <c r="AF283" s="53" t="n"/>
    </row>
    <row r="284">
      <c r="A284" s="58" t="n">
        <v>95</v>
      </c>
      <c r="B284" s="103">
        <f>INDEX(data!$I$2:$I$98,MATCH(A284*1,data!$G$2:$G$98,0))</f>
        <v/>
      </c>
      <c r="C284" s="66">
        <f>HYPERLINK("#'" &amp; A284 &amp; "'!A1", "编辑")</f>
        <v/>
      </c>
      <c r="D284" s="54" t="inlineStr">
        <is>
          <t>1队</t>
        </is>
      </c>
      <c r="E284" s="79">
        <f t="array" ref="E284">INDIRECT("'"&amp;$A285&amp;"'!I2")</f>
        <v/>
      </c>
      <c r="F284" s="29">
        <f t="array" ref="F284">INDIRECT("'"&amp;$A284&amp;"'!C8")</f>
        <v/>
      </c>
      <c r="G284" s="30">
        <f t="array" ref="G284">INDIRECT("'"&amp;$A284&amp;"'!D8")</f>
        <v/>
      </c>
      <c r="H284" s="30">
        <f t="array" ref="H284">INDIRECT("'"&amp;$A284&amp;"'!E8")</f>
        <v/>
      </c>
      <c r="I284" s="30">
        <f t="array" ref="I284">INDIRECT("'"&amp;$A284&amp;"'!F8")</f>
        <v/>
      </c>
      <c r="J284" s="30">
        <f t="array" ref="J284">INDIRECT("'"&amp;$A284&amp;"'!G8")</f>
        <v/>
      </c>
      <c r="K284" s="30">
        <f t="array" ref="K284">INDIRECT("'"&amp;$A284&amp;"'!H8")</f>
        <v/>
      </c>
      <c r="L284" s="30">
        <f t="array" ref="L284">INDIRECT("'"&amp;$A284&amp;"'!I8")</f>
        <v/>
      </c>
      <c r="M284" s="30">
        <f t="array" ref="M284">INDIRECT("'"&amp;$A284&amp;"'!J8")</f>
        <v/>
      </c>
      <c r="N284" s="30">
        <f t="array" ref="N284">INDIRECT("'"&amp;$A284&amp;"'!K8")</f>
        <v/>
      </c>
      <c r="O284" s="30">
        <f t="array" ref="O284">INDIRECT("'"&amp;$A284&amp;"'!L8")</f>
        <v/>
      </c>
      <c r="P284" s="30">
        <f t="array" ref="P284">INDIRECT("'"&amp;$A284&amp;"'!M8")</f>
        <v/>
      </c>
      <c r="Q284" s="30">
        <f t="array" ref="Q284">INDIRECT("'"&amp;$A284&amp;"'!N8")</f>
        <v/>
      </c>
      <c r="R284" s="30">
        <f t="array" ref="R284">INDIRECT("'"&amp;$A284&amp;"'!O8")</f>
        <v/>
      </c>
      <c r="S284" s="30">
        <f t="array" ref="S284">INDIRECT("'"&amp;$A284&amp;"'!P8")</f>
        <v/>
      </c>
      <c r="T284" s="30">
        <f t="array" ref="T284">INDIRECT("'"&amp;$A284&amp;"'!Q8")</f>
        <v/>
      </c>
      <c r="U284" s="30">
        <f t="array" ref="U284">INDIRECT("'"&amp;$A284&amp;"'!R8")</f>
        <v/>
      </c>
      <c r="V284" s="30">
        <f t="array" ref="V284">INDIRECT("'"&amp;$A284&amp;"'!S8")</f>
        <v/>
      </c>
      <c r="W284" s="30">
        <f t="array" ref="W284">INDIRECT("'"&amp;$A284&amp;"'!T8")</f>
        <v/>
      </c>
      <c r="X284" s="30">
        <f t="array" ref="X284">INDIRECT("'"&amp;$A284&amp;"'!U8")</f>
        <v/>
      </c>
      <c r="Y284" s="30">
        <f t="array" ref="Y284">INDIRECT("'"&amp;$A284&amp;"'!V8")</f>
        <v/>
      </c>
      <c r="Z284" s="30">
        <f t="array" ref="Z284">INDIRECT("'"&amp;$A284&amp;"'!W8")</f>
        <v/>
      </c>
      <c r="AA284" s="30">
        <f t="array" ref="AA284">INDIRECT("'"&amp;$A284&amp;"'!X8")</f>
        <v/>
      </c>
      <c r="AB284" s="30">
        <f t="array" ref="AB284">INDIRECT("'"&amp;$A284&amp;"'!Y8")</f>
        <v/>
      </c>
      <c r="AC284" s="30">
        <f t="array" ref="AC284">INDIRECT("'"&amp;$A284&amp;"'!Z8")</f>
        <v/>
      </c>
      <c r="AD284" s="31">
        <f t="array" ref="AD284">INDIRECT("'"&amp;$A284&amp;"'!AA8")</f>
        <v/>
      </c>
      <c r="AE284" s="79">
        <f t="array" ref="AE284">INDIRECT("'"&amp;$A285&amp;"'!J2")</f>
        <v/>
      </c>
      <c r="AF284" s="53">
        <f t="array" ref="AF284">INDIRECT("'"&amp;$A285&amp;"'!AD1")</f>
        <v/>
      </c>
    </row>
    <row r="285">
      <c r="A285" s="58" t="n">
        <v>95</v>
      </c>
      <c r="B285" s="105" t="n"/>
      <c r="C285" s="67">
        <f t="array" ref="C285">CONCATENATE("粮 ",INDIRECT("'"&amp;$A285&amp;"'!D4"))</f>
        <v/>
      </c>
      <c r="D285" s="55" t="inlineStr">
        <is>
          <t>2队</t>
        </is>
      </c>
      <c r="E285" s="80">
        <f t="array" ref="E285">INDIRECT("'"&amp;$A285&amp;"'!I3")</f>
        <v/>
      </c>
      <c r="F285" s="52">
        <f t="array" ref="F285">INDIRECT("'"&amp;$A285&amp;"'!C11")</f>
        <v/>
      </c>
      <c r="G285" s="3">
        <f t="array" ref="G285">INDIRECT("'"&amp;$A285&amp;"'!D11")</f>
        <v/>
      </c>
      <c r="H285" s="3">
        <f t="array" ref="H285">INDIRECT("'"&amp;$A285&amp;"'!E11")</f>
        <v/>
      </c>
      <c r="I285" s="3">
        <f t="array" ref="I285">INDIRECT("'"&amp;$A285&amp;"'!F11")</f>
        <v/>
      </c>
      <c r="J285" s="3">
        <f t="array" ref="J285">INDIRECT("'"&amp;$A285&amp;"'!G11")</f>
        <v/>
      </c>
      <c r="K285" s="3">
        <f t="array" ref="K285">INDIRECT("'"&amp;$A285&amp;"'!H11")</f>
        <v/>
      </c>
      <c r="L285" s="3">
        <f t="array" ref="L285">INDIRECT("'"&amp;$A285&amp;"'!I11")</f>
        <v/>
      </c>
      <c r="M285" s="3">
        <f t="array" ref="M285">INDIRECT("'"&amp;$A285&amp;"'!J11")</f>
        <v/>
      </c>
      <c r="N285" s="3">
        <f t="array" ref="N285">INDIRECT("'"&amp;$A285&amp;"'!K11")</f>
        <v/>
      </c>
      <c r="O285" s="3">
        <f t="array" ref="O285">INDIRECT("'"&amp;$A285&amp;"'!L11")</f>
        <v/>
      </c>
      <c r="P285" s="3">
        <f t="array" ref="P285">INDIRECT("'"&amp;$A285&amp;"'!M11")</f>
        <v/>
      </c>
      <c r="Q285" s="3">
        <f t="array" ref="Q285">INDIRECT("'"&amp;$A285&amp;"'!N11")</f>
        <v/>
      </c>
      <c r="R285" s="3">
        <f t="array" ref="R285">INDIRECT("'"&amp;$A285&amp;"'!O11")</f>
        <v/>
      </c>
      <c r="S285" s="3">
        <f t="array" ref="S285">INDIRECT("'"&amp;$A285&amp;"'!P11")</f>
        <v/>
      </c>
      <c r="T285" s="3">
        <f t="array" ref="T285">INDIRECT("'"&amp;$A285&amp;"'!Q11")</f>
        <v/>
      </c>
      <c r="U285" s="3">
        <f t="array" ref="U285">INDIRECT("'"&amp;$A285&amp;"'!R11")</f>
        <v/>
      </c>
      <c r="V285" s="3">
        <f t="array" ref="V285">INDIRECT("'"&amp;$A285&amp;"'!S11")</f>
        <v/>
      </c>
      <c r="W285" s="3">
        <f t="array" ref="W285">INDIRECT("'"&amp;$A285&amp;"'!T11")</f>
        <v/>
      </c>
      <c r="X285" s="3">
        <f t="array" ref="X285">INDIRECT("'"&amp;$A285&amp;"'!U11")</f>
        <v/>
      </c>
      <c r="Y285" s="3">
        <f t="array" ref="Y285">INDIRECT("'"&amp;$A285&amp;"'!V11")</f>
        <v/>
      </c>
      <c r="Z285" s="3">
        <f t="array" ref="Z285">INDIRECT("'"&amp;$A285&amp;"'!W11")</f>
        <v/>
      </c>
      <c r="AA285" s="3">
        <f t="array" ref="AA285">INDIRECT("'"&amp;$A285&amp;"'!X11")</f>
        <v/>
      </c>
      <c r="AB285" s="3">
        <f t="array" ref="AB285">INDIRECT("'"&amp;$A285&amp;"'!Y11")</f>
        <v/>
      </c>
      <c r="AC285" s="3">
        <f t="array" ref="AC285">INDIRECT("'"&amp;$A285&amp;"'!Z11")</f>
        <v/>
      </c>
      <c r="AD285" s="32">
        <f t="array" ref="AD285">INDIRECT("'"&amp;$A285&amp;"'!AA11")</f>
        <v/>
      </c>
      <c r="AE285" s="80">
        <f t="array" ref="AE285">INDIRECT("'"&amp;$A285&amp;"'!J3")</f>
        <v/>
      </c>
      <c r="AF285" s="53">
        <f t="array" ref="AF285">INDIRECT("'"&amp;$A285&amp;"'!AC1")</f>
        <v/>
      </c>
    </row>
    <row r="286" ht="15.75" customHeight="1" thickBot="1">
      <c r="A286" s="58" t="n">
        <v>95</v>
      </c>
      <c r="B286" s="106" t="n"/>
      <c r="C286" s="77">
        <f t="array" ref="C286">CONCATENATE("分 ",INDIRECT("'"&amp;$A285&amp;"'!D6"))</f>
        <v/>
      </c>
      <c r="D286" s="56" t="inlineStr">
        <is>
          <t>3队</t>
        </is>
      </c>
      <c r="E286" s="81">
        <f t="array" ref="E286">INDIRECT("'"&amp;$A285&amp;"'!I4")</f>
        <v/>
      </c>
      <c r="F286" s="52">
        <f t="array" ref="F286">INDIRECT("'"&amp;$A286&amp;"'!C14")</f>
        <v/>
      </c>
      <c r="G286" s="3">
        <f t="array" ref="G286">INDIRECT("'"&amp;$A286&amp;"'!D14")</f>
        <v/>
      </c>
      <c r="H286" s="3">
        <f t="array" ref="H286">INDIRECT("'"&amp;$A286&amp;"'!E14")</f>
        <v/>
      </c>
      <c r="I286" s="3">
        <f t="array" ref="I286">INDIRECT("'"&amp;$A286&amp;"'!F14")</f>
        <v/>
      </c>
      <c r="J286" s="3">
        <f t="array" ref="J286">INDIRECT("'"&amp;$A286&amp;"'!G14")</f>
        <v/>
      </c>
      <c r="K286" s="3">
        <f t="array" ref="K286">INDIRECT("'"&amp;$A286&amp;"'!H14")</f>
        <v/>
      </c>
      <c r="L286" s="3">
        <f t="array" ref="L286">INDIRECT("'"&amp;$A286&amp;"'!I14")</f>
        <v/>
      </c>
      <c r="M286" s="3">
        <f t="array" ref="M286">INDIRECT("'"&amp;$A286&amp;"'!J14")</f>
        <v/>
      </c>
      <c r="N286" s="3">
        <f t="array" ref="N286">INDIRECT("'"&amp;$A286&amp;"'!K14")</f>
        <v/>
      </c>
      <c r="O286" s="3">
        <f t="array" ref="O286">INDIRECT("'"&amp;$A286&amp;"'!L14")</f>
        <v/>
      </c>
      <c r="P286" s="3">
        <f t="array" ref="P286">INDIRECT("'"&amp;$A286&amp;"'!M14")</f>
        <v/>
      </c>
      <c r="Q286" s="3">
        <f t="array" ref="Q286">INDIRECT("'"&amp;$A286&amp;"'!N14")</f>
        <v/>
      </c>
      <c r="R286" s="3">
        <f t="array" ref="R286">INDIRECT("'"&amp;$A286&amp;"'!O14")</f>
        <v/>
      </c>
      <c r="S286" s="3">
        <f t="array" ref="S286">INDIRECT("'"&amp;$A286&amp;"'!P14")</f>
        <v/>
      </c>
      <c r="T286" s="3">
        <f t="array" ref="T286">INDIRECT("'"&amp;$A286&amp;"'!Q14")</f>
        <v/>
      </c>
      <c r="U286" s="3">
        <f t="array" ref="U286">INDIRECT("'"&amp;$A286&amp;"'!R14")</f>
        <v/>
      </c>
      <c r="V286" s="3">
        <f t="array" ref="V286">INDIRECT("'"&amp;$A286&amp;"'!S14")</f>
        <v/>
      </c>
      <c r="W286" s="3">
        <f t="array" ref="W286">INDIRECT("'"&amp;$A286&amp;"'!T14")</f>
        <v/>
      </c>
      <c r="X286" s="3">
        <f t="array" ref="X286">INDIRECT("'"&amp;$A286&amp;"'!U14")</f>
        <v/>
      </c>
      <c r="Y286" s="3">
        <f t="array" ref="Y286">INDIRECT("'"&amp;$A286&amp;"'!V14")</f>
        <v/>
      </c>
      <c r="Z286" s="3">
        <f t="array" ref="Z286">INDIRECT("'"&amp;$A286&amp;"'!W14")</f>
        <v/>
      </c>
      <c r="AA286" s="3">
        <f t="array" ref="AA286">INDIRECT("'"&amp;$A286&amp;"'!X14")</f>
        <v/>
      </c>
      <c r="AB286" s="3">
        <f t="array" ref="AB286">INDIRECT("'"&amp;$A286&amp;"'!Y14")</f>
        <v/>
      </c>
      <c r="AC286" s="3">
        <f t="array" ref="AC286">INDIRECT("'"&amp;$A286&amp;"'!Z14")</f>
        <v/>
      </c>
      <c r="AD286" s="32">
        <f t="array" ref="AD286">INDIRECT("'"&amp;$A286&amp;"'!AA14")</f>
        <v/>
      </c>
      <c r="AE286" s="81">
        <f t="array" ref="AE286">INDIRECT("'"&amp;$A285&amp;"'!J4")</f>
        <v/>
      </c>
      <c r="AF286" s="53" t="n"/>
    </row>
    <row r="287">
      <c r="A287" s="58" t="n">
        <v>96</v>
      </c>
      <c r="B287" s="103">
        <f>INDEX(data!$I$2:$I$98,MATCH(A287*1,data!$G$2:$G$98,0))</f>
        <v/>
      </c>
      <c r="C287" s="66">
        <f>HYPERLINK("#'" &amp; A287 &amp; "'!A1", "编辑")</f>
        <v/>
      </c>
      <c r="D287" s="54" t="inlineStr">
        <is>
          <t>1队</t>
        </is>
      </c>
      <c r="E287" s="79">
        <f t="array" ref="E287">INDIRECT("'"&amp;$A288&amp;"'!I2")</f>
        <v/>
      </c>
      <c r="F287" s="29">
        <f t="array" ref="F287">INDIRECT("'"&amp;$A287&amp;"'!C8")</f>
        <v/>
      </c>
      <c r="G287" s="30">
        <f t="array" ref="G287">INDIRECT("'"&amp;$A287&amp;"'!D8")</f>
        <v/>
      </c>
      <c r="H287" s="30">
        <f t="array" ref="H287">INDIRECT("'"&amp;$A287&amp;"'!E8")</f>
        <v/>
      </c>
      <c r="I287" s="30">
        <f t="array" ref="I287">INDIRECT("'"&amp;$A287&amp;"'!F8")</f>
        <v/>
      </c>
      <c r="J287" s="30">
        <f t="array" ref="J287">INDIRECT("'"&amp;$A287&amp;"'!G8")</f>
        <v/>
      </c>
      <c r="K287" s="30">
        <f t="array" ref="K287">INDIRECT("'"&amp;$A287&amp;"'!H8")</f>
        <v/>
      </c>
      <c r="L287" s="30">
        <f t="array" ref="L287">INDIRECT("'"&amp;$A287&amp;"'!I8")</f>
        <v/>
      </c>
      <c r="M287" s="30">
        <f t="array" ref="M287">INDIRECT("'"&amp;$A287&amp;"'!J8")</f>
        <v/>
      </c>
      <c r="N287" s="30">
        <f t="array" ref="N287">INDIRECT("'"&amp;$A287&amp;"'!K8")</f>
        <v/>
      </c>
      <c r="O287" s="30">
        <f t="array" ref="O287">INDIRECT("'"&amp;$A287&amp;"'!L8")</f>
        <v/>
      </c>
      <c r="P287" s="30">
        <f t="array" ref="P287">INDIRECT("'"&amp;$A287&amp;"'!M8")</f>
        <v/>
      </c>
      <c r="Q287" s="30">
        <f t="array" ref="Q287">INDIRECT("'"&amp;$A287&amp;"'!N8")</f>
        <v/>
      </c>
      <c r="R287" s="30">
        <f t="array" ref="R287">INDIRECT("'"&amp;$A287&amp;"'!O8")</f>
        <v/>
      </c>
      <c r="S287" s="30">
        <f t="array" ref="S287">INDIRECT("'"&amp;$A287&amp;"'!P8")</f>
        <v/>
      </c>
      <c r="T287" s="30">
        <f t="array" ref="T287">INDIRECT("'"&amp;$A287&amp;"'!Q8")</f>
        <v/>
      </c>
      <c r="U287" s="30">
        <f t="array" ref="U287">INDIRECT("'"&amp;$A287&amp;"'!R8")</f>
        <v/>
      </c>
      <c r="V287" s="30">
        <f t="array" ref="V287">INDIRECT("'"&amp;$A287&amp;"'!S8")</f>
        <v/>
      </c>
      <c r="W287" s="30">
        <f t="array" ref="W287">INDIRECT("'"&amp;$A287&amp;"'!T8")</f>
        <v/>
      </c>
      <c r="X287" s="30">
        <f t="array" ref="X287">INDIRECT("'"&amp;$A287&amp;"'!U8")</f>
        <v/>
      </c>
      <c r="Y287" s="30">
        <f t="array" ref="Y287">INDIRECT("'"&amp;$A287&amp;"'!V8")</f>
        <v/>
      </c>
      <c r="Z287" s="30">
        <f t="array" ref="Z287">INDIRECT("'"&amp;$A287&amp;"'!W8")</f>
        <v/>
      </c>
      <c r="AA287" s="30">
        <f t="array" ref="AA287">INDIRECT("'"&amp;$A287&amp;"'!X8")</f>
        <v/>
      </c>
      <c r="AB287" s="30">
        <f t="array" ref="AB287">INDIRECT("'"&amp;$A287&amp;"'!Y8")</f>
        <v/>
      </c>
      <c r="AC287" s="30">
        <f t="array" ref="AC287">INDIRECT("'"&amp;$A287&amp;"'!Z8")</f>
        <v/>
      </c>
      <c r="AD287" s="31">
        <f t="array" ref="AD287">INDIRECT("'"&amp;$A287&amp;"'!AA8")</f>
        <v/>
      </c>
      <c r="AE287" s="79">
        <f t="array" ref="AE287">INDIRECT("'"&amp;$A288&amp;"'!J2")</f>
        <v/>
      </c>
      <c r="AF287" s="53">
        <f t="array" ref="AF287">INDIRECT("'"&amp;$A288&amp;"'!AD1")</f>
        <v/>
      </c>
    </row>
    <row r="288">
      <c r="A288" s="58" t="n">
        <v>96</v>
      </c>
      <c r="B288" s="105" t="n"/>
      <c r="C288" s="67">
        <f t="array" ref="C288">CONCATENATE("粮 ",INDIRECT("'"&amp;$A288&amp;"'!D4"))</f>
        <v/>
      </c>
      <c r="D288" s="55" t="inlineStr">
        <is>
          <t>2队</t>
        </is>
      </c>
      <c r="E288" s="80">
        <f t="array" ref="E288">INDIRECT("'"&amp;$A288&amp;"'!I3")</f>
        <v/>
      </c>
      <c r="F288" s="52">
        <f t="array" ref="F288">INDIRECT("'"&amp;$A288&amp;"'!C11")</f>
        <v/>
      </c>
      <c r="G288" s="3">
        <f t="array" ref="G288">INDIRECT("'"&amp;$A288&amp;"'!D11")</f>
        <v/>
      </c>
      <c r="H288" s="3">
        <f t="array" ref="H288">INDIRECT("'"&amp;$A288&amp;"'!E11")</f>
        <v/>
      </c>
      <c r="I288" s="3">
        <f t="array" ref="I288">INDIRECT("'"&amp;$A288&amp;"'!F11")</f>
        <v/>
      </c>
      <c r="J288" s="3">
        <f t="array" ref="J288">INDIRECT("'"&amp;$A288&amp;"'!G11")</f>
        <v/>
      </c>
      <c r="K288" s="3">
        <f t="array" ref="K288">INDIRECT("'"&amp;$A288&amp;"'!H11")</f>
        <v/>
      </c>
      <c r="L288" s="3">
        <f t="array" ref="L288">INDIRECT("'"&amp;$A288&amp;"'!I11")</f>
        <v/>
      </c>
      <c r="M288" s="3">
        <f t="array" ref="M288">INDIRECT("'"&amp;$A288&amp;"'!J11")</f>
        <v/>
      </c>
      <c r="N288" s="3">
        <f t="array" ref="N288">INDIRECT("'"&amp;$A288&amp;"'!K11")</f>
        <v/>
      </c>
      <c r="O288" s="3">
        <f t="array" ref="O288">INDIRECT("'"&amp;$A288&amp;"'!L11")</f>
        <v/>
      </c>
      <c r="P288" s="3">
        <f t="array" ref="P288">INDIRECT("'"&amp;$A288&amp;"'!M11")</f>
        <v/>
      </c>
      <c r="Q288" s="3">
        <f t="array" ref="Q288">INDIRECT("'"&amp;$A288&amp;"'!N11")</f>
        <v/>
      </c>
      <c r="R288" s="3">
        <f t="array" ref="R288">INDIRECT("'"&amp;$A288&amp;"'!O11")</f>
        <v/>
      </c>
      <c r="S288" s="3">
        <f t="array" ref="S288">INDIRECT("'"&amp;$A288&amp;"'!P11")</f>
        <v/>
      </c>
      <c r="T288" s="3">
        <f t="array" ref="T288">INDIRECT("'"&amp;$A288&amp;"'!Q11")</f>
        <v/>
      </c>
      <c r="U288" s="3">
        <f t="array" ref="U288">INDIRECT("'"&amp;$A288&amp;"'!R11")</f>
        <v/>
      </c>
      <c r="V288" s="3">
        <f t="array" ref="V288">INDIRECT("'"&amp;$A288&amp;"'!S11")</f>
        <v/>
      </c>
      <c r="W288" s="3">
        <f t="array" ref="W288">INDIRECT("'"&amp;$A288&amp;"'!T11")</f>
        <v/>
      </c>
      <c r="X288" s="3">
        <f t="array" ref="X288">INDIRECT("'"&amp;$A288&amp;"'!U11")</f>
        <v/>
      </c>
      <c r="Y288" s="3">
        <f t="array" ref="Y288">INDIRECT("'"&amp;$A288&amp;"'!V11")</f>
        <v/>
      </c>
      <c r="Z288" s="3">
        <f t="array" ref="Z288">INDIRECT("'"&amp;$A288&amp;"'!W11")</f>
        <v/>
      </c>
      <c r="AA288" s="3">
        <f t="array" ref="AA288">INDIRECT("'"&amp;$A288&amp;"'!X11")</f>
        <v/>
      </c>
      <c r="AB288" s="3">
        <f t="array" ref="AB288">INDIRECT("'"&amp;$A288&amp;"'!Y11")</f>
        <v/>
      </c>
      <c r="AC288" s="3">
        <f t="array" ref="AC288">INDIRECT("'"&amp;$A288&amp;"'!Z11")</f>
        <v/>
      </c>
      <c r="AD288" s="32">
        <f t="array" ref="AD288">INDIRECT("'"&amp;$A288&amp;"'!AA11")</f>
        <v/>
      </c>
      <c r="AE288" s="80">
        <f t="array" ref="AE288">INDIRECT("'"&amp;$A288&amp;"'!J3")</f>
        <v/>
      </c>
      <c r="AF288" s="53">
        <f t="array" ref="AF288">INDIRECT("'"&amp;$A288&amp;"'!AC1")</f>
        <v/>
      </c>
    </row>
    <row r="289" ht="15.75" customHeight="1" thickBot="1">
      <c r="A289" s="58" t="n">
        <v>96</v>
      </c>
      <c r="B289" s="106" t="n"/>
      <c r="C289" s="77">
        <f t="array" ref="C289">CONCATENATE("分 ",INDIRECT("'"&amp;$A288&amp;"'!D6"))</f>
        <v/>
      </c>
      <c r="D289" s="56" t="inlineStr">
        <is>
          <t>3队</t>
        </is>
      </c>
      <c r="E289" s="81">
        <f t="array" ref="E289">INDIRECT("'"&amp;$A288&amp;"'!I4")</f>
        <v/>
      </c>
      <c r="F289" s="52">
        <f t="array" ref="F289">INDIRECT("'"&amp;$A289&amp;"'!C14")</f>
        <v/>
      </c>
      <c r="G289" s="3">
        <f t="array" ref="G289">INDIRECT("'"&amp;$A289&amp;"'!D14")</f>
        <v/>
      </c>
      <c r="H289" s="3">
        <f t="array" ref="H289">INDIRECT("'"&amp;$A289&amp;"'!E14")</f>
        <v/>
      </c>
      <c r="I289" s="3">
        <f t="array" ref="I289">INDIRECT("'"&amp;$A289&amp;"'!F14")</f>
        <v/>
      </c>
      <c r="J289" s="3">
        <f t="array" ref="J289">INDIRECT("'"&amp;$A289&amp;"'!G14")</f>
        <v/>
      </c>
      <c r="K289" s="3">
        <f t="array" ref="K289">INDIRECT("'"&amp;$A289&amp;"'!H14")</f>
        <v/>
      </c>
      <c r="L289" s="3">
        <f t="array" ref="L289">INDIRECT("'"&amp;$A289&amp;"'!I14")</f>
        <v/>
      </c>
      <c r="M289" s="3">
        <f t="array" ref="M289">INDIRECT("'"&amp;$A289&amp;"'!J14")</f>
        <v/>
      </c>
      <c r="N289" s="3">
        <f t="array" ref="N289">INDIRECT("'"&amp;$A289&amp;"'!K14")</f>
        <v/>
      </c>
      <c r="O289" s="3">
        <f t="array" ref="O289">INDIRECT("'"&amp;$A289&amp;"'!L14")</f>
        <v/>
      </c>
      <c r="P289" s="3">
        <f t="array" ref="P289">INDIRECT("'"&amp;$A289&amp;"'!M14")</f>
        <v/>
      </c>
      <c r="Q289" s="3">
        <f t="array" ref="Q289">INDIRECT("'"&amp;$A289&amp;"'!N14")</f>
        <v/>
      </c>
      <c r="R289" s="3">
        <f t="array" ref="R289">INDIRECT("'"&amp;$A289&amp;"'!O14")</f>
        <v/>
      </c>
      <c r="S289" s="3">
        <f t="array" ref="S289">INDIRECT("'"&amp;$A289&amp;"'!P14")</f>
        <v/>
      </c>
      <c r="T289" s="3">
        <f t="array" ref="T289">INDIRECT("'"&amp;$A289&amp;"'!Q14")</f>
        <v/>
      </c>
      <c r="U289" s="3">
        <f t="array" ref="U289">INDIRECT("'"&amp;$A289&amp;"'!R14")</f>
        <v/>
      </c>
      <c r="V289" s="3">
        <f t="array" ref="V289">INDIRECT("'"&amp;$A289&amp;"'!S14")</f>
        <v/>
      </c>
      <c r="W289" s="3">
        <f t="array" ref="W289">INDIRECT("'"&amp;$A289&amp;"'!T14")</f>
        <v/>
      </c>
      <c r="X289" s="3">
        <f t="array" ref="X289">INDIRECT("'"&amp;$A289&amp;"'!U14")</f>
        <v/>
      </c>
      <c r="Y289" s="3">
        <f t="array" ref="Y289">INDIRECT("'"&amp;$A289&amp;"'!V14")</f>
        <v/>
      </c>
      <c r="Z289" s="3">
        <f t="array" ref="Z289">INDIRECT("'"&amp;$A289&amp;"'!W14")</f>
        <v/>
      </c>
      <c r="AA289" s="3">
        <f t="array" ref="AA289">INDIRECT("'"&amp;$A289&amp;"'!X14")</f>
        <v/>
      </c>
      <c r="AB289" s="3">
        <f t="array" ref="AB289">INDIRECT("'"&amp;$A289&amp;"'!Y14")</f>
        <v/>
      </c>
      <c r="AC289" s="3">
        <f t="array" ref="AC289">INDIRECT("'"&amp;$A289&amp;"'!Z14")</f>
        <v/>
      </c>
      <c r="AD289" s="32">
        <f t="array" ref="AD289">INDIRECT("'"&amp;$A289&amp;"'!AA14")</f>
        <v/>
      </c>
      <c r="AE289" s="81">
        <f t="array" ref="AE289">INDIRECT("'"&amp;$A288&amp;"'!J4")</f>
        <v/>
      </c>
      <c r="AF289" s="53" t="n"/>
    </row>
    <row r="290">
      <c r="A290" s="58" t="n">
        <v>97</v>
      </c>
      <c r="B290" s="103">
        <f>INDEX(data!$I$2:$I$98,MATCH(A290*1,data!$G$2:$G$98,0))</f>
        <v/>
      </c>
      <c r="C290" s="66">
        <f>HYPERLINK("#'" &amp; A290 &amp; "'!A1", "编辑")</f>
        <v/>
      </c>
      <c r="D290" s="54" t="inlineStr">
        <is>
          <t>1队</t>
        </is>
      </c>
      <c r="E290" s="79">
        <f t="array" ref="E290">INDIRECT("'"&amp;$A291&amp;"'!I2")</f>
        <v/>
      </c>
      <c r="F290" s="29">
        <f t="array" ref="F290">INDIRECT("'"&amp;$A290&amp;"'!C8")</f>
        <v/>
      </c>
      <c r="G290" s="30">
        <f t="array" ref="G290">INDIRECT("'"&amp;$A290&amp;"'!D8")</f>
        <v/>
      </c>
      <c r="H290" s="30">
        <f t="array" ref="H290">INDIRECT("'"&amp;$A290&amp;"'!E8")</f>
        <v/>
      </c>
      <c r="I290" s="30">
        <f t="array" ref="I290">INDIRECT("'"&amp;$A290&amp;"'!F8")</f>
        <v/>
      </c>
      <c r="J290" s="30">
        <f t="array" ref="J290">INDIRECT("'"&amp;$A290&amp;"'!G8")</f>
        <v/>
      </c>
      <c r="K290" s="30">
        <f t="array" ref="K290">INDIRECT("'"&amp;$A290&amp;"'!H8")</f>
        <v/>
      </c>
      <c r="L290" s="30">
        <f t="array" ref="L290">INDIRECT("'"&amp;$A290&amp;"'!I8")</f>
        <v/>
      </c>
      <c r="M290" s="30">
        <f t="array" ref="M290">INDIRECT("'"&amp;$A290&amp;"'!J8")</f>
        <v/>
      </c>
      <c r="N290" s="30">
        <f t="array" ref="N290">INDIRECT("'"&amp;$A290&amp;"'!K8")</f>
        <v/>
      </c>
      <c r="O290" s="30">
        <f t="array" ref="O290">INDIRECT("'"&amp;$A290&amp;"'!L8")</f>
        <v/>
      </c>
      <c r="P290" s="30">
        <f t="array" ref="P290">INDIRECT("'"&amp;$A290&amp;"'!M8")</f>
        <v/>
      </c>
      <c r="Q290" s="30">
        <f t="array" ref="Q290">INDIRECT("'"&amp;$A290&amp;"'!N8")</f>
        <v/>
      </c>
      <c r="R290" s="30">
        <f t="array" ref="R290">INDIRECT("'"&amp;$A290&amp;"'!O8")</f>
        <v/>
      </c>
      <c r="S290" s="30">
        <f t="array" ref="S290">INDIRECT("'"&amp;$A290&amp;"'!P8")</f>
        <v/>
      </c>
      <c r="T290" s="30">
        <f t="array" ref="T290">INDIRECT("'"&amp;$A290&amp;"'!Q8")</f>
        <v/>
      </c>
      <c r="U290" s="30">
        <f t="array" ref="U290">INDIRECT("'"&amp;$A290&amp;"'!R8")</f>
        <v/>
      </c>
      <c r="V290" s="30">
        <f t="array" ref="V290">INDIRECT("'"&amp;$A290&amp;"'!S8")</f>
        <v/>
      </c>
      <c r="W290" s="30">
        <f t="array" ref="W290">INDIRECT("'"&amp;$A290&amp;"'!T8")</f>
        <v/>
      </c>
      <c r="X290" s="30">
        <f t="array" ref="X290">INDIRECT("'"&amp;$A290&amp;"'!U8")</f>
        <v/>
      </c>
      <c r="Y290" s="30">
        <f t="array" ref="Y290">INDIRECT("'"&amp;$A290&amp;"'!V8")</f>
        <v/>
      </c>
      <c r="Z290" s="30">
        <f t="array" ref="Z290">INDIRECT("'"&amp;$A290&amp;"'!W8")</f>
        <v/>
      </c>
      <c r="AA290" s="30">
        <f t="array" ref="AA290">INDIRECT("'"&amp;$A290&amp;"'!X8")</f>
        <v/>
      </c>
      <c r="AB290" s="30">
        <f t="array" ref="AB290">INDIRECT("'"&amp;$A290&amp;"'!Y8")</f>
        <v/>
      </c>
      <c r="AC290" s="30">
        <f t="array" ref="AC290">INDIRECT("'"&amp;$A290&amp;"'!Z8")</f>
        <v/>
      </c>
      <c r="AD290" s="31">
        <f t="array" ref="AD290">INDIRECT("'"&amp;$A290&amp;"'!AA8")</f>
        <v/>
      </c>
      <c r="AE290" s="79">
        <f t="array" ref="AE290">INDIRECT("'"&amp;$A291&amp;"'!J2")</f>
        <v/>
      </c>
      <c r="AF290" s="53">
        <f t="array" ref="AF290">INDIRECT("'"&amp;$A291&amp;"'!AD1")</f>
        <v/>
      </c>
    </row>
    <row r="291">
      <c r="A291" s="58" t="n">
        <v>97</v>
      </c>
      <c r="B291" s="105" t="n"/>
      <c r="C291" s="67">
        <f t="array" ref="C291">CONCATENATE("粮 ",INDIRECT("'"&amp;$A291&amp;"'!D4"))</f>
        <v/>
      </c>
      <c r="D291" s="55" t="inlineStr">
        <is>
          <t>2队</t>
        </is>
      </c>
      <c r="E291" s="80">
        <f t="array" ref="E291">INDIRECT("'"&amp;$A291&amp;"'!I3")</f>
        <v/>
      </c>
      <c r="F291" s="52">
        <f t="array" ref="F291">INDIRECT("'"&amp;$A291&amp;"'!C11")</f>
        <v/>
      </c>
      <c r="G291" s="3">
        <f t="array" ref="G291">INDIRECT("'"&amp;$A291&amp;"'!D11")</f>
        <v/>
      </c>
      <c r="H291" s="3">
        <f t="array" ref="H291">INDIRECT("'"&amp;$A291&amp;"'!E11")</f>
        <v/>
      </c>
      <c r="I291" s="3">
        <f t="array" ref="I291">INDIRECT("'"&amp;$A291&amp;"'!F11")</f>
        <v/>
      </c>
      <c r="J291" s="3">
        <f t="array" ref="J291">INDIRECT("'"&amp;$A291&amp;"'!G11")</f>
        <v/>
      </c>
      <c r="K291" s="3">
        <f t="array" ref="K291">INDIRECT("'"&amp;$A291&amp;"'!H11")</f>
        <v/>
      </c>
      <c r="L291" s="3">
        <f t="array" ref="L291">INDIRECT("'"&amp;$A291&amp;"'!I11")</f>
        <v/>
      </c>
      <c r="M291" s="3">
        <f t="array" ref="M291">INDIRECT("'"&amp;$A291&amp;"'!J11")</f>
        <v/>
      </c>
      <c r="N291" s="3">
        <f t="array" ref="N291">INDIRECT("'"&amp;$A291&amp;"'!K11")</f>
        <v/>
      </c>
      <c r="O291" s="3">
        <f t="array" ref="O291">INDIRECT("'"&amp;$A291&amp;"'!L11")</f>
        <v/>
      </c>
      <c r="P291" s="3">
        <f t="array" ref="P291">INDIRECT("'"&amp;$A291&amp;"'!M11")</f>
        <v/>
      </c>
      <c r="Q291" s="3">
        <f t="array" ref="Q291">INDIRECT("'"&amp;$A291&amp;"'!N11")</f>
        <v/>
      </c>
      <c r="R291" s="3">
        <f t="array" ref="R291">INDIRECT("'"&amp;$A291&amp;"'!O11")</f>
        <v/>
      </c>
      <c r="S291" s="3">
        <f t="array" ref="S291">INDIRECT("'"&amp;$A291&amp;"'!P11")</f>
        <v/>
      </c>
      <c r="T291" s="3">
        <f t="array" ref="T291">INDIRECT("'"&amp;$A291&amp;"'!Q11")</f>
        <v/>
      </c>
      <c r="U291" s="3">
        <f t="array" ref="U291">INDIRECT("'"&amp;$A291&amp;"'!R11")</f>
        <v/>
      </c>
      <c r="V291" s="3">
        <f t="array" ref="V291">INDIRECT("'"&amp;$A291&amp;"'!S11")</f>
        <v/>
      </c>
      <c r="W291" s="3">
        <f t="array" ref="W291">INDIRECT("'"&amp;$A291&amp;"'!T11")</f>
        <v/>
      </c>
      <c r="X291" s="3">
        <f t="array" ref="X291">INDIRECT("'"&amp;$A291&amp;"'!U11")</f>
        <v/>
      </c>
      <c r="Y291" s="3">
        <f t="array" ref="Y291">INDIRECT("'"&amp;$A291&amp;"'!V11")</f>
        <v/>
      </c>
      <c r="Z291" s="3">
        <f t="array" ref="Z291">INDIRECT("'"&amp;$A291&amp;"'!W11")</f>
        <v/>
      </c>
      <c r="AA291" s="3">
        <f t="array" ref="AA291">INDIRECT("'"&amp;$A291&amp;"'!X11")</f>
        <v/>
      </c>
      <c r="AB291" s="3">
        <f t="array" ref="AB291">INDIRECT("'"&amp;$A291&amp;"'!Y11")</f>
        <v/>
      </c>
      <c r="AC291" s="3">
        <f t="array" ref="AC291">INDIRECT("'"&amp;$A291&amp;"'!Z11")</f>
        <v/>
      </c>
      <c r="AD291" s="32">
        <f t="array" ref="AD291">INDIRECT("'"&amp;$A291&amp;"'!AA11")</f>
        <v/>
      </c>
      <c r="AE291" s="80">
        <f t="array" ref="AE291">INDIRECT("'"&amp;$A291&amp;"'!J3")</f>
        <v/>
      </c>
      <c r="AF291" s="53">
        <f t="array" ref="AF291">INDIRECT("'"&amp;$A291&amp;"'!AC1")</f>
        <v/>
      </c>
    </row>
    <row r="292">
      <c r="A292" s="58" t="n">
        <v>97</v>
      </c>
      <c r="B292" s="106" t="n"/>
      <c r="C292" s="77">
        <f t="array" ref="C292">CONCATENATE("分 ",INDIRECT("'"&amp;$A291&amp;"'!D6"))</f>
        <v/>
      </c>
      <c r="D292" s="56" t="inlineStr">
        <is>
          <t>3队</t>
        </is>
      </c>
      <c r="E292" s="81">
        <f t="array" ref="E292">INDIRECT("'"&amp;$A291&amp;"'!I4")</f>
        <v/>
      </c>
      <c r="F292" s="52">
        <f t="array" ref="F292">INDIRECT("'"&amp;$A292&amp;"'!C14")</f>
        <v/>
      </c>
      <c r="G292" s="3">
        <f t="array" ref="G292">INDIRECT("'"&amp;$A292&amp;"'!D14")</f>
        <v/>
      </c>
      <c r="H292" s="3">
        <f t="array" ref="H292">INDIRECT("'"&amp;$A292&amp;"'!E14")</f>
        <v/>
      </c>
      <c r="I292" s="3">
        <f t="array" ref="I292">INDIRECT("'"&amp;$A292&amp;"'!F14")</f>
        <v/>
      </c>
      <c r="J292" s="3">
        <f t="array" ref="J292">INDIRECT("'"&amp;$A292&amp;"'!G14")</f>
        <v/>
      </c>
      <c r="K292" s="3">
        <f t="array" ref="K292">INDIRECT("'"&amp;$A292&amp;"'!H14")</f>
        <v/>
      </c>
      <c r="L292" s="3">
        <f t="array" ref="L292">INDIRECT("'"&amp;$A292&amp;"'!I14")</f>
        <v/>
      </c>
      <c r="M292" s="3">
        <f t="array" ref="M292">INDIRECT("'"&amp;$A292&amp;"'!J14")</f>
        <v/>
      </c>
      <c r="N292" s="3">
        <f t="array" ref="N292">INDIRECT("'"&amp;$A292&amp;"'!K14")</f>
        <v/>
      </c>
      <c r="O292" s="3">
        <f t="array" ref="O292">INDIRECT("'"&amp;$A292&amp;"'!L14")</f>
        <v/>
      </c>
      <c r="P292" s="3">
        <f t="array" ref="P292">INDIRECT("'"&amp;$A292&amp;"'!M14")</f>
        <v/>
      </c>
      <c r="Q292" s="3">
        <f t="array" ref="Q292">INDIRECT("'"&amp;$A292&amp;"'!N14")</f>
        <v/>
      </c>
      <c r="R292" s="3">
        <f t="array" ref="R292">INDIRECT("'"&amp;$A292&amp;"'!O14")</f>
        <v/>
      </c>
      <c r="S292" s="3">
        <f t="array" ref="S292">INDIRECT("'"&amp;$A292&amp;"'!P14")</f>
        <v/>
      </c>
      <c r="T292" s="3">
        <f t="array" ref="T292">INDIRECT("'"&amp;$A292&amp;"'!Q14")</f>
        <v/>
      </c>
      <c r="U292" s="3">
        <f t="array" ref="U292">INDIRECT("'"&amp;$A292&amp;"'!R14")</f>
        <v/>
      </c>
      <c r="V292" s="3">
        <f t="array" ref="V292">INDIRECT("'"&amp;$A292&amp;"'!S14")</f>
        <v/>
      </c>
      <c r="W292" s="3">
        <f t="array" ref="W292">INDIRECT("'"&amp;$A292&amp;"'!T14")</f>
        <v/>
      </c>
      <c r="X292" s="3">
        <f t="array" ref="X292">INDIRECT("'"&amp;$A292&amp;"'!U14")</f>
        <v/>
      </c>
      <c r="Y292" s="3">
        <f t="array" ref="Y292">INDIRECT("'"&amp;$A292&amp;"'!V14")</f>
        <v/>
      </c>
      <c r="Z292" s="3">
        <f t="array" ref="Z292">INDIRECT("'"&amp;$A292&amp;"'!W14")</f>
        <v/>
      </c>
      <c r="AA292" s="3">
        <f t="array" ref="AA292">INDIRECT("'"&amp;$A292&amp;"'!X14")</f>
        <v/>
      </c>
      <c r="AB292" s="3">
        <f t="array" ref="AB292">INDIRECT("'"&amp;$A292&amp;"'!Y14")</f>
        <v/>
      </c>
      <c r="AC292" s="3">
        <f t="array" ref="AC292">INDIRECT("'"&amp;$A292&amp;"'!Z14")</f>
        <v/>
      </c>
      <c r="AD292" s="32">
        <f t="array" ref="AD292">INDIRECT("'"&amp;$A292&amp;"'!AA14")</f>
        <v/>
      </c>
      <c r="AE292" s="81">
        <f t="array" ref="AE292">INDIRECT("'"&amp;$A291&amp;"'!J4")</f>
        <v/>
      </c>
      <c r="AF292" s="53" t="n"/>
    </row>
  </sheetData>
  <autoFilter ref="B1:AF271"/>
  <mergeCells count="97">
    <mergeCell ref="B146:B148"/>
    <mergeCell ref="B53:B55"/>
    <mergeCell ref="B68:B70"/>
    <mergeCell ref="B257:B259"/>
    <mergeCell ref="B5:B7"/>
    <mergeCell ref="B251:B253"/>
    <mergeCell ref="B92:B94"/>
    <mergeCell ref="B110:B112"/>
    <mergeCell ref="B281:B283"/>
    <mergeCell ref="B20:B22"/>
    <mergeCell ref="B47:B49"/>
    <mergeCell ref="B233:B235"/>
    <mergeCell ref="B62:B64"/>
    <mergeCell ref="B215:B217"/>
    <mergeCell ref="B242:B244"/>
    <mergeCell ref="B134:B136"/>
    <mergeCell ref="B152:B154"/>
    <mergeCell ref="B8:B10"/>
    <mergeCell ref="B167:B169"/>
    <mergeCell ref="B176:B178"/>
    <mergeCell ref="B23:B25"/>
    <mergeCell ref="B191:B193"/>
    <mergeCell ref="B98:B100"/>
    <mergeCell ref="B107:B109"/>
    <mergeCell ref="B128:B130"/>
    <mergeCell ref="B254:B256"/>
    <mergeCell ref="B164:B166"/>
    <mergeCell ref="B269:B271"/>
    <mergeCell ref="B173:B175"/>
    <mergeCell ref="B74:B76"/>
    <mergeCell ref="B83:B85"/>
    <mergeCell ref="B197:B199"/>
    <mergeCell ref="B206:B208"/>
    <mergeCell ref="B188:B190"/>
    <mergeCell ref="B35:B37"/>
    <mergeCell ref="B203:B205"/>
    <mergeCell ref="B125:B127"/>
    <mergeCell ref="B248:B250"/>
    <mergeCell ref="B131:B133"/>
    <mergeCell ref="B140:B142"/>
    <mergeCell ref="B149:B151"/>
    <mergeCell ref="B11:B13"/>
    <mergeCell ref="B182:B184"/>
    <mergeCell ref="B272:B274"/>
    <mergeCell ref="B14:B16"/>
    <mergeCell ref="B29:B31"/>
    <mergeCell ref="B38:B40"/>
    <mergeCell ref="B230:B232"/>
    <mergeCell ref="B158:B160"/>
    <mergeCell ref="B65:B67"/>
    <mergeCell ref="B245:B247"/>
    <mergeCell ref="B80:B82"/>
    <mergeCell ref="B260:B262"/>
    <mergeCell ref="B89:B91"/>
    <mergeCell ref="B275:B277"/>
    <mergeCell ref="B26:B28"/>
    <mergeCell ref="B284:B286"/>
    <mergeCell ref="B113:B115"/>
    <mergeCell ref="B185:B187"/>
    <mergeCell ref="B212:B214"/>
    <mergeCell ref="B41:B43"/>
    <mergeCell ref="B194:B196"/>
    <mergeCell ref="B221:B223"/>
    <mergeCell ref="B50:B52"/>
    <mergeCell ref="B59:B61"/>
    <mergeCell ref="B263:B265"/>
    <mergeCell ref="B155:B157"/>
    <mergeCell ref="B2:B4"/>
    <mergeCell ref="B278:B280"/>
    <mergeCell ref="B101:B103"/>
    <mergeCell ref="B287:B289"/>
    <mergeCell ref="B116:B118"/>
    <mergeCell ref="B17:B19"/>
    <mergeCell ref="B77:B79"/>
    <mergeCell ref="B179:B181"/>
    <mergeCell ref="B86:B88"/>
    <mergeCell ref="B44:B46"/>
    <mergeCell ref="B119:B121"/>
    <mergeCell ref="B290:B292"/>
    <mergeCell ref="B143:B145"/>
    <mergeCell ref="B266:B268"/>
    <mergeCell ref="B95:B97"/>
    <mergeCell ref="B104:B106"/>
    <mergeCell ref="B218:B220"/>
    <mergeCell ref="B122:B124"/>
    <mergeCell ref="B227:B229"/>
    <mergeCell ref="B56:B58"/>
    <mergeCell ref="B236:B238"/>
    <mergeCell ref="B32:B34"/>
    <mergeCell ref="B224:B226"/>
    <mergeCell ref="B200:B202"/>
    <mergeCell ref="B209:B211"/>
    <mergeCell ref="B161:B163"/>
    <mergeCell ref="B170:B172"/>
    <mergeCell ref="B71:B73"/>
    <mergeCell ref="B239:B241"/>
    <mergeCell ref="B137:B139"/>
  </mergeCells>
  <conditionalFormatting sqref="B2:B292">
    <cfRule type="expression" priority="162" dxfId="23">
      <formula>B2=TODAY()</formula>
    </cfRule>
  </conditionalFormatting>
  <conditionalFormatting sqref="F2:AD292">
    <cfRule type="cellIs" priority="2" operator="equal" dxfId="12">
      <formula>"塔3"</formula>
    </cfRule>
    <cfRule type="cellIs" priority="3" operator="equal" dxfId="20">
      <formula>"大boss"</formula>
    </cfRule>
    <cfRule type="cellIs" priority="4" operator="equal" dxfId="19">
      <formula>"中boss"</formula>
    </cfRule>
    <cfRule type="cellIs" priority="6" operator="equal" dxfId="17">
      <formula>"塔1"</formula>
    </cfRule>
    <cfRule type="cellIs" priority="7" operator="equal" dxfId="6">
      <formula>"塔2"</formula>
    </cfRule>
    <cfRule type="cellIs" priority="8" operator="equal" dxfId="15">
      <formula>"草6"</formula>
    </cfRule>
    <cfRule type="cellIs" priority="9" operator="equal" dxfId="14">
      <formula>"草5"</formula>
    </cfRule>
    <cfRule type="cellIs" priority="10" operator="equal" dxfId="13">
      <formula>"草4"</formula>
    </cfRule>
    <cfRule type="cellIs" priority="11" operator="equal" dxfId="12">
      <formula>"草3"</formula>
    </cfRule>
    <cfRule type="cellIs" priority="12" operator="equal" dxfId="11">
      <formula>"历练"</formula>
    </cfRule>
    <cfRule type="cellIs" priority="13" operator="equal" dxfId="9">
      <formula>"3级卦"</formula>
    </cfRule>
    <cfRule type="cellIs" priority="14" operator="equal" dxfId="9">
      <formula>"大卦"</formula>
    </cfRule>
    <cfRule type="cellIs" priority="15" operator="equal" dxfId="8">
      <formula>"商人"</formula>
    </cfRule>
    <cfRule type="cellIs" priority="16" operator="equal" dxfId="7">
      <formula>"营地"</formula>
    </cfRule>
    <cfRule type="cellIs" priority="17" operator="equal" dxfId="6">
      <formula>"草2"</formula>
    </cfRule>
    <cfRule type="cellIs" priority="18" operator="equal" dxfId="5">
      <formula>"3级"</formula>
    </cfRule>
    <cfRule type="cellIs" priority="19" operator="equal" dxfId="4">
      <formula>"4级"</formula>
    </cfRule>
    <cfRule type="cellIs" priority="20" operator="equal" dxfId="3">
      <formula>"5级"</formula>
    </cfRule>
    <cfRule type="cellIs" priority="21" operator="equal" dxfId="2">
      <formula>"6级"</formula>
    </cfRule>
    <cfRule type="cellIs" priority="22" operator="equal" dxfId="1">
      <formula>"1级"</formula>
    </cfRule>
    <cfRule type="cellIs" priority="23" operator="equal" dxfId="0">
      <formula>"2级"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98"/>
  <sheetViews>
    <sheetView workbookViewId="0">
      <selection activeCell="K15" sqref="K15:P27"/>
    </sheetView>
  </sheetViews>
  <sheetFormatPr baseColWidth="8" defaultRowHeight="15"/>
  <cols>
    <col width="14.7109375" customWidth="1" min="9" max="9"/>
  </cols>
  <sheetData>
    <row r="1">
      <c r="B1" s="1" t="inlineStr">
        <is>
          <t>粮草</t>
        </is>
      </c>
      <c r="C1" s="1" t="inlineStr">
        <is>
          <t>经验</t>
        </is>
      </c>
      <c r="D1" s="1" t="inlineStr">
        <is>
          <t>行动</t>
        </is>
      </c>
      <c r="E1" t="inlineStr">
        <is>
          <t>已占领</t>
        </is>
      </c>
      <c r="G1" t="inlineStr">
        <is>
          <t>day</t>
        </is>
      </c>
      <c r="H1" t="inlineStr">
        <is>
          <t>张鹏</t>
        </is>
      </c>
      <c r="I1" t="inlineStr">
        <is>
          <t>date</t>
        </is>
      </c>
      <c r="K1" s="3" t="n"/>
      <c r="L1" s="62" t="inlineStr">
        <is>
          <t>兵粮buff</t>
        </is>
      </c>
      <c r="M1" s="62" t="inlineStr">
        <is>
          <t>减粮草</t>
        </is>
      </c>
      <c r="N1" s="63" t="inlineStr">
        <is>
          <t>战勋buff</t>
        </is>
      </c>
      <c r="O1" s="63" t="inlineStr">
        <is>
          <t>加经验</t>
        </is>
      </c>
      <c r="Q1" s="3" t="n"/>
      <c r="R1" s="62" t="inlineStr">
        <is>
          <t>兵粮buff</t>
        </is>
      </c>
      <c r="S1" s="62" t="inlineStr">
        <is>
          <t>减粮草</t>
        </is>
      </c>
      <c r="T1" s="63" t="inlineStr">
        <is>
          <t>战勋buff</t>
        </is>
      </c>
      <c r="U1" s="63" t="inlineStr">
        <is>
          <t>加经验</t>
        </is>
      </c>
    </row>
    <row r="2">
      <c r="A2" s="2" t="inlineStr">
        <is>
          <t>1级</t>
        </is>
      </c>
      <c r="B2" s="3" t="n">
        <v>150</v>
      </c>
      <c r="C2" s="3" t="n">
        <v>35</v>
      </c>
      <c r="D2" s="3" t="n">
        <v>1</v>
      </c>
      <c r="E2" s="3">
        <f>COUNTIF(main!$F$2:$AD$271,data!A2)</f>
        <v/>
      </c>
      <c r="G2" t="n">
        <v>1</v>
      </c>
      <c r="H2" s="23" t="n">
        <v>300</v>
      </c>
      <c r="I2" s="24" t="n">
        <v>46276</v>
      </c>
      <c r="K2" s="59" t="n">
        <v>1</v>
      </c>
      <c r="L2" s="8" t="n"/>
      <c r="M2" s="3">
        <f>IF(L2="",0,(INDEX($B$2:$B$27,MATCH(L2,$A$2:$A$27,0))-50)*(0.4))</f>
        <v/>
      </c>
      <c r="N2" s="21" t="n"/>
      <c r="O2" s="3">
        <f>IF(N2="",0,INDEX($C$2:$C$27,MATCH(N2,$A$2:$A$27,0))*0.4)</f>
        <v/>
      </c>
      <c r="Q2" s="59" t="n">
        <v>1</v>
      </c>
      <c r="R2" s="4" t="n"/>
      <c r="S2" s="3">
        <f>IF(R2="",0,(INDEX($B$2:$B$27,MATCH(R2,$A$2:$A$27,0))-50)*(0.4))</f>
        <v/>
      </c>
      <c r="T2" s="22" t="n"/>
      <c r="U2" s="3">
        <f>IF(T2="",0,INDEX($C$2:$C$27,MATCH(T2,$A$2:$A$27,0))*0.4)</f>
        <v/>
      </c>
    </row>
    <row r="3">
      <c r="A3" s="4" t="inlineStr">
        <is>
          <t>2级</t>
        </is>
      </c>
      <c r="B3" s="3" t="n">
        <v>160</v>
      </c>
      <c r="C3" s="3" t="n">
        <v>40</v>
      </c>
      <c r="D3" s="3" t="n">
        <v>1</v>
      </c>
      <c r="E3" s="3">
        <f>COUNTIF(main!$F$2:$AD$271,data!A3)</f>
        <v/>
      </c>
      <c r="G3" t="n">
        <v>2</v>
      </c>
      <c r="H3" s="23" t="n">
        <v>300</v>
      </c>
      <c r="I3" s="24" t="n">
        <v>46277</v>
      </c>
      <c r="K3" s="59" t="n">
        <v>2</v>
      </c>
      <c r="L3" s="8" t="n"/>
      <c r="M3" s="3">
        <f>IF(L3="",0,(INDEX($B$2:$B$27,MATCH(L3,$A$2:$A$27,0))-50)*(0.4))</f>
        <v/>
      </c>
      <c r="N3" s="20" t="n"/>
      <c r="O3" s="3">
        <f>IF(N3="",0,INDEX($C$2:$C$27,MATCH(N3,$A$2:$A$27,0))*0.4)</f>
        <v/>
      </c>
      <c r="Q3" s="59" t="n">
        <v>2</v>
      </c>
      <c r="R3" s="4" t="n"/>
      <c r="S3" s="3">
        <f>IF(R3="",0,(INDEX($B$2:$B$27,MATCH(R3,$A$2:$A$27,0))-50)*(0.4))</f>
        <v/>
      </c>
      <c r="T3" s="3" t="n"/>
      <c r="U3" s="3">
        <f>IF(T3="",0,INDEX($C$2:$C$27,MATCH(T3,$A$2:$A$27,0))*0.4)</f>
        <v/>
      </c>
    </row>
    <row r="4">
      <c r="A4" s="6" t="inlineStr">
        <is>
          <t>3级</t>
        </is>
      </c>
      <c r="B4" s="3" t="n">
        <v>170</v>
      </c>
      <c r="C4" s="3" t="n">
        <v>45</v>
      </c>
      <c r="D4" s="3" t="n">
        <v>1</v>
      </c>
      <c r="E4" s="3">
        <f>COUNTIF(main!$F$2:$AD$271,data!A4)</f>
        <v/>
      </c>
      <c r="G4" t="n">
        <v>3</v>
      </c>
      <c r="H4" s="23" t="n">
        <v>300</v>
      </c>
      <c r="I4" s="24" t="n">
        <v>46278</v>
      </c>
      <c r="K4" s="59" t="n">
        <v>3</v>
      </c>
      <c r="L4" s="8" t="n"/>
      <c r="M4" s="3">
        <f>IF(L4="",0,(INDEX($B$2:$B$27,MATCH(L4,$A$2:$A$27,0))-50)*(0.4))</f>
        <v/>
      </c>
      <c r="N4" s="20" t="n"/>
      <c r="O4" s="3">
        <f>IF(N4="",0,INDEX($C$2:$C$27,MATCH(N4,$A$2:$A$27,0))*0.4)</f>
        <v/>
      </c>
      <c r="Q4" s="59" t="n">
        <v>3</v>
      </c>
      <c r="R4" s="4" t="n"/>
      <c r="S4" s="3">
        <f>IF(R4="",0,(INDEX($B$2:$B$27,MATCH(R4,$A$2:$A$27,0))-50)*(0.4))</f>
        <v/>
      </c>
      <c r="T4" s="6" t="n"/>
      <c r="U4" s="3">
        <f>IF(T4="",0,INDEX($C$2:$C$27,MATCH(T4,$A$2:$A$27,0))*0.4)</f>
        <v/>
      </c>
    </row>
    <row r="5">
      <c r="A5" s="7" t="inlineStr">
        <is>
          <t>4级</t>
        </is>
      </c>
      <c r="B5" s="3" t="n">
        <v>180</v>
      </c>
      <c r="C5" s="3" t="n">
        <v>50</v>
      </c>
      <c r="D5" s="3" t="n">
        <v>1</v>
      </c>
      <c r="E5" s="3">
        <f>COUNTIF(main!$F$2:$AD$271,data!A5)</f>
        <v/>
      </c>
      <c r="G5" t="n">
        <v>4</v>
      </c>
      <c r="H5" s="23" t="n">
        <v>300</v>
      </c>
      <c r="I5" s="24" t="n">
        <v>46279</v>
      </c>
      <c r="K5" s="59" t="n">
        <v>4</v>
      </c>
      <c r="L5" s="9" t="n"/>
      <c r="M5" s="3">
        <f>IF(L5="",0,(INDEX($B$2:$B$27,MATCH(L5,$A$2:$A$27,0))-50)*(0.4))</f>
        <v/>
      </c>
      <c r="N5" s="22" t="n"/>
      <c r="O5" s="3">
        <f>IF(N5="",0,INDEX($C$2:$C$27,MATCH(N5,$A$2:$A$27,0))*0.4)</f>
        <v/>
      </c>
      <c r="Q5" s="59" t="n">
        <v>4</v>
      </c>
      <c r="R5" s="4" t="n"/>
      <c r="S5" s="3">
        <f>IF(R5="",0,(INDEX($B$2:$B$27,MATCH(R5,$A$2:$A$27,0))-50)*(0.4))</f>
        <v/>
      </c>
      <c r="T5" s="15" t="n"/>
      <c r="U5" s="3">
        <f>IF(T5="",0,INDEX($C$2:$C$27,MATCH(T5,$A$2:$A$27,0))*0.4)</f>
        <v/>
      </c>
    </row>
    <row r="6">
      <c r="A6" s="8" t="inlineStr">
        <is>
          <t>5级</t>
        </is>
      </c>
      <c r="B6" s="3" t="n">
        <v>190</v>
      </c>
      <c r="C6" s="3" t="n">
        <v>55</v>
      </c>
      <c r="D6" s="3" t="n">
        <v>1</v>
      </c>
      <c r="E6" s="3">
        <f>COUNTIF(main!$F$2:$AD$271,data!A6)</f>
        <v/>
      </c>
      <c r="G6" s="28" t="n">
        <v>5</v>
      </c>
      <c r="H6" s="23" t="n">
        <v>300</v>
      </c>
      <c r="I6" s="24" t="n">
        <v>46280</v>
      </c>
      <c r="K6" s="59" t="n">
        <v>5</v>
      </c>
      <c r="L6" s="9" t="n"/>
      <c r="M6" s="3">
        <f>IF(L6="",0,(INDEX($B$2:$B$27,MATCH(L6,$A$2:$A$27,0))-50)*(0.4))</f>
        <v/>
      </c>
      <c r="N6" s="22" t="n"/>
      <c r="O6" s="3">
        <f>IF(N6="",0,INDEX($C$2:$C$27,MATCH(N6,$A$2:$A$27,0))*0.4)</f>
        <v/>
      </c>
      <c r="Q6" s="59" t="n">
        <v>5</v>
      </c>
      <c r="R6" s="11" t="n"/>
      <c r="S6" s="3">
        <f>IF(R6="",0,(INDEX($B$2:$B$27,MATCH(R6,$A$2:$A$27,0))-50)*(0.4))</f>
        <v/>
      </c>
      <c r="T6" s="6" t="n"/>
      <c r="U6" s="3">
        <f>IF(T6="",0,INDEX($C$2:$C$27,MATCH(T6,$A$2:$A$27,0))*0.4)</f>
        <v/>
      </c>
    </row>
    <row r="7">
      <c r="A7" s="9" t="inlineStr">
        <is>
          <t>6级</t>
        </is>
      </c>
      <c r="B7" s="3" t="n">
        <v>200</v>
      </c>
      <c r="C7" s="3" t="n">
        <v>60</v>
      </c>
      <c r="D7" s="3" t="n">
        <v>1</v>
      </c>
      <c r="E7" s="3">
        <f>COUNTIF(main!$F$2:$AD$271,data!A7)</f>
        <v/>
      </c>
      <c r="G7" t="n">
        <v>6</v>
      </c>
      <c r="H7" s="23" t="n">
        <v>300</v>
      </c>
      <c r="I7" s="24" t="n">
        <v>46281</v>
      </c>
      <c r="K7" s="60" t="n">
        <v>6</v>
      </c>
      <c r="L7" s="9" t="n"/>
      <c r="M7" s="3">
        <f>IF(L7="",0,(INDEX($B$2:$B$27,MATCH(L7,$A$2:$A$27,0))-50)*(0.4))</f>
        <v/>
      </c>
      <c r="N7" s="21" t="n"/>
      <c r="O7" s="3">
        <f>IF(N7="",0,INDEX($C$2:$C$27,MATCH(N7,$A$2:$A$27,0))*0.4)</f>
        <v/>
      </c>
      <c r="Q7" s="60" t="n">
        <v>6</v>
      </c>
      <c r="R7" s="19" t="n"/>
      <c r="S7" s="3">
        <f>IF(R7="",0,(INDEX($B$2:$B$27,MATCH(R7,$A$2:$A$27,0))-50)*(0.4))</f>
        <v/>
      </c>
      <c r="T7" s="15" t="n"/>
      <c r="U7" s="3">
        <f>IF(T7="",0,INDEX($C$2:$C$27,MATCH(T7,$A$2:$A$27,0))*0.4)</f>
        <v/>
      </c>
    </row>
    <row r="8">
      <c r="A8" s="10" t="inlineStr">
        <is>
          <t>草1</t>
        </is>
      </c>
      <c r="B8" s="3" t="n">
        <v>150</v>
      </c>
      <c r="C8" s="3" t="n">
        <v>35</v>
      </c>
      <c r="D8" s="3" t="n">
        <v>1</v>
      </c>
      <c r="E8" s="3">
        <f>COUNTIF(main!$F$2:$AD$271,data!A8)</f>
        <v/>
      </c>
      <c r="G8" t="n">
        <v>7</v>
      </c>
      <c r="H8" s="23" t="n">
        <v>300</v>
      </c>
      <c r="I8" s="24" t="n">
        <v>46282</v>
      </c>
      <c r="K8" s="60" t="n">
        <v>7</v>
      </c>
      <c r="L8" s="9" t="n"/>
      <c r="M8" s="3">
        <f>IF(L8="",0,(INDEX($B$2:$B$27,MATCH(L8,$A$2:$A$27,0))-50)*(0.4))</f>
        <v/>
      </c>
      <c r="N8" s="9" t="n"/>
      <c r="O8" s="3">
        <f>IF(N8="",0,INDEX($C$2:$C$27,MATCH(N8,$A$2:$A$27,0))*0.4)</f>
        <v/>
      </c>
      <c r="Q8" s="60" t="n">
        <v>7</v>
      </c>
      <c r="R8" s="19" t="n"/>
      <c r="S8" s="3">
        <f>IF(R8="",0,(INDEX($B$2:$B$27,MATCH(R8,$A$2:$A$27,0))-50)*(0.4))</f>
        <v/>
      </c>
      <c r="T8" s="6" t="n"/>
      <c r="U8" s="3">
        <f>IF(T8="",0,INDEX($C$2:$C$27,MATCH(T8,$A$2:$A$27,0))*0.4)</f>
        <v/>
      </c>
    </row>
    <row r="9">
      <c r="A9" s="11" t="inlineStr">
        <is>
          <t>草2</t>
        </is>
      </c>
      <c r="B9" s="3" t="n">
        <v>150</v>
      </c>
      <c r="C9" s="3" t="n">
        <v>40</v>
      </c>
      <c r="D9" s="3" t="n">
        <v>1</v>
      </c>
      <c r="E9" s="3">
        <f>COUNTIF(main!$F$2:$AD$271,data!A9)</f>
        <v/>
      </c>
      <c r="G9" t="n">
        <v>8</v>
      </c>
      <c r="H9" s="23" t="n">
        <v>300</v>
      </c>
      <c r="I9" s="24" t="n">
        <v>46283</v>
      </c>
      <c r="K9" s="60" t="n">
        <v>8</v>
      </c>
      <c r="L9" s="9" t="n"/>
      <c r="M9" s="3">
        <f>IF(L9="",0,(INDEX($B$2:$B$27,MATCH(L9,$A$2:$A$27,0))-50)*(0.4))</f>
        <v/>
      </c>
      <c r="N9" s="9" t="n"/>
      <c r="O9" s="3">
        <f>IF(N9="",0,INDEX($C$2:$C$27,MATCH(N9,$A$2:$A$27,0))*0.4)</f>
        <v/>
      </c>
      <c r="Q9" s="60" t="n">
        <v>8</v>
      </c>
      <c r="R9" s="19" t="n"/>
      <c r="S9" s="3">
        <f>IF(R9="",0,(INDEX($B$2:$B$27,MATCH(R9,$A$2:$A$27,0))-50)*(0.4))</f>
        <v/>
      </c>
      <c r="T9" s="15" t="n"/>
      <c r="U9" s="3">
        <f>IF(T9="",0,INDEX($C$2:$C$27,MATCH(T9,$A$2:$A$27,0))*0.4)</f>
        <v/>
      </c>
    </row>
    <row r="10">
      <c r="A10" s="12" t="inlineStr">
        <is>
          <t>草3</t>
        </is>
      </c>
      <c r="B10" s="3" t="n">
        <v>150</v>
      </c>
      <c r="C10" s="3" t="n">
        <v>45</v>
      </c>
      <c r="D10" s="3" t="n">
        <v>1</v>
      </c>
      <c r="E10" s="3">
        <f>COUNTIF(main!$F$2:$AD$271,data!A10)</f>
        <v/>
      </c>
      <c r="G10" t="n">
        <v>9</v>
      </c>
      <c r="H10" s="23" t="n">
        <v>300</v>
      </c>
      <c r="I10" s="24" t="n">
        <v>46284</v>
      </c>
      <c r="K10" s="61" t="n">
        <v>9</v>
      </c>
      <c r="L10" s="9" t="n"/>
      <c r="M10" s="3">
        <f>IF(L10="",0,(INDEX($B$2:$B$27,MATCH(L10,$A$2:$A$27,0))-50)*(0.4))</f>
        <v/>
      </c>
      <c r="N10" s="19" t="n"/>
      <c r="O10" s="3">
        <f>IF(N10="",0,INDEX($C$2:$C$27,MATCH(N10,$A$2:$A$27,0))*0.4)</f>
        <v/>
      </c>
      <c r="Q10" s="61" t="n">
        <v>9</v>
      </c>
      <c r="R10" s="19" t="n"/>
      <c r="S10" s="3">
        <f>IF(R10="",0,(INDEX($B$2:$B$27,MATCH(R10,$A$2:$A$27,0))-50)*(0.4))</f>
        <v/>
      </c>
      <c r="T10" s="19" t="n"/>
      <c r="U10" s="3">
        <f>IF(T10="",0,INDEX($C$2:$C$27,MATCH(T10,$A$2:$A$27,0))*0.4)</f>
        <v/>
      </c>
    </row>
    <row r="11">
      <c r="A11" s="13" t="inlineStr">
        <is>
          <t>草4</t>
        </is>
      </c>
      <c r="B11" s="3" t="n">
        <v>150</v>
      </c>
      <c r="C11" s="3" t="n">
        <v>50</v>
      </c>
      <c r="D11" s="3" t="n">
        <v>1</v>
      </c>
      <c r="E11" s="3">
        <f>COUNTIF(main!$F$2:$AD$271,data!A11)</f>
        <v/>
      </c>
      <c r="G11" t="n">
        <v>10</v>
      </c>
      <c r="H11" s="23" t="n">
        <v>300</v>
      </c>
      <c r="I11" s="24" t="n">
        <v>46285</v>
      </c>
      <c r="K11" s="61" t="n">
        <v>10</v>
      </c>
      <c r="L11" s="9" t="n"/>
      <c r="M11" s="3">
        <f>IF(L11="",0,(INDEX($B$2:$B$27,MATCH(L11,$A$2:$A$27,0))-50)*(0.4))</f>
        <v/>
      </c>
      <c r="N11" s="19" t="n"/>
      <c r="O11" s="3">
        <f>IF(N11="",0,INDEX($C$2:$C$27,MATCH(N11,$A$2:$A$27,0))*0.4)</f>
        <v/>
      </c>
      <c r="Q11" s="61" t="n">
        <v>10</v>
      </c>
      <c r="R11" s="19" t="n"/>
      <c r="S11" s="3">
        <f>IF(R11="",0,(INDEX($B$2:$B$27,MATCH(R11,$A$2:$A$27,0))-50)*(0.4))</f>
        <v/>
      </c>
      <c r="T11" s="19" t="n"/>
      <c r="U11" s="3">
        <f>IF(T11="",0,INDEX($C$2:$C$27,MATCH(T11,$A$2:$A$27,0))*0.4)</f>
        <v/>
      </c>
    </row>
    <row r="12">
      <c r="A12" s="14" t="inlineStr">
        <is>
          <t>草5</t>
        </is>
      </c>
      <c r="B12" s="3" t="n">
        <v>150</v>
      </c>
      <c r="C12" s="3" t="n">
        <v>55</v>
      </c>
      <c r="D12" s="3" t="n">
        <v>1</v>
      </c>
      <c r="E12" s="3">
        <f>COUNTIF(main!$F$2:$AD$271,data!A12)</f>
        <v/>
      </c>
      <c r="G12" t="n">
        <v>11</v>
      </c>
      <c r="H12" s="23" t="n">
        <v>300</v>
      </c>
      <c r="I12" s="24" t="n">
        <v>46286</v>
      </c>
      <c r="M12" s="64">
        <f>SUM(M2:M11)</f>
        <v/>
      </c>
      <c r="O12" s="65">
        <f>SUM(O2:O11)</f>
        <v/>
      </c>
      <c r="S12" s="64">
        <f>SUM(S2:S11)</f>
        <v/>
      </c>
      <c r="U12" s="65">
        <f>SUM(U2:U11)</f>
        <v/>
      </c>
    </row>
    <row r="13" ht="15.75" customHeight="1" thickBot="1">
      <c r="A13" s="16" t="inlineStr">
        <is>
          <t>草6</t>
        </is>
      </c>
      <c r="B13" s="3" t="n">
        <v>150</v>
      </c>
      <c r="C13" s="3" t="n">
        <v>60</v>
      </c>
      <c r="D13" s="3" t="n">
        <v>1</v>
      </c>
      <c r="E13" s="3">
        <f>COUNTIF(main!$F$2:$AD$271,data!A13)</f>
        <v/>
      </c>
      <c r="G13" t="n">
        <v>12</v>
      </c>
      <c r="H13" s="23" t="n">
        <v>300</v>
      </c>
      <c r="I13" s="24" t="n">
        <v>46287</v>
      </c>
      <c r="Q13" s="90" t="inlineStr">
        <is>
          <t>总</t>
        </is>
      </c>
      <c r="R13" s="64" t="inlineStr">
        <is>
          <t>粮草节省</t>
        </is>
      </c>
      <c r="S13" s="64">
        <f>M12+S12</f>
        <v/>
      </c>
      <c r="T13" s="65" t="inlineStr">
        <is>
          <t>经验加成</t>
        </is>
      </c>
      <c r="U13" s="65">
        <f>O12+U12</f>
        <v/>
      </c>
    </row>
    <row r="14">
      <c r="A14" s="17" t="inlineStr">
        <is>
          <t>遗迹</t>
        </is>
      </c>
      <c r="B14" s="3" t="n">
        <v>150</v>
      </c>
      <c r="C14" s="3" t="n">
        <v>40</v>
      </c>
      <c r="D14" s="3" t="n">
        <v>1</v>
      </c>
      <c r="E14" s="3">
        <f>COUNTIF(main!$F$2:$AD$271,data!A14)</f>
        <v/>
      </c>
      <c r="G14" t="n">
        <v>13</v>
      </c>
      <c r="H14" s="23" t="n">
        <v>300</v>
      </c>
      <c r="I14" s="24" t="n">
        <v>46288</v>
      </c>
      <c r="K14" s="82" t="inlineStr">
        <is>
          <t>批量生成分表：Alt+F11, insert Module</t>
        </is>
      </c>
      <c r="L14" s="83" t="n"/>
      <c r="M14" s="83" t="n"/>
      <c r="N14" s="83" t="n"/>
      <c r="O14" s="83" t="n"/>
      <c r="P14" s="84" t="n"/>
    </row>
    <row r="15">
      <c r="A15" s="5" t="inlineStr">
        <is>
          <t>商人</t>
        </is>
      </c>
      <c r="B15" s="3" t="n">
        <v>50</v>
      </c>
      <c r="C15" s="3" t="n">
        <v>30</v>
      </c>
      <c r="D15" s="3" t="n">
        <v>1</v>
      </c>
      <c r="E15" s="3">
        <f>COUNTIF(main!$F$2:$AD$271,data!A15)</f>
        <v/>
      </c>
      <c r="G15" t="n">
        <v>14</v>
      </c>
      <c r="H15" s="23" t="n">
        <v>300</v>
      </c>
      <c r="I15" s="24" t="n">
        <v>46289</v>
      </c>
      <c r="K15" s="85" t="inlineStr">
        <is>
          <t>Sub CopySheetMultipleTimes()</t>
        </is>
      </c>
      <c r="P15" s="86" t="n"/>
    </row>
    <row r="16">
      <c r="A16" s="18" t="inlineStr">
        <is>
          <t>营地</t>
        </is>
      </c>
      <c r="B16" s="3" t="n">
        <v>-250</v>
      </c>
      <c r="C16" s="3" t="n">
        <v>0</v>
      </c>
      <c r="D16" s="3" t="n">
        <v>-1</v>
      </c>
      <c r="E16" s="3">
        <f>COUNTIF(main!$F$2:$AD$271,data!A16)</f>
        <v/>
      </c>
      <c r="G16" t="n">
        <v>15</v>
      </c>
      <c r="H16" s="25" t="n">
        <v>250</v>
      </c>
      <c r="I16" s="26" t="n">
        <v>46290</v>
      </c>
      <c r="K16" s="85" t="inlineStr">
        <is>
          <t xml:space="preserve">    Dim i As Integer</t>
        </is>
      </c>
      <c r="P16" s="86" t="n"/>
    </row>
    <row r="17">
      <c r="A17" s="15" t="inlineStr">
        <is>
          <t>大卦</t>
        </is>
      </c>
      <c r="B17" s="3" t="n">
        <v>250</v>
      </c>
      <c r="C17" s="3" t="n">
        <v>300</v>
      </c>
      <c r="D17" s="3" t="n">
        <v>1</v>
      </c>
      <c r="E17" s="3">
        <f>COUNTIF(main!$F$2:$AD$271,data!A17)</f>
        <v/>
      </c>
      <c r="G17" t="n">
        <v>16</v>
      </c>
      <c r="H17" s="25" t="n">
        <v>250</v>
      </c>
      <c r="I17" s="26" t="n">
        <v>46291</v>
      </c>
      <c r="K17" s="85" t="inlineStr">
        <is>
          <t xml:space="preserve">    Dim n As Integer</t>
        </is>
      </c>
      <c r="P17" s="86" t="n"/>
    </row>
    <row r="18">
      <c r="A18" s="15" t="inlineStr">
        <is>
          <t>3级卦</t>
        </is>
      </c>
      <c r="B18" s="3" t="n">
        <v>170</v>
      </c>
      <c r="C18" s="3" t="n">
        <v>45</v>
      </c>
      <c r="D18" s="3" t="n">
        <v>1</v>
      </c>
      <c r="E18" s="3">
        <f>COUNTIF(main!$F$2:$AD$271,data!A18)</f>
        <v/>
      </c>
      <c r="G18" t="n">
        <v>17</v>
      </c>
      <c r="H18" s="25" t="n">
        <v>250</v>
      </c>
      <c r="I18" s="26" t="n">
        <v>46292</v>
      </c>
      <c r="K18" s="85" t="inlineStr">
        <is>
          <t xml:space="preserve">    Dim baseName As String</t>
        </is>
      </c>
      <c r="P18" s="86" t="n"/>
    </row>
    <row r="19">
      <c r="A19" s="19" t="inlineStr">
        <is>
          <t>飞雷</t>
        </is>
      </c>
      <c r="B19" s="3" t="n">
        <v>-50</v>
      </c>
      <c r="C19" s="3" t="n">
        <v>0</v>
      </c>
      <c r="D19" s="3" t="n">
        <v>0</v>
      </c>
      <c r="E19" s="3">
        <f>COUNTIF(main!$F$2:$AD$271,data!A19)</f>
        <v/>
      </c>
      <c r="G19" t="n">
        <v>18</v>
      </c>
      <c r="H19" s="25" t="n">
        <v>250</v>
      </c>
      <c r="I19" s="26" t="n">
        <v>46293</v>
      </c>
      <c r="K19" s="85" t="inlineStr">
        <is>
          <t xml:space="preserve">    </t>
        </is>
      </c>
      <c r="P19" s="86" t="n"/>
    </row>
    <row r="20">
      <c r="A20" s="20" t="inlineStr">
        <is>
          <t>大boss</t>
        </is>
      </c>
      <c r="B20" s="3" t="n">
        <v>250</v>
      </c>
      <c r="C20" s="3" t="n">
        <v>1000</v>
      </c>
      <c r="D20" s="3" t="n">
        <v>1</v>
      </c>
      <c r="E20" s="3">
        <f>COUNTIF(main!$F$2:$AD$271,data!A20)</f>
        <v/>
      </c>
      <c r="G20" t="n">
        <v>19</v>
      </c>
      <c r="H20" s="25" t="n">
        <v>250</v>
      </c>
      <c r="I20" s="26" t="n">
        <v>46294</v>
      </c>
      <c r="K20" s="85" t="inlineStr">
        <is>
          <t xml:space="preserve">    n = 87   ' &lt;-- how many new sheets you want</t>
        </is>
      </c>
      <c r="P20" s="86" t="n"/>
    </row>
    <row r="21">
      <c r="A21" s="21" t="inlineStr">
        <is>
          <t>中boss</t>
        </is>
      </c>
      <c r="B21" s="3" t="n">
        <v>250</v>
      </c>
      <c r="C21" s="3" t="n">
        <v>500</v>
      </c>
      <c r="D21" s="3" t="n">
        <v>1</v>
      </c>
      <c r="E21" s="3">
        <f>COUNTIF(main!$F$2:$AD$271,data!A21)</f>
        <v/>
      </c>
      <c r="G21" t="n">
        <v>20</v>
      </c>
      <c r="H21" s="25" t="n">
        <v>250</v>
      </c>
      <c r="I21" s="26" t="n">
        <v>46295</v>
      </c>
      <c r="K21" s="85" t="inlineStr">
        <is>
          <t xml:space="preserve">    baseName = "3"   ' &lt;-- source sheet name</t>
        </is>
      </c>
      <c r="P21" s="86" t="n"/>
    </row>
    <row r="22">
      <c r="A22" s="19" t="inlineStr">
        <is>
          <t>4级卦</t>
        </is>
      </c>
      <c r="B22" s="3" t="n">
        <v>180</v>
      </c>
      <c r="C22" s="3" t="n">
        <v>50</v>
      </c>
      <c r="D22" s="3" t="n">
        <v>1</v>
      </c>
      <c r="E22" s="3">
        <f>COUNTIF(main!$F$2:$AD$271,data!A22)</f>
        <v/>
      </c>
      <c r="G22" t="n">
        <v>21</v>
      </c>
      <c r="H22" s="25" t="n">
        <v>250</v>
      </c>
      <c r="I22" s="26" t="n">
        <v>46296</v>
      </c>
      <c r="K22" s="85" t="inlineStr">
        <is>
          <t xml:space="preserve">    </t>
        </is>
      </c>
      <c r="P22" s="86" t="n"/>
    </row>
    <row r="23">
      <c r="A23" s="10" t="inlineStr">
        <is>
          <t>塔1</t>
        </is>
      </c>
      <c r="B23" s="3" t="n">
        <v>150</v>
      </c>
      <c r="C23" s="3" t="n">
        <v>35</v>
      </c>
      <c r="D23" s="3" t="n">
        <v>1</v>
      </c>
      <c r="E23" s="3">
        <f>COUNTIF(main!$F$2:$AD$271,data!A23)</f>
        <v/>
      </c>
      <c r="G23" t="n">
        <v>22</v>
      </c>
      <c r="H23" s="25" t="n">
        <v>250</v>
      </c>
      <c r="I23" s="26" t="n">
        <v>46297</v>
      </c>
      <c r="K23" s="85" t="inlineStr">
        <is>
          <t xml:space="preserve">    For i = 1 To n</t>
        </is>
      </c>
      <c r="P23" s="86" t="n"/>
    </row>
    <row r="24">
      <c r="A24" s="11" t="inlineStr">
        <is>
          <t>塔2</t>
        </is>
      </c>
      <c r="B24" s="3" t="n">
        <v>150</v>
      </c>
      <c r="C24" s="3" t="n">
        <v>40</v>
      </c>
      <c r="D24" s="3" t="n">
        <v>1</v>
      </c>
      <c r="E24" s="3">
        <f>COUNTIF(main!$F$2:$AD$271,data!A24)</f>
        <v/>
      </c>
      <c r="G24" t="n">
        <v>23</v>
      </c>
      <c r="H24" s="25" t="n">
        <v>250</v>
      </c>
      <c r="I24" s="26" t="n">
        <v>46298</v>
      </c>
      <c r="K24" s="85" t="inlineStr">
        <is>
          <t xml:space="preserve">        Sheets(baseName).Copy After:=Sheets(Sheets.Count)</t>
        </is>
      </c>
      <c r="P24" s="86" t="n"/>
    </row>
    <row r="25">
      <c r="A25" s="12" t="inlineStr">
        <is>
          <t>塔3</t>
        </is>
      </c>
      <c r="B25" s="3" t="n">
        <v>150</v>
      </c>
      <c r="C25" s="3" t="n">
        <v>45</v>
      </c>
      <c r="D25" s="3" t="n">
        <v>1</v>
      </c>
      <c r="E25" s="3">
        <f>COUNTIF(main!$F$2:$AD$271,data!A25)</f>
        <v/>
      </c>
      <c r="G25" t="n">
        <v>24</v>
      </c>
      <c r="H25" s="25" t="n">
        <v>250</v>
      </c>
      <c r="I25" s="26" t="n">
        <v>46299</v>
      </c>
      <c r="K25" s="85" t="inlineStr">
        <is>
          <t xml:space="preserve">        ActiveSheet.Name = 3 + i</t>
        </is>
      </c>
      <c r="P25" s="86" t="n"/>
    </row>
    <row r="26">
      <c r="A26" s="19" t="inlineStr">
        <is>
          <t>空</t>
        </is>
      </c>
      <c r="B26" s="3" t="n">
        <v>0</v>
      </c>
      <c r="C26" s="3" t="n">
        <v>0</v>
      </c>
      <c r="D26" s="3" t="n">
        <v>0</v>
      </c>
      <c r="E26" s="3">
        <f>COUNTIF(main!$F$2:$AD$271,data!A26)</f>
        <v/>
      </c>
      <c r="G26" t="n">
        <v>25</v>
      </c>
      <c r="H26" s="27" t="n">
        <v>200</v>
      </c>
      <c r="I26" s="24" t="n">
        <v>46300</v>
      </c>
      <c r="K26" s="85" t="inlineStr">
        <is>
          <t xml:space="preserve">    Next i</t>
        </is>
      </c>
      <c r="P26" s="86" t="n"/>
    </row>
    <row r="27" ht="15.75" customHeight="1" thickBot="1">
      <c r="A27" s="22" t="inlineStr">
        <is>
          <t>历练</t>
        </is>
      </c>
      <c r="B27" s="3" t="n">
        <v>50</v>
      </c>
      <c r="C27" s="3" t="n">
        <v>520</v>
      </c>
      <c r="D27" s="3" t="n">
        <v>0</v>
      </c>
      <c r="E27" s="3">
        <f>COUNTIF(main!$F$2:$AD$271,data!A27)</f>
        <v/>
      </c>
      <c r="G27" t="n">
        <v>26</v>
      </c>
      <c r="H27" s="27" t="n">
        <v>200</v>
      </c>
      <c r="I27" s="24" t="n">
        <v>46301</v>
      </c>
      <c r="K27" s="87" t="inlineStr">
        <is>
          <t>End Sub</t>
        </is>
      </c>
      <c r="L27" s="88" t="n"/>
      <c r="M27" s="88" t="n"/>
      <c r="N27" s="88" t="n"/>
      <c r="O27" s="88" t="n"/>
      <c r="P27" s="89" t="n"/>
    </row>
    <row r="28">
      <c r="D28" t="inlineStr">
        <is>
          <t>经验小计</t>
        </is>
      </c>
      <c r="E28">
        <f t="array" ref="E28">SUM(C2:C27*E2:E27)</f>
        <v/>
      </c>
      <c r="G28" t="n">
        <v>27</v>
      </c>
      <c r="H28" s="27" t="n">
        <v>200</v>
      </c>
      <c r="I28" s="24" t="n">
        <v>46302</v>
      </c>
    </row>
    <row r="29">
      <c r="D29" t="inlineStr">
        <is>
          <t>总经验</t>
        </is>
      </c>
      <c r="E29">
        <f>E28+7000+O12+U12</f>
        <v/>
      </c>
      <c r="G29" t="n">
        <v>28</v>
      </c>
      <c r="H29" s="27" t="n">
        <v>200</v>
      </c>
      <c r="I29" s="24" t="n">
        <v>46303</v>
      </c>
    </row>
    <row r="30">
      <c r="G30" t="n">
        <v>29</v>
      </c>
      <c r="H30" s="27" t="n">
        <v>200</v>
      </c>
      <c r="I30" s="24" t="n">
        <v>46304</v>
      </c>
    </row>
    <row r="31">
      <c r="G31" t="n">
        <v>30</v>
      </c>
      <c r="H31" s="27" t="n">
        <v>200</v>
      </c>
      <c r="I31" s="24" t="n">
        <v>46305</v>
      </c>
    </row>
    <row r="32">
      <c r="G32" t="n">
        <v>31</v>
      </c>
      <c r="H32" s="27" t="n">
        <v>200</v>
      </c>
      <c r="I32" s="24" t="n">
        <v>46306</v>
      </c>
    </row>
    <row r="33">
      <c r="G33" t="n">
        <v>32</v>
      </c>
      <c r="H33" s="27" t="n">
        <v>200</v>
      </c>
      <c r="I33" s="24" t="n">
        <v>46307</v>
      </c>
    </row>
    <row r="34">
      <c r="G34" t="n">
        <v>33</v>
      </c>
      <c r="H34" s="27" t="n">
        <v>200</v>
      </c>
      <c r="I34" s="24" t="n">
        <v>46308</v>
      </c>
    </row>
    <row r="35">
      <c r="G35" t="n">
        <v>34</v>
      </c>
      <c r="H35" s="27" t="n">
        <v>200</v>
      </c>
      <c r="I35" s="24" t="n">
        <v>46309</v>
      </c>
    </row>
    <row r="36">
      <c r="G36" t="n">
        <v>35</v>
      </c>
      <c r="H36" s="27" t="n">
        <v>200</v>
      </c>
      <c r="I36" s="24" t="n">
        <v>46310</v>
      </c>
    </row>
    <row r="37">
      <c r="G37" t="n">
        <v>36</v>
      </c>
      <c r="H37" s="27" t="n">
        <v>200</v>
      </c>
      <c r="I37" s="24" t="n">
        <v>46311</v>
      </c>
    </row>
    <row r="38">
      <c r="G38" t="n">
        <v>37</v>
      </c>
      <c r="H38" s="27" t="n">
        <v>200</v>
      </c>
      <c r="I38" s="24" t="n">
        <v>46312</v>
      </c>
    </row>
    <row r="39">
      <c r="G39" t="n">
        <v>38</v>
      </c>
      <c r="H39" s="27" t="n">
        <v>200</v>
      </c>
      <c r="I39" s="24" t="n">
        <v>46313</v>
      </c>
    </row>
    <row r="40">
      <c r="G40" t="n">
        <v>39</v>
      </c>
      <c r="H40" s="27" t="n">
        <v>200</v>
      </c>
      <c r="I40" s="24" t="n">
        <v>46314</v>
      </c>
    </row>
    <row r="41">
      <c r="G41" t="n">
        <v>40</v>
      </c>
      <c r="H41" s="27" t="n">
        <v>200</v>
      </c>
      <c r="I41" s="24" t="n">
        <v>46315</v>
      </c>
    </row>
    <row r="42">
      <c r="G42" t="n">
        <v>41</v>
      </c>
      <c r="H42" s="27" t="n">
        <v>200</v>
      </c>
      <c r="I42" s="24" t="n">
        <v>46316</v>
      </c>
    </row>
    <row r="43">
      <c r="G43" t="n">
        <v>42</v>
      </c>
      <c r="H43" s="27" t="n">
        <v>200</v>
      </c>
      <c r="I43" s="24" t="n">
        <v>46317</v>
      </c>
    </row>
    <row r="44">
      <c r="G44" t="n">
        <v>43</v>
      </c>
      <c r="H44" s="25" t="n">
        <v>150</v>
      </c>
      <c r="I44" s="26" t="n">
        <v>46318</v>
      </c>
    </row>
    <row r="45">
      <c r="G45" t="n">
        <v>44</v>
      </c>
      <c r="H45" s="25" t="n">
        <v>150</v>
      </c>
      <c r="I45" s="26" t="n">
        <v>46319</v>
      </c>
    </row>
    <row r="46">
      <c r="G46" t="n">
        <v>45</v>
      </c>
      <c r="H46" s="25" t="n">
        <v>150</v>
      </c>
      <c r="I46" s="26" t="n">
        <v>46320</v>
      </c>
    </row>
    <row r="47">
      <c r="G47" t="n">
        <v>46</v>
      </c>
      <c r="H47" s="25" t="n">
        <v>150</v>
      </c>
      <c r="I47" s="26" t="n">
        <v>46321</v>
      </c>
    </row>
    <row r="48">
      <c r="G48" t="n">
        <v>47</v>
      </c>
      <c r="H48" s="25" t="n">
        <v>150</v>
      </c>
      <c r="I48" s="26" t="n">
        <v>46322</v>
      </c>
    </row>
    <row r="49">
      <c r="G49" t="n">
        <v>48</v>
      </c>
      <c r="H49" s="25" t="n">
        <v>150</v>
      </c>
      <c r="I49" s="26" t="n">
        <v>46323</v>
      </c>
    </row>
    <row r="50">
      <c r="G50" t="n">
        <v>49</v>
      </c>
      <c r="H50" s="25" t="n">
        <v>150</v>
      </c>
      <c r="I50" s="26" t="n">
        <v>46324</v>
      </c>
    </row>
    <row r="51">
      <c r="G51" t="n">
        <v>50</v>
      </c>
      <c r="H51" s="25" t="n">
        <v>150</v>
      </c>
      <c r="I51" s="26" t="n">
        <v>46325</v>
      </c>
    </row>
    <row r="52">
      <c r="G52" t="n">
        <v>51</v>
      </c>
      <c r="H52" s="25" t="n">
        <v>150</v>
      </c>
      <c r="I52" s="26" t="n">
        <v>46326</v>
      </c>
    </row>
    <row r="53">
      <c r="G53" t="n">
        <v>52</v>
      </c>
      <c r="H53" s="25" t="n">
        <v>150</v>
      </c>
      <c r="I53" s="26" t="n">
        <v>46327</v>
      </c>
    </row>
    <row r="54">
      <c r="G54" t="n">
        <v>53</v>
      </c>
      <c r="H54" s="25" t="n">
        <v>150</v>
      </c>
      <c r="I54" s="26" t="n">
        <v>46328</v>
      </c>
    </row>
    <row r="55">
      <c r="G55" t="n">
        <v>54</v>
      </c>
      <c r="H55" s="25" t="n">
        <v>150</v>
      </c>
      <c r="I55" s="26" t="n">
        <v>46329</v>
      </c>
    </row>
    <row r="56">
      <c r="G56" t="n">
        <v>55</v>
      </c>
      <c r="H56" s="25" t="n">
        <v>150</v>
      </c>
      <c r="I56" s="26" t="n">
        <v>46330</v>
      </c>
    </row>
    <row r="57">
      <c r="G57" t="n">
        <v>56</v>
      </c>
      <c r="H57" s="25" t="n">
        <v>150</v>
      </c>
      <c r="I57" s="26" t="n">
        <v>46331</v>
      </c>
    </row>
    <row r="58">
      <c r="G58" t="n">
        <v>57</v>
      </c>
      <c r="H58" s="25" t="n">
        <v>150</v>
      </c>
      <c r="I58" s="26" t="n">
        <v>46332</v>
      </c>
    </row>
    <row r="59">
      <c r="G59" t="n">
        <v>58</v>
      </c>
      <c r="H59" s="25" t="n">
        <v>150</v>
      </c>
      <c r="I59" s="26" t="n">
        <v>46333</v>
      </c>
    </row>
    <row r="60">
      <c r="G60" t="n">
        <v>59</v>
      </c>
      <c r="H60" s="25" t="n">
        <v>150</v>
      </c>
      <c r="I60" s="26" t="n">
        <v>46334</v>
      </c>
    </row>
    <row r="61">
      <c r="G61" t="n">
        <v>60</v>
      </c>
      <c r="H61" s="25" t="n">
        <v>150</v>
      </c>
      <c r="I61" s="26" t="n">
        <v>46335</v>
      </c>
    </row>
    <row r="62">
      <c r="G62" t="n">
        <v>61</v>
      </c>
      <c r="H62" s="25" t="n">
        <v>150</v>
      </c>
      <c r="I62" s="26" t="n">
        <v>46336</v>
      </c>
    </row>
    <row r="63">
      <c r="G63" t="n">
        <v>62</v>
      </c>
      <c r="H63" s="25" t="n">
        <v>150</v>
      </c>
      <c r="I63" s="26" t="n">
        <v>46337</v>
      </c>
    </row>
    <row r="64">
      <c r="G64" t="n">
        <v>63</v>
      </c>
      <c r="H64" s="25" t="n">
        <v>150</v>
      </c>
      <c r="I64" s="26" t="n">
        <v>46338</v>
      </c>
    </row>
    <row r="65">
      <c r="G65" t="n">
        <v>64</v>
      </c>
      <c r="H65" s="27" t="n">
        <v>100</v>
      </c>
      <c r="I65" s="24" t="n">
        <v>46339</v>
      </c>
    </row>
    <row r="66">
      <c r="G66" t="n">
        <v>65</v>
      </c>
      <c r="H66" s="27" t="n">
        <v>100</v>
      </c>
      <c r="I66" s="24" t="n">
        <v>46340</v>
      </c>
    </row>
    <row r="67">
      <c r="G67" t="n">
        <v>66</v>
      </c>
      <c r="H67" s="27" t="n">
        <v>100</v>
      </c>
      <c r="I67" s="24" t="n">
        <v>46341</v>
      </c>
    </row>
    <row r="68">
      <c r="G68" t="n">
        <v>67</v>
      </c>
      <c r="H68" s="27" t="n">
        <v>100</v>
      </c>
      <c r="I68" s="24" t="n">
        <v>46342</v>
      </c>
    </row>
    <row r="69">
      <c r="G69" t="n">
        <v>68</v>
      </c>
      <c r="H69" s="27" t="n">
        <v>100</v>
      </c>
      <c r="I69" s="24" t="n">
        <v>46343</v>
      </c>
    </row>
    <row r="70">
      <c r="G70" t="n">
        <v>69</v>
      </c>
      <c r="H70" s="27" t="n">
        <v>100</v>
      </c>
      <c r="I70" s="24" t="n">
        <v>46344</v>
      </c>
    </row>
    <row r="71">
      <c r="G71" t="n">
        <v>70</v>
      </c>
      <c r="H71" s="27" t="n">
        <v>100</v>
      </c>
      <c r="I71" s="24" t="n">
        <v>46345</v>
      </c>
    </row>
    <row r="72">
      <c r="G72" t="n">
        <v>71</v>
      </c>
      <c r="H72" s="27" t="n">
        <v>100</v>
      </c>
      <c r="I72" s="24" t="n">
        <v>46346</v>
      </c>
    </row>
    <row r="73">
      <c r="G73" t="n">
        <v>72</v>
      </c>
      <c r="H73" s="27" t="n">
        <v>100</v>
      </c>
      <c r="I73" s="24" t="n">
        <v>46347</v>
      </c>
    </row>
    <row r="74">
      <c r="G74" t="n">
        <v>73</v>
      </c>
      <c r="H74" s="27" t="n">
        <v>100</v>
      </c>
      <c r="I74" s="24" t="n">
        <v>46348</v>
      </c>
    </row>
    <row r="75">
      <c r="G75" t="n">
        <v>74</v>
      </c>
      <c r="H75" s="27" t="n">
        <v>100</v>
      </c>
      <c r="I75" s="24" t="n">
        <v>46349</v>
      </c>
    </row>
    <row r="76">
      <c r="G76" t="n">
        <v>75</v>
      </c>
      <c r="H76" s="27" t="n">
        <v>100</v>
      </c>
      <c r="I76" s="24" t="n">
        <v>46350</v>
      </c>
    </row>
    <row r="77">
      <c r="G77" t="n">
        <v>76</v>
      </c>
      <c r="H77" s="27" t="n">
        <v>100</v>
      </c>
      <c r="I77" s="24" t="n">
        <v>46351</v>
      </c>
    </row>
    <row r="78">
      <c r="G78" t="n">
        <v>77</v>
      </c>
      <c r="H78" s="27" t="n">
        <v>100</v>
      </c>
      <c r="I78" s="24" t="n">
        <v>46352</v>
      </c>
    </row>
    <row r="79">
      <c r="G79" t="n">
        <v>78</v>
      </c>
      <c r="H79" s="27" t="n">
        <v>100</v>
      </c>
      <c r="I79" s="24" t="n">
        <v>46353</v>
      </c>
    </row>
    <row r="80">
      <c r="G80" t="n">
        <v>79</v>
      </c>
      <c r="H80" s="27" t="n">
        <v>100</v>
      </c>
      <c r="I80" s="24" t="n">
        <v>46354</v>
      </c>
    </row>
    <row r="81">
      <c r="G81" t="n">
        <v>80</v>
      </c>
      <c r="H81" s="27" t="n">
        <v>100</v>
      </c>
      <c r="I81" s="24" t="n">
        <v>46355</v>
      </c>
    </row>
    <row r="82">
      <c r="G82" t="n">
        <v>81</v>
      </c>
      <c r="H82" s="27" t="n">
        <v>100</v>
      </c>
      <c r="I82" s="24" t="n">
        <v>46356</v>
      </c>
    </row>
    <row r="83">
      <c r="G83" t="n">
        <v>82</v>
      </c>
      <c r="H83" s="27" t="n">
        <v>100</v>
      </c>
      <c r="I83" s="24" t="n">
        <v>46357</v>
      </c>
    </row>
    <row r="84">
      <c r="G84" t="n">
        <v>83</v>
      </c>
      <c r="H84" s="27" t="n">
        <v>100</v>
      </c>
      <c r="I84" s="24" t="n">
        <v>46358</v>
      </c>
    </row>
    <row r="85">
      <c r="G85" t="n">
        <v>84</v>
      </c>
      <c r="H85" s="27" t="n">
        <v>100</v>
      </c>
      <c r="I85" s="24" t="n">
        <v>46359</v>
      </c>
    </row>
    <row r="86">
      <c r="G86" t="n">
        <v>85</v>
      </c>
      <c r="H86" s="27" t="n">
        <v>100</v>
      </c>
      <c r="I86" s="24" t="n">
        <v>46360</v>
      </c>
    </row>
    <row r="87">
      <c r="G87" t="n">
        <v>86</v>
      </c>
      <c r="H87" s="27" t="n">
        <v>100</v>
      </c>
      <c r="I87" s="24" t="n">
        <v>46361</v>
      </c>
    </row>
    <row r="88">
      <c r="G88" t="n">
        <v>87</v>
      </c>
      <c r="H88" s="27" t="n">
        <v>100</v>
      </c>
      <c r="I88" s="24" t="n">
        <v>46362</v>
      </c>
    </row>
    <row r="89">
      <c r="G89" t="n">
        <v>88</v>
      </c>
      <c r="H89" s="27" t="n">
        <v>100</v>
      </c>
      <c r="I89" s="24" t="n">
        <v>46363</v>
      </c>
    </row>
    <row r="90">
      <c r="G90" t="n">
        <v>89</v>
      </c>
      <c r="H90" s="27" t="n">
        <v>100</v>
      </c>
      <c r="I90" s="24" t="n">
        <v>46364</v>
      </c>
    </row>
    <row r="91">
      <c r="G91" t="n">
        <v>90</v>
      </c>
      <c r="H91" s="27" t="n">
        <v>100</v>
      </c>
      <c r="I91" s="24" t="n">
        <v>46365</v>
      </c>
    </row>
    <row r="92">
      <c r="G92" t="n">
        <v>91</v>
      </c>
      <c r="H92" s="27" t="n">
        <v>100</v>
      </c>
      <c r="I92" s="24" t="n">
        <v>46366</v>
      </c>
    </row>
    <row r="93">
      <c r="G93" t="n">
        <v>92</v>
      </c>
      <c r="H93" s="27" t="n">
        <v>100</v>
      </c>
      <c r="I93" s="24" t="n">
        <v>46367</v>
      </c>
    </row>
    <row r="94">
      <c r="G94" t="n">
        <v>93</v>
      </c>
      <c r="H94" s="27" t="n">
        <v>100</v>
      </c>
      <c r="I94" s="24" t="n">
        <v>46368</v>
      </c>
    </row>
    <row r="95">
      <c r="G95" t="n">
        <v>94</v>
      </c>
      <c r="H95" s="27" t="n">
        <v>100</v>
      </c>
      <c r="I95" s="24" t="n">
        <v>46369</v>
      </c>
    </row>
    <row r="96">
      <c r="G96" t="n">
        <v>95</v>
      </c>
      <c r="H96" s="27" t="n">
        <v>100</v>
      </c>
      <c r="I96" s="24" t="n">
        <v>46370</v>
      </c>
    </row>
    <row r="97">
      <c r="G97" t="n">
        <v>96</v>
      </c>
      <c r="H97" s="27" t="n">
        <v>100</v>
      </c>
      <c r="I97" s="24" t="n">
        <v>46371</v>
      </c>
    </row>
    <row r="98">
      <c r="G98" t="n">
        <v>97</v>
      </c>
      <c r="H98" s="27" t="n">
        <v>100</v>
      </c>
      <c r="I98" s="24" t="n">
        <v>46372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D33"/>
  <sheetViews>
    <sheetView tabSelected="1" zoomScale="115" zoomScaleNormal="115" workbookViewId="0">
      <selection activeCell="H3" sqref="H3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IF(MIN(I2:I4)&lt;0,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 t="n">
        <v>6</v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76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 t="n">
        <v>6</v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68" t="n">
        <v>6800</v>
      </c>
      <c r="B4" s="69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 t="n">
        <v>6</v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  <c r="E5" s="67" t="n"/>
    </row>
    <row r="6">
      <c r="A6" s="3" t="n">
        <v>0</v>
      </c>
      <c r="B6" s="3">
        <f>SUM(G2:G4)</f>
        <v/>
      </c>
      <c r="C6" s="3" t="n">
        <v>500</v>
      </c>
      <c r="D6" s="73">
        <f>A6+B6+C6</f>
        <v/>
      </c>
      <c r="E6" s="67" t="n"/>
      <c r="AC6" s="3" t="inlineStr">
        <is>
          <t>跳</t>
        </is>
      </c>
      <c r="AD6" s="50" t="n">
        <v>2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1级</t>
        </is>
      </c>
      <c r="D8" s="3" t="inlineStr">
        <is>
          <t>1级</t>
        </is>
      </c>
      <c r="E8" s="3" t="inlineStr">
        <is>
          <t>1级</t>
        </is>
      </c>
      <c r="F8" s="3" t="inlineStr">
        <is>
          <t>1级</t>
        </is>
      </c>
      <c r="G8" s="3" t="inlineStr">
        <is>
          <t>1级</t>
        </is>
      </c>
      <c r="H8" s="3" t="inlineStr">
        <is>
          <t>草1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1级</t>
        </is>
      </c>
      <c r="D11" s="3" t="inlineStr">
        <is>
          <t>商人</t>
        </is>
      </c>
      <c r="E11" s="3" t="inlineStr">
        <is>
          <t>1级</t>
        </is>
      </c>
      <c r="F11" s="3" t="inlineStr">
        <is>
          <t>1级</t>
        </is>
      </c>
      <c r="G11" s="3" t="inlineStr">
        <is>
          <t>1级</t>
        </is>
      </c>
      <c r="H11" s="3" t="inlineStr">
        <is>
          <t>1级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商人</t>
        </is>
      </c>
      <c r="D14" s="3" t="inlineStr">
        <is>
          <t>1级</t>
        </is>
      </c>
      <c r="E14" s="3" t="inlineStr">
        <is>
          <t>1级</t>
        </is>
      </c>
      <c r="F14" s="3" t="inlineStr">
        <is>
          <t>1级</t>
        </is>
      </c>
      <c r="G14" s="3" t="inlineStr">
        <is>
          <t>1级</t>
        </is>
      </c>
      <c r="H14" s="3" t="inlineStr">
        <is>
          <t>草2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D33"/>
  <sheetViews>
    <sheetView zoomScale="115" zoomScaleNormal="115" workbookViewId="0">
      <selection activeCell="G23" sqref="G23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跳12</t>
        </is>
      </c>
      <c r="D8" s="3" t="inlineStr">
        <is>
          <t>1级</t>
        </is>
      </c>
      <c r="E8" s="3" t="inlineStr">
        <is>
          <t>1级</t>
        </is>
      </c>
      <c r="F8" s="3" t="inlineStr">
        <is>
          <t>商人</t>
        </is>
      </c>
      <c r="G8" s="3" t="inlineStr">
        <is>
          <t>1级</t>
        </is>
      </c>
      <c r="H8" s="3" t="inlineStr">
        <is>
          <t>1级</t>
        </is>
      </c>
      <c r="I8" s="3" t="inlineStr">
        <is>
          <t>1级</t>
        </is>
      </c>
      <c r="J8" s="3" t="inlineStr">
        <is>
          <t>跳5</t>
        </is>
      </c>
      <c r="K8" s="3" t="inlineStr">
        <is>
          <t>3级</t>
        </is>
      </c>
      <c r="L8" s="3" t="inlineStr">
        <is>
          <t>3级</t>
        </is>
      </c>
      <c r="M8" s="3" t="inlineStr">
        <is>
          <t>3级</t>
        </is>
      </c>
      <c r="N8" s="3" t="inlineStr">
        <is>
          <t>草2</t>
        </is>
      </c>
      <c r="O8" s="3" t="inlineStr">
        <is>
          <t>3级</t>
        </is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跳18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inlineStr">
        <is>
          <t>大卦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跳13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inlineStr">
        <is>
          <t>商人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D33"/>
  <sheetViews>
    <sheetView zoomScale="115" zoomScaleNormal="115" workbookViewId="0">
      <selection activeCell="L9" sqref="K9:L9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91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9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9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104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跳7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草3</t>
        </is>
      </c>
      <c r="I8" s="3" t="inlineStr">
        <is>
          <t>3级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跳4</t>
        </is>
      </c>
      <c r="D11" s="3" t="inlineStr">
        <is>
          <t>3级</t>
        </is>
      </c>
      <c r="E11" s="3" t="inlineStr">
        <is>
          <t>跳10</t>
        </is>
      </c>
      <c r="F11" s="3" t="inlineStr">
        <is>
          <t>3级</t>
        </is>
      </c>
      <c r="G11" s="3" t="inlineStr">
        <is>
          <t>草2</t>
        </is>
      </c>
      <c r="H11" s="3" t="inlineStr">
        <is>
          <t>3级</t>
        </is>
      </c>
      <c r="I11" s="3" t="inlineStr">
        <is>
          <t>3级</t>
        </is>
      </c>
      <c r="J11" s="3" t="inlineStr">
        <is>
          <t>3级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跳11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D33"/>
  <sheetViews>
    <sheetView zoomScale="115" zoomScaleNormal="115" workbookViewId="0">
      <selection activeCell="F25" sqref="F25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7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跳10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大卦</t>
        </is>
      </c>
      <c r="G8" s="3" t="inlineStr">
        <is>
          <t>跳6</t>
        </is>
      </c>
      <c r="H8" s="3" t="inlineStr">
        <is>
          <t>3级</t>
        </is>
      </c>
      <c r="I8" s="3" t="inlineStr">
        <is>
          <t>3级</t>
        </is>
      </c>
      <c r="J8" s="3" t="inlineStr">
        <is>
          <t>商人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D33"/>
  <sheetViews>
    <sheetView zoomScale="115" zoomScaleNormal="115" workbookViewId="0">
      <selection activeCell="F23" sqref="F23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草2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跳5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D33"/>
  <sheetViews>
    <sheetView zoomScale="115" zoomScaleNormal="115" workbookViewId="0">
      <selection activeCell="E23" sqref="E23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9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跳3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大卦</t>
        </is>
      </c>
      <c r="H8" s="3" t="inlineStr">
        <is>
          <t>跳3</t>
        </is>
      </c>
      <c r="I8" s="3" t="inlineStr">
        <is>
          <t>3级</t>
        </is>
      </c>
      <c r="J8" s="3" t="inlineStr">
        <is>
          <t>3级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AD33"/>
  <sheetViews>
    <sheetView zoomScale="115" zoomScaleNormal="115" workbookViewId="0">
      <selection activeCell="C11" sqref="C11:AA1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跳2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3级</t>
        </is>
      </c>
      <c r="I8" s="3" t="inlineStr">
        <is>
          <t>3级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跳6</t>
        </is>
      </c>
      <c r="D11" s="3" t="inlineStr">
        <is>
          <t>3级卦</t>
        </is>
      </c>
      <c r="E11" s="3" t="inlineStr">
        <is>
          <t>3级</t>
        </is>
      </c>
      <c r="F11" s="3" t="inlineStr">
        <is>
          <t>3级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D33"/>
  <sheetViews>
    <sheetView zoomScale="115" zoomScaleNormal="115" workbookViewId="0">
      <selection activeCell="C11" sqref="C11:AA1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跳2</t>
        </is>
      </c>
      <c r="D8" s="3" t="inlineStr">
        <is>
          <t>3级</t>
        </is>
      </c>
      <c r="E8" s="3" t="inlineStr">
        <is>
          <t>草2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3级</t>
        </is>
      </c>
      <c r="I8" s="3" t="inlineStr">
        <is>
          <t>3级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跳6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AD33"/>
  <sheetViews>
    <sheetView zoomScale="115" zoomScaleNormal="115" workbookViewId="0">
      <selection activeCell="C11" sqref="C11:AA1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5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跳3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3级</t>
        </is>
      </c>
      <c r="I8" s="3" t="inlineStr">
        <is>
          <t>3级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跳6</t>
        </is>
      </c>
      <c r="D11" s="3" t="inlineStr">
        <is>
          <t>3级</t>
        </is>
      </c>
      <c r="E11" s="3" t="inlineStr">
        <is>
          <t>跳5</t>
        </is>
      </c>
      <c r="F11" s="3" t="inlineStr">
        <is>
          <t>1级</t>
        </is>
      </c>
      <c r="G11" s="3" t="inlineStr">
        <is>
          <t>1级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跳4</t>
        </is>
      </c>
      <c r="D8" s="3" t="inlineStr">
        <is>
          <t>商人</t>
        </is>
      </c>
      <c r="E8" s="3" t="inlineStr">
        <is>
          <t>1级</t>
        </is>
      </c>
      <c r="F8" s="3" t="inlineStr">
        <is>
          <t>1级</t>
        </is>
      </c>
      <c r="G8" s="3" t="inlineStr">
        <is>
          <t>2级</t>
        </is>
      </c>
      <c r="H8" s="3" t="inlineStr">
        <is>
          <t>2级</t>
        </is>
      </c>
      <c r="I8" s="3" t="inlineStr">
        <is>
          <t>2级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跳6</t>
        </is>
      </c>
      <c r="D11" s="3" t="inlineStr">
        <is>
          <t>商人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草2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跳4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3级卦</t>
        </is>
      </c>
      <c r="G8" s="3" t="inlineStr">
        <is>
          <t>3级</t>
        </is>
      </c>
      <c r="H8" s="3" t="inlineStr">
        <is>
          <t>3级</t>
        </is>
      </c>
      <c r="I8" s="3" t="inlineStr">
        <is>
          <t>4级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5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3级卦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4级</t>
        </is>
      </c>
      <c r="H8" s="3" t="inlineStr">
        <is>
          <t>3级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商人</t>
        </is>
      </c>
      <c r="D11" s="3" t="inlineStr">
        <is>
          <t>3级</t>
        </is>
      </c>
      <c r="E11" s="3" t="inlineStr">
        <is>
          <t>4级</t>
        </is>
      </c>
      <c r="F11" s="3" t="inlineStr">
        <is>
          <t>3级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草2</t>
        </is>
      </c>
      <c r="D8" s="3" t="inlineStr">
        <is>
          <t>4级</t>
        </is>
      </c>
      <c r="E8" s="3" t="inlineStr">
        <is>
          <t>3级</t>
        </is>
      </c>
      <c r="F8" s="3" t="inlineStr">
        <is>
          <t>4级</t>
        </is>
      </c>
      <c r="G8" s="3" t="inlineStr">
        <is>
          <t>商人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3级</t>
        </is>
      </c>
      <c r="E11" s="3" t="inlineStr">
        <is>
          <t>4级</t>
        </is>
      </c>
      <c r="F11" s="3" t="inlineStr">
        <is>
          <t>4级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AD33"/>
  <sheetViews>
    <sheetView topLeftCell="B1"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3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3级卦</t>
        </is>
      </c>
      <c r="G8" s="3" t="inlineStr">
        <is>
          <t>跳2</t>
        </is>
      </c>
      <c r="H8" s="3" t="inlineStr">
        <is>
          <t>4级</t>
        </is>
      </c>
      <c r="I8" s="3" t="inlineStr">
        <is>
          <t>草2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4级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AD33"/>
  <sheetViews>
    <sheetView topLeftCell="B1"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96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27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草3</t>
        </is>
      </c>
      <c r="G8" s="3" t="inlineStr">
        <is>
          <t>3级</t>
        </is>
      </c>
      <c r="H8" s="3" t="inlineStr">
        <is>
          <t>3级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4级</t>
        </is>
      </c>
      <c r="E11" s="3" t="inlineStr">
        <is>
          <t>3级</t>
        </is>
      </c>
      <c r="F11" s="3" t="inlineStr">
        <is>
          <t>跳1</t>
        </is>
      </c>
      <c r="G11" s="3" t="inlineStr">
        <is>
          <t>3级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232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跳1</t>
        </is>
      </c>
      <c r="D8" s="3" t="inlineStr">
        <is>
          <t>草2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商人</t>
        </is>
      </c>
      <c r="H8" s="3" t="inlineStr">
        <is>
          <t>3级</t>
        </is>
      </c>
      <c r="I8" s="3" t="inlineStr">
        <is>
          <t>3级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跳6</t>
        </is>
      </c>
      <c r="D11" s="3" t="inlineStr">
        <is>
          <t>草2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3级卦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96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564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跳1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商人</t>
        </is>
      </c>
      <c r="H8" s="3" t="inlineStr">
        <is>
          <t>3级</t>
        </is>
      </c>
      <c r="I8" s="3" t="inlineStr">
        <is>
          <t>3级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跳10</t>
        </is>
      </c>
      <c r="D11" s="3" t="inlineStr">
        <is>
          <t>3级</t>
        </is>
      </c>
      <c r="E11" s="3" t="inlineStr">
        <is>
          <t>营地</t>
        </is>
      </c>
      <c r="F11" s="3" t="inlineStr">
        <is>
          <t>跳8</t>
        </is>
      </c>
      <c r="G11" s="3" t="inlineStr">
        <is>
          <t>3级</t>
        </is>
      </c>
      <c r="H11" s="3" t="inlineStr">
        <is>
          <t>3级</t>
        </is>
      </c>
      <c r="I11" s="3" t="inlineStr">
        <is>
          <t>草2</t>
        </is>
      </c>
      <c r="J11" s="3" t="inlineStr">
        <is>
          <t>2级</t>
        </is>
      </c>
      <c r="K11" s="3" t="inlineStr">
        <is>
          <t>2级</t>
        </is>
      </c>
      <c r="L11" s="3" t="inlineStr">
        <is>
          <t>2级</t>
        </is>
      </c>
      <c r="M11" s="3" t="inlineStr">
        <is>
          <t>2级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256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跳9</t>
        </is>
      </c>
      <c r="D8" s="3" t="inlineStr">
        <is>
          <t>2级</t>
        </is>
      </c>
      <c r="E8" s="3" t="inlineStr">
        <is>
          <t>2级</t>
        </is>
      </c>
      <c r="F8" s="3" t="inlineStr">
        <is>
          <t>2级</t>
        </is>
      </c>
      <c r="G8" s="3" t="inlineStr">
        <is>
          <t>草2</t>
        </is>
      </c>
      <c r="H8" s="3" t="inlineStr">
        <is>
          <t>2级</t>
        </is>
      </c>
      <c r="I8" s="3" t="inlineStr">
        <is>
          <t>2级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2级</t>
        </is>
      </c>
      <c r="D11" s="3" t="inlineStr">
        <is>
          <t>2级</t>
        </is>
      </c>
      <c r="E11" s="3" t="inlineStr">
        <is>
          <t>历练</t>
        </is>
      </c>
      <c r="F11" s="3" t="inlineStr">
        <is>
          <t>跳1</t>
        </is>
      </c>
      <c r="G11" s="3" t="inlineStr">
        <is>
          <t>2级</t>
        </is>
      </c>
      <c r="H11" s="3" t="inlineStr">
        <is>
          <t>2级</t>
        </is>
      </c>
      <c r="I11" s="3" t="inlineStr">
        <is>
          <t>2级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营地</t>
        </is>
      </c>
      <c r="D8" s="3" t="inlineStr">
        <is>
          <t>2级</t>
        </is>
      </c>
      <c r="E8" s="3" t="inlineStr">
        <is>
          <t>2级</t>
        </is>
      </c>
      <c r="F8" s="3" t="inlineStr">
        <is>
          <t>跳1</t>
        </is>
      </c>
      <c r="G8" s="3" t="inlineStr">
        <is>
          <t>2级</t>
        </is>
      </c>
      <c r="H8" s="3" t="inlineStr">
        <is>
          <t>商人</t>
        </is>
      </c>
      <c r="I8" s="3" t="inlineStr">
        <is>
          <t>2级</t>
        </is>
      </c>
      <c r="J8" s="3" t="inlineStr">
        <is>
          <t>2级</t>
        </is>
      </c>
      <c r="K8" s="3" t="inlineStr">
        <is>
          <t>3级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商人</t>
        </is>
      </c>
      <c r="D11" s="3" t="inlineStr">
        <is>
          <t>2级</t>
        </is>
      </c>
      <c r="E11" s="3" t="inlineStr">
        <is>
          <t>2级</t>
        </is>
      </c>
      <c r="F11" s="3" t="inlineStr">
        <is>
          <t>2级</t>
        </is>
      </c>
      <c r="G11" s="3" t="inlineStr">
        <is>
          <t>跳1</t>
        </is>
      </c>
      <c r="H11" s="3" t="inlineStr">
        <is>
          <t>2级</t>
        </is>
      </c>
      <c r="I11" s="3" t="inlineStr">
        <is>
          <t>跳1</t>
        </is>
      </c>
      <c r="J11" s="3" t="inlineStr">
        <is>
          <t>3级</t>
        </is>
      </c>
      <c r="K11" s="3" t="inlineStr">
        <is>
          <t>跳6</t>
        </is>
      </c>
      <c r="L11" s="3" t="inlineStr">
        <is>
          <t>3级</t>
        </is>
      </c>
      <c r="M11" s="3" t="inlineStr">
        <is>
          <t>3级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跳9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3级</t>
        </is>
      </c>
      <c r="I8" s="3" t="inlineStr">
        <is>
          <t>4级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跳6</t>
        </is>
      </c>
      <c r="D11" s="3" t="inlineStr">
        <is>
          <t>3级</t>
        </is>
      </c>
      <c r="E11" s="3" t="inlineStr">
        <is>
          <t>商人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inlineStr">
        <is>
          <t>3级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跳6</t>
        </is>
      </c>
      <c r="D8" s="3" t="inlineStr">
        <is>
          <t>3级</t>
        </is>
      </c>
      <c r="E8" s="3" t="inlineStr">
        <is>
          <t>营地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草2</t>
        </is>
      </c>
      <c r="I8" s="3" t="inlineStr">
        <is>
          <t>3级</t>
        </is>
      </c>
      <c r="J8" s="3" t="inlineStr">
        <is>
          <t>3级</t>
        </is>
      </c>
      <c r="K8" s="3" t="inlineStr">
        <is>
          <t>商人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跳5</t>
        </is>
      </c>
      <c r="F11" s="3" t="inlineStr">
        <is>
          <t>3级</t>
        </is>
      </c>
      <c r="G11" s="3" t="inlineStr">
        <is>
          <t>跳1</t>
        </is>
      </c>
      <c r="H11" s="3" t="inlineStr">
        <is>
          <t>3级</t>
        </is>
      </c>
      <c r="I11" s="3" t="inlineStr">
        <is>
          <t>3级</t>
        </is>
      </c>
      <c r="J11" s="3" t="inlineStr">
        <is>
          <t>3级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跳6</t>
        </is>
      </c>
      <c r="D8" s="3" t="inlineStr">
        <is>
          <t>3级</t>
        </is>
      </c>
      <c r="E8" s="3" t="inlineStr">
        <is>
          <t>营地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3级</t>
        </is>
      </c>
      <c r="I8" s="3" t="inlineStr">
        <is>
          <t>3级</t>
        </is>
      </c>
      <c r="J8" s="3" t="inlineStr">
        <is>
          <t>4级</t>
        </is>
      </c>
      <c r="K8" s="3" t="inlineStr">
        <is>
          <t>草2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4级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3级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跳7</t>
        </is>
      </c>
      <c r="E11" s="3" t="inlineStr">
        <is>
          <t>3级</t>
        </is>
      </c>
      <c r="F11" s="3" t="inlineStr">
        <is>
          <t>草5</t>
        </is>
      </c>
      <c r="G11" s="3" t="inlineStr">
        <is>
          <t>3级</t>
        </is>
      </c>
      <c r="H11" s="3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跳4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营地</t>
        </is>
      </c>
      <c r="H8" s="3" t="inlineStr">
        <is>
          <t>5级</t>
        </is>
      </c>
      <c r="I8" s="3" t="inlineStr">
        <is>
          <t>5级</t>
        </is>
      </c>
      <c r="J8" s="3" t="inlineStr">
        <is>
          <t>5级</t>
        </is>
      </c>
      <c r="K8" s="3" t="inlineStr">
        <is>
          <t>5级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商人</t>
        </is>
      </c>
      <c r="F11" s="3" t="inlineStr">
        <is>
          <t>5级</t>
        </is>
      </c>
      <c r="G11" s="3" t="inlineStr">
        <is>
          <t>5级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4级</t>
        </is>
      </c>
      <c r="E8" s="3" t="inlineStr">
        <is>
          <t>营地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inlineStr">
        <is>
          <t>草2</t>
        </is>
      </c>
      <c r="J8" s="3" t="inlineStr">
        <is>
          <t>5级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跳7</t>
        </is>
      </c>
      <c r="E11" s="3" t="inlineStr">
        <is>
          <t>营地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4级</t>
        </is>
      </c>
      <c r="I11" s="3" t="inlineStr">
        <is>
          <t>5级</t>
        </is>
      </c>
      <c r="J11" s="3" t="inlineStr">
        <is>
          <t>营地</t>
        </is>
      </c>
      <c r="K11" s="3" t="inlineStr">
        <is>
          <t>5级</t>
        </is>
      </c>
      <c r="L11" s="3" t="inlineStr">
        <is>
          <t>5级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>
  <sheetPr codeName="Sheet2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跳5</t>
        </is>
      </c>
      <c r="F8" s="3" t="inlineStr">
        <is>
          <t>历练</t>
        </is>
      </c>
      <c r="G8" s="3" t="inlineStr">
        <is>
          <t>5级</t>
        </is>
      </c>
      <c r="H8" s="3" t="inlineStr">
        <is>
          <t>5级</t>
        </is>
      </c>
      <c r="I8" s="3" t="inlineStr">
        <is>
          <t>5级</t>
        </is>
      </c>
      <c r="J8" s="3" t="inlineStr">
        <is>
          <t>5级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跳5</t>
        </is>
      </c>
      <c r="D11" s="3" t="inlineStr">
        <is>
          <t>营地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inlineStr">
        <is>
          <t>6级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>
  <sheetPr codeName="Sheet3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商人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>
  <sheetPr codeName="Sheet3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 codeName="Sheet3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营地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草6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3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>
  <sheetPr codeName="Sheet3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草5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营地</t>
        </is>
      </c>
      <c r="D11" s="3" t="inlineStr">
        <is>
          <t>6级</t>
        </is>
      </c>
      <c r="E11" s="3" t="inlineStr">
        <is>
          <t>4级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6级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 codeName="Sheet3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营地</t>
        </is>
      </c>
      <c r="G11" s="3" t="inlineStr">
        <is>
          <t>跳1</t>
        </is>
      </c>
      <c r="H11" s="3" t="inlineStr">
        <is>
          <t>6级</t>
        </is>
      </c>
      <c r="I11" s="3" t="inlineStr">
        <is>
          <t>6级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>
  <sheetPr codeName="Sheet3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商人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草2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>
  <sheetPr codeName="Sheet3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跳1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4级</t>
        </is>
      </c>
      <c r="I11" s="3" t="inlineStr">
        <is>
          <t>4级</t>
        </is>
      </c>
      <c r="J11" s="3" t="inlineStr">
        <is>
          <t>4级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4级</t>
        </is>
      </c>
      <c r="I11" s="3" t="inlineStr">
        <is>
          <t>4级</t>
        </is>
      </c>
      <c r="J11" s="3" t="inlineStr">
        <is>
          <t>3级</t>
        </is>
      </c>
      <c r="K11" s="3" t="inlineStr">
        <is>
          <t>4级</t>
        </is>
      </c>
      <c r="L11" s="3" t="inlineStr">
        <is>
          <t>4级</t>
        </is>
      </c>
      <c r="M11" s="3" t="inlineStr">
        <is>
          <t>4级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>
  <sheetPr codeName="Sheet4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14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3级</t>
        </is>
      </c>
      <c r="E11" s="3" t="inlineStr">
        <is>
          <t>4级</t>
        </is>
      </c>
      <c r="F11" s="3" t="inlineStr">
        <is>
          <t>跳1</t>
        </is>
      </c>
      <c r="G11" s="3" t="inlineStr">
        <is>
          <t>4级</t>
        </is>
      </c>
      <c r="H11" s="3" t="inlineStr">
        <is>
          <t>4级</t>
        </is>
      </c>
      <c r="I11" s="3" t="inlineStr">
        <is>
          <t>3级</t>
        </is>
      </c>
      <c r="J11" s="3" t="inlineStr">
        <is>
          <t>3级</t>
        </is>
      </c>
      <c r="K11" s="3" t="inlineStr">
        <is>
          <t>草3</t>
        </is>
      </c>
      <c r="L11" s="3" t="inlineStr">
        <is>
          <t>3级</t>
        </is>
      </c>
      <c r="M11" s="3" t="inlineStr">
        <is>
          <t>4级</t>
        </is>
      </c>
      <c r="N11" s="3" t="inlineStr">
        <is>
          <t>4级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>
  <sheetPr codeName="Sheet4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跳1</t>
        </is>
      </c>
      <c r="F11" s="3" t="inlineStr">
        <is>
          <t>4级</t>
        </is>
      </c>
      <c r="G11" s="3" t="inlineStr">
        <is>
          <t>3级</t>
        </is>
      </c>
      <c r="H11" s="3" t="inlineStr">
        <is>
          <t>4级</t>
        </is>
      </c>
      <c r="I11" s="3" t="inlineStr">
        <is>
          <t>4级</t>
        </is>
      </c>
      <c r="J11" s="3" t="inlineStr">
        <is>
          <t>3级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跳5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>
  <sheetPr codeName="Sheet4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4级</t>
        </is>
      </c>
      <c r="I11" s="3" t="inlineStr">
        <is>
          <t>4级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营地</t>
        </is>
      </c>
      <c r="G14" s="3" t="inlineStr">
        <is>
          <t>跳9</t>
        </is>
      </c>
      <c r="H14" s="3" t="inlineStr">
        <is>
          <t>3级</t>
        </is>
      </c>
      <c r="I14" s="3" t="inlineStr">
        <is>
          <t>跳4</t>
        </is>
      </c>
      <c r="J14" s="3" t="inlineStr">
        <is>
          <t>3级</t>
        </is>
      </c>
      <c r="K14" s="3" t="inlineStr">
        <is>
          <t>3级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>
  <sheetPr codeName="Sheet4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3级</t>
        </is>
      </c>
      <c r="H11" s="3" t="inlineStr">
        <is>
          <t>跳1</t>
        </is>
      </c>
      <c r="I11" s="3" t="inlineStr">
        <is>
          <t>3级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跳1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跳1</t>
        </is>
      </c>
      <c r="H14" s="3" t="inlineStr">
        <is>
          <t>营地</t>
        </is>
      </c>
      <c r="I14" s="3" t="inlineStr">
        <is>
          <t>跳3</t>
        </is>
      </c>
      <c r="J14" s="3" t="inlineStr">
        <is>
          <t>草2</t>
        </is>
      </c>
      <c r="K14" s="3" t="inlineStr">
        <is>
          <t>3级</t>
        </is>
      </c>
      <c r="L14" s="3" t="inlineStr">
        <is>
          <t>跳16</t>
        </is>
      </c>
      <c r="M14" s="3" t="inlineStr">
        <is>
          <t>3级</t>
        </is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>
  <sheetPr codeName="Sheet4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草4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>
  <sheetPr codeName="Sheet4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草3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>
  <sheetPr codeName="Sheet4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3级</t>
        </is>
      </c>
      <c r="G11" s="3" t="inlineStr">
        <is>
          <t>跳2</t>
        </is>
      </c>
      <c r="H11" s="3" t="inlineStr">
        <is>
          <t>6级</t>
        </is>
      </c>
      <c r="I11" s="3" t="inlineStr">
        <is>
          <t>4级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>
  <sheetPr codeName="Sheet4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4级</t>
        </is>
      </c>
      <c r="E11" s="3" t="inlineStr">
        <is>
          <t>跳2</t>
        </is>
      </c>
      <c r="F11" s="3" t="inlineStr">
        <is>
          <t>3级</t>
        </is>
      </c>
      <c r="G11" s="3" t="inlineStr">
        <is>
          <t>商人</t>
        </is>
      </c>
      <c r="H11" s="3" t="inlineStr">
        <is>
          <t>3级</t>
        </is>
      </c>
      <c r="I11" s="3" t="inlineStr">
        <is>
          <t>跳2</t>
        </is>
      </c>
      <c r="J11" s="3" t="inlineStr">
        <is>
          <t>3级</t>
        </is>
      </c>
      <c r="K11" s="3" t="inlineStr">
        <is>
          <t>4级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>
  <sheetPr codeName="Sheet4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商人</t>
        </is>
      </c>
      <c r="G14" s="3" t="inlineStr">
        <is>
          <t>3级</t>
        </is>
      </c>
      <c r="H14" s="3" t="inlineStr">
        <is>
          <t>跳3</t>
        </is>
      </c>
      <c r="I14" s="3" t="inlineStr">
        <is>
          <t>3级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>
  <sheetPr codeName="Sheet4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跳1</t>
        </is>
      </c>
      <c r="D14" s="3" t="inlineStr">
        <is>
          <t>3级</t>
        </is>
      </c>
      <c r="E14" s="3" t="inlineStr">
        <is>
          <t>跳2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inlineStr">
        <is>
          <t>3级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>
  <sheetPr codeName="Sheet5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商人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inlineStr">
        <is>
          <t>跳1</t>
        </is>
      </c>
      <c r="J14" s="3" t="inlineStr">
        <is>
          <t>3级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>
  <sheetPr codeName="Sheet5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3级</t>
        </is>
      </c>
      <c r="E11" s="3" t="inlineStr">
        <is>
          <t>草2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inlineStr">
        <is>
          <t>跳3</t>
        </is>
      </c>
      <c r="J11" s="3" t="inlineStr">
        <is>
          <t>2级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跳1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>
  <sheetPr codeName="Sheet5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2级</t>
        </is>
      </c>
      <c r="D11" s="3" t="inlineStr">
        <is>
          <t>商人</t>
        </is>
      </c>
      <c r="E11" s="3" t="inlineStr">
        <is>
          <t>2级</t>
        </is>
      </c>
      <c r="F11" s="3" t="inlineStr">
        <is>
          <t>2级</t>
        </is>
      </c>
      <c r="G11" s="3" t="inlineStr">
        <is>
          <t>2级</t>
        </is>
      </c>
      <c r="H11" s="3" t="inlineStr">
        <is>
          <t>2级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商人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草2</t>
        </is>
      </c>
      <c r="I14" s="3" t="inlineStr">
        <is>
          <t>3级</t>
        </is>
      </c>
      <c r="J14" s="3" t="inlineStr">
        <is>
          <t>3级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>
  <sheetPr codeName="Sheet5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2级</t>
        </is>
      </c>
      <c r="D11" s="3" t="inlineStr">
        <is>
          <t>商人</t>
        </is>
      </c>
      <c r="E11" s="3" t="inlineStr">
        <is>
          <t>2级</t>
        </is>
      </c>
      <c r="F11" s="3" t="inlineStr">
        <is>
          <t>2级</t>
        </is>
      </c>
      <c r="G11" s="3" t="inlineStr">
        <is>
          <t>2级</t>
        </is>
      </c>
      <c r="H11" s="3" t="inlineStr">
        <is>
          <t>2级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跳2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跳2</t>
        </is>
      </c>
      <c r="I14" s="3" t="inlineStr">
        <is>
          <t>3级</t>
        </is>
      </c>
      <c r="J14" s="3" t="inlineStr">
        <is>
          <t>3级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>
  <sheetPr codeName="Sheet5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2级</t>
        </is>
      </c>
      <c r="D11" s="3" t="inlineStr">
        <is>
          <t>营地</t>
        </is>
      </c>
      <c r="E11" s="3" t="inlineStr">
        <is>
          <t>跳16</t>
        </is>
      </c>
      <c r="F11" s="3" t="inlineStr">
        <is>
          <t>2级</t>
        </is>
      </c>
      <c r="G11" s="3" t="inlineStr">
        <is>
          <t>2级</t>
        </is>
      </c>
      <c r="H11" s="3" t="inlineStr">
        <is>
          <t>跳1</t>
        </is>
      </c>
      <c r="I11" s="3" t="inlineStr">
        <is>
          <t>2级</t>
        </is>
      </c>
      <c r="J11" s="3" t="inlineStr">
        <is>
          <t>2级</t>
        </is>
      </c>
      <c r="K11" s="3" t="inlineStr">
        <is>
          <t>2级</t>
        </is>
      </c>
      <c r="L11" s="3" t="inlineStr">
        <is>
          <t>2级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>
  <sheetPr codeName="Sheet5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17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跳1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草5</t>
        </is>
      </c>
      <c r="I8" s="3" t="inlineStr">
        <is>
          <t>5级</t>
        </is>
      </c>
      <c r="J8" s="3" t="inlineStr">
        <is>
          <t>5级</t>
        </is>
      </c>
      <c r="K8" s="3" t="inlineStr">
        <is>
          <t>中boss</t>
        </is>
      </c>
      <c r="L8" s="3" t="inlineStr">
        <is>
          <t>5级</t>
        </is>
      </c>
      <c r="M8" s="3" t="inlineStr">
        <is>
          <t>5级</t>
        </is>
      </c>
      <c r="N8" s="3" t="inlineStr">
        <is>
          <t>5级</t>
        </is>
      </c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>
  <sheetPr codeName="Sheet5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inlineStr">
        <is>
          <t>跳10</t>
        </is>
      </c>
      <c r="J8" s="3" t="inlineStr">
        <is>
          <t>5级</t>
        </is>
      </c>
      <c r="K8" s="3" t="inlineStr">
        <is>
          <t>5级</t>
        </is>
      </c>
      <c r="L8" s="3" t="inlineStr">
        <is>
          <t>5级</t>
        </is>
      </c>
      <c r="M8" s="3" t="inlineStr">
        <is>
          <t>5级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>
  <sheetPr codeName="Sheet5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17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大boss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inlineStr">
        <is>
          <t>中boss</t>
        </is>
      </c>
      <c r="J8" s="3" t="inlineStr">
        <is>
          <t>5级</t>
        </is>
      </c>
      <c r="K8" s="3" t="inlineStr">
        <is>
          <t>6级</t>
        </is>
      </c>
      <c r="L8" s="3" t="inlineStr">
        <is>
          <t>飞雷</t>
        </is>
      </c>
      <c r="M8" s="3" t="inlineStr">
        <is>
          <t>历练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2级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8.xml><?xml version="1.0" encoding="utf-8"?>
<worksheet xmlns="http://schemas.openxmlformats.org/spreadsheetml/2006/main">
  <sheetPr codeName="Sheet5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2级</t>
        </is>
      </c>
      <c r="E11" s="3" t="inlineStr">
        <is>
          <t>2级</t>
        </is>
      </c>
      <c r="F11" s="3" t="inlineStr">
        <is>
          <t>2级</t>
        </is>
      </c>
      <c r="G11" s="3" t="inlineStr">
        <is>
          <t>2级</t>
        </is>
      </c>
      <c r="H11" s="3" t="inlineStr">
        <is>
          <t>2级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9.xml><?xml version="1.0" encoding="utf-8"?>
<worksheet xmlns="http://schemas.openxmlformats.org/spreadsheetml/2006/main">
  <sheetPr codeName="Sheet5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跳8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inlineStr">
        <is>
          <t>4级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2级</t>
        </is>
      </c>
      <c r="D11" s="3" t="inlineStr">
        <is>
          <t>2级</t>
        </is>
      </c>
      <c r="E11" s="3" t="inlineStr">
        <is>
          <t>2级</t>
        </is>
      </c>
      <c r="F11" s="3" t="inlineStr">
        <is>
          <t>2级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0.xml><?xml version="1.0" encoding="utf-8"?>
<worksheet xmlns="http://schemas.openxmlformats.org/spreadsheetml/2006/main">
  <sheetPr codeName="Sheet6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大boss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草4</t>
        </is>
      </c>
      <c r="H8" s="3" t="inlineStr">
        <is>
          <t>4级</t>
        </is>
      </c>
      <c r="I8" s="3" t="inlineStr">
        <is>
          <t>飞雷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2级</t>
        </is>
      </c>
      <c r="D11" s="3" t="inlineStr">
        <is>
          <t>草2</t>
        </is>
      </c>
      <c r="E11" s="3" t="inlineStr">
        <is>
          <t>2级</t>
        </is>
      </c>
      <c r="F11" s="3" t="inlineStr">
        <is>
          <t>商人</t>
        </is>
      </c>
      <c r="G11" s="3" t="inlineStr">
        <is>
          <t>2级</t>
        </is>
      </c>
      <c r="H11" s="3" t="inlineStr">
        <is>
          <t>2级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>
  <sheetPr codeName="Sheet6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2级</t>
        </is>
      </c>
      <c r="D11" s="3" t="inlineStr">
        <is>
          <t>2级</t>
        </is>
      </c>
      <c r="E11" s="3" t="inlineStr">
        <is>
          <t>商人</t>
        </is>
      </c>
      <c r="F11" s="3" t="inlineStr">
        <is>
          <t>2级</t>
        </is>
      </c>
      <c r="G11" s="3" t="inlineStr">
        <is>
          <t>2级</t>
        </is>
      </c>
      <c r="H11" s="3" t="inlineStr">
        <is>
          <t>草2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>
  <sheetPr codeName="Sheet6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384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inlineStr">
        <is>
          <t>3级</t>
        </is>
      </c>
      <c r="J11" s="3" t="inlineStr">
        <is>
          <t>3级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3.xml><?xml version="1.0" encoding="utf-8"?>
<worksheet xmlns="http://schemas.openxmlformats.org/spreadsheetml/2006/main">
  <sheetPr codeName="Sheet6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>
  <sheetPr codeName="Sheet6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跳6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>
  <sheetPr codeName="Sheet6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跳6</t>
        </is>
      </c>
      <c r="F11" s="3" t="inlineStr">
        <is>
          <t>3级</t>
        </is>
      </c>
      <c r="G11" s="3" t="inlineStr">
        <is>
          <t>3级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6.xml><?xml version="1.0" encoding="utf-8"?>
<worksheet xmlns="http://schemas.openxmlformats.org/spreadsheetml/2006/main">
  <sheetPr codeName="Sheet6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跳1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跳1</t>
        </is>
      </c>
      <c r="I11" s="3" t="inlineStr">
        <is>
          <t>4级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>
  <sheetPr codeName="Sheet6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草2</t>
        </is>
      </c>
      <c r="E11" s="3" t="inlineStr">
        <is>
          <t>3级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>
  <sheetPr codeName="Sheet6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跳1</t>
        </is>
      </c>
      <c r="E11" s="3" t="inlineStr">
        <is>
          <t>3级</t>
        </is>
      </c>
      <c r="F11" s="3" t="inlineStr">
        <is>
          <t>4级</t>
        </is>
      </c>
      <c r="G11" s="3" t="inlineStr">
        <is>
          <t>跳1</t>
        </is>
      </c>
      <c r="H11" s="3" t="inlineStr">
        <is>
          <t>4级</t>
        </is>
      </c>
      <c r="I11" s="3" t="inlineStr">
        <is>
          <t>3级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9.xml><?xml version="1.0" encoding="utf-8"?>
<worksheet xmlns="http://schemas.openxmlformats.org/spreadsheetml/2006/main">
  <sheetPr codeName="Sheet6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540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草3</t>
        </is>
      </c>
      <c r="E11" s="3" t="inlineStr">
        <is>
          <t>4级</t>
        </is>
      </c>
      <c r="F11" s="3" t="inlineStr">
        <is>
          <t>4级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>
  <sheetPr codeName="Sheet7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106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1.xml><?xml version="1.0" encoding="utf-8"?>
<worksheet xmlns="http://schemas.openxmlformats.org/spreadsheetml/2006/main">
  <sheetPr codeName="Sheet7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66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6级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草2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>
  <sheetPr codeName="Sheet7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跳1</t>
        </is>
      </c>
      <c r="G8" s="3" t="inlineStr">
        <is>
          <t>6级</t>
        </is>
      </c>
      <c r="H8" s="3" t="inlineStr">
        <is>
          <t>6级</t>
        </is>
      </c>
      <c r="I8" s="3" t="inlineStr">
        <is>
          <t>4级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5级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>
  <sheetPr codeName="Sheet7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跳1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6级</t>
        </is>
      </c>
      <c r="G8" s="3" t="inlineStr">
        <is>
          <t>4级</t>
        </is>
      </c>
      <c r="H8" s="3" t="inlineStr">
        <is>
          <t>5级</t>
        </is>
      </c>
      <c r="I8" s="3" t="inlineStr">
        <is>
          <t>4级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4.xml><?xml version="1.0" encoding="utf-8"?>
<worksheet xmlns="http://schemas.openxmlformats.org/spreadsheetml/2006/main">
  <sheetPr codeName="Sheet7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跳1</t>
        </is>
      </c>
      <c r="F8" s="3" t="inlineStr">
        <is>
          <t>6级</t>
        </is>
      </c>
      <c r="G8" s="3" t="inlineStr">
        <is>
          <t>4级</t>
        </is>
      </c>
      <c r="H8" s="3" t="inlineStr">
        <is>
          <t>4级</t>
        </is>
      </c>
      <c r="I8" s="3" t="inlineStr">
        <is>
          <t>4级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5.xml><?xml version="1.0" encoding="utf-8"?>
<worksheet xmlns="http://schemas.openxmlformats.org/spreadsheetml/2006/main">
  <sheetPr codeName="Sheet7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>
  <sheetPr codeName="Sheet7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7.xml><?xml version="1.0" encoding="utf-8"?>
<worksheet xmlns="http://schemas.openxmlformats.org/spreadsheetml/2006/main">
  <sheetPr codeName="Sheet7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6级</t>
        </is>
      </c>
      <c r="F8" s="3" t="inlineStr">
        <is>
          <t>跳1</t>
        </is>
      </c>
      <c r="G8" s="3" t="inlineStr">
        <is>
          <t>4级</t>
        </is>
      </c>
      <c r="H8" s="3" t="inlineStr">
        <is>
          <t>4级</t>
        </is>
      </c>
      <c r="I8" s="3" t="inlineStr">
        <is>
          <t>6级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8.xml><?xml version="1.0" encoding="utf-8"?>
<worksheet xmlns="http://schemas.openxmlformats.org/spreadsheetml/2006/main">
  <sheetPr codeName="Sheet7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9.xml><?xml version="1.0" encoding="utf-8"?>
<worksheet xmlns="http://schemas.openxmlformats.org/spreadsheetml/2006/main">
  <sheetPr codeName="Sheet7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跳1</t>
        </is>
      </c>
      <c r="E8" s="3" t="inlineStr">
        <is>
          <t>6级</t>
        </is>
      </c>
      <c r="F8" s="3" t="inlineStr">
        <is>
          <t>跳1</t>
        </is>
      </c>
      <c r="G8" s="3" t="inlineStr">
        <is>
          <t>6级</t>
        </is>
      </c>
      <c r="H8" s="3" t="inlineStr">
        <is>
          <t>6级</t>
        </is>
      </c>
      <c r="I8" s="3" t="inlineStr">
        <is>
          <t>6级</t>
        </is>
      </c>
      <c r="J8" s="3" t="inlineStr">
        <is>
          <t>6级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0.xml><?xml version="1.0" encoding="utf-8"?>
<worksheet xmlns="http://schemas.openxmlformats.org/spreadsheetml/2006/main">
  <sheetPr codeName="Sheet8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1.xml><?xml version="1.0" encoding="utf-8"?>
<worksheet xmlns="http://schemas.openxmlformats.org/spreadsheetml/2006/main">
  <sheetPr codeName="Sheet8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商人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跳1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4级</t>
        </is>
      </c>
      <c r="I11" s="3" t="inlineStr">
        <is>
          <t>4级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2.xml><?xml version="1.0" encoding="utf-8"?>
<worksheet xmlns="http://schemas.openxmlformats.org/spreadsheetml/2006/main">
  <sheetPr codeName="Sheet8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跳2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inlineStr">
        <is>
          <t>6级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3.xml><?xml version="1.0" encoding="utf-8"?>
<worksheet xmlns="http://schemas.openxmlformats.org/spreadsheetml/2006/main">
  <sheetPr codeName="Sheet8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跳1</t>
        </is>
      </c>
      <c r="I8" s="3" t="inlineStr">
        <is>
          <t>6级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跳1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4.xml><?xml version="1.0" encoding="utf-8"?>
<worksheet xmlns="http://schemas.openxmlformats.org/spreadsheetml/2006/main">
  <sheetPr codeName="Sheet8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5.xml><?xml version="1.0" encoding="utf-8"?>
<worksheet xmlns="http://schemas.openxmlformats.org/spreadsheetml/2006/main">
  <sheetPr codeName="Sheet8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6.xml><?xml version="1.0" encoding="utf-8"?>
<worksheet xmlns="http://schemas.openxmlformats.org/spreadsheetml/2006/main">
  <sheetPr codeName="Sheet8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跳1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inlineStr">
        <is>
          <t>5级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草2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7.xml><?xml version="1.0" encoding="utf-8"?>
<worksheet xmlns="http://schemas.openxmlformats.org/spreadsheetml/2006/main">
  <sheetPr codeName="Sheet8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跳3</t>
        </is>
      </c>
      <c r="G8" s="3" t="inlineStr">
        <is>
          <t>5级</t>
        </is>
      </c>
      <c r="H8" s="3" t="inlineStr">
        <is>
          <t>跳1</t>
        </is>
      </c>
      <c r="I8" s="3" t="inlineStr">
        <is>
          <t>5级</t>
        </is>
      </c>
      <c r="J8" s="3" t="inlineStr">
        <is>
          <t>4级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跳1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8.xml><?xml version="1.0" encoding="utf-8"?>
<worksheet xmlns="http://schemas.openxmlformats.org/spreadsheetml/2006/main">
  <sheetPr codeName="Sheet8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跳1</t>
        </is>
      </c>
      <c r="E8" s="3" t="inlineStr">
        <is>
          <t>6级</t>
        </is>
      </c>
      <c r="F8" s="3" t="inlineStr">
        <is>
          <t>跳1</t>
        </is>
      </c>
      <c r="G8" s="3" t="inlineStr">
        <is>
          <t>4级</t>
        </is>
      </c>
      <c r="H8" s="3" t="inlineStr">
        <is>
          <t>6级</t>
        </is>
      </c>
      <c r="I8" s="3" t="inlineStr">
        <is>
          <t>跳1</t>
        </is>
      </c>
      <c r="J8" s="3" t="inlineStr">
        <is>
          <t>6级</t>
        </is>
      </c>
      <c r="K8" s="3" t="inlineStr">
        <is>
          <t>跳2</t>
        </is>
      </c>
      <c r="L8" s="3" t="inlineStr">
        <is>
          <t>6级</t>
        </is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4级</t>
        </is>
      </c>
      <c r="G11" s="3" t="inlineStr">
        <is>
          <t>3级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9.xml><?xml version="1.0" encoding="utf-8"?>
<worksheet xmlns="http://schemas.openxmlformats.org/spreadsheetml/2006/main">
  <sheetPr codeName="Sheet8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3级</t>
        </is>
      </c>
      <c r="G11" s="3" t="inlineStr">
        <is>
          <t>跳1</t>
        </is>
      </c>
      <c r="H11" s="3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0.xml><?xml version="1.0" encoding="utf-8"?>
<worksheet xmlns="http://schemas.openxmlformats.org/spreadsheetml/2006/main">
  <sheetPr codeName="Sheet9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3级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1.xml><?xml version="1.0" encoding="utf-8"?>
<worksheet xmlns="http://schemas.openxmlformats.org/spreadsheetml/2006/main">
  <sheetPr codeName="Sheet9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跳1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inlineStr">
        <is>
          <t>6级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2.xml><?xml version="1.0" encoding="utf-8"?>
<worksheet xmlns="http://schemas.openxmlformats.org/spreadsheetml/2006/main">
  <sheetPr codeName="Sheet9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跳1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跳2</t>
        </is>
      </c>
      <c r="H8" s="3" t="inlineStr">
        <is>
          <t>6级</t>
        </is>
      </c>
      <c r="I8" s="3" t="inlineStr">
        <is>
          <t>跳7</t>
        </is>
      </c>
      <c r="J8" s="3" t="inlineStr">
        <is>
          <t>4级</t>
        </is>
      </c>
      <c r="K8" s="3" t="inlineStr">
        <is>
          <t>4级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跳2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3.xml><?xml version="1.0" encoding="utf-8"?>
<worksheet xmlns="http://schemas.openxmlformats.org/spreadsheetml/2006/main">
  <sheetPr codeName="Sheet93">
    <outlinePr summaryBelow="1" summaryRight="1"/>
    <pageSetUpPr/>
  </sheetPr>
  <dimension ref="A1:AD33"/>
  <sheetViews>
    <sheetView zoomScale="115" zoomScaleNormal="115" workbookViewId="0">
      <selection activeCell="B2" sqref="B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草2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4.xml><?xml version="1.0" encoding="utf-8"?>
<worksheet xmlns="http://schemas.openxmlformats.org/spreadsheetml/2006/main">
  <sheetPr codeName="Sheet94">
    <outlinePr summaryBelow="1" summaryRight="1"/>
    <pageSetUpPr/>
  </sheetPr>
  <dimension ref="A1:AD33"/>
  <sheetViews>
    <sheetView zoomScale="115" zoomScaleNormal="115" workbookViewId="0">
      <selection activeCell="B2" sqref="B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草4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5.xml><?xml version="1.0" encoding="utf-8"?>
<worksheet xmlns="http://schemas.openxmlformats.org/spreadsheetml/2006/main">
  <sheetPr codeName="Sheet95">
    <outlinePr summaryBelow="1" summaryRight="1"/>
    <pageSetUpPr/>
  </sheetPr>
  <dimension ref="A1:AD33"/>
  <sheetViews>
    <sheetView zoomScale="115" zoomScaleNormal="115" workbookViewId="0">
      <selection activeCell="B2" sqref="B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跳2</t>
        </is>
      </c>
      <c r="D8" s="3" t="inlineStr">
        <is>
          <t>5级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6级</t>
        </is>
      </c>
      <c r="I8" s="3" t="inlineStr">
        <is>
          <t>6级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6.xml><?xml version="1.0" encoding="utf-8"?>
<worksheet xmlns="http://schemas.openxmlformats.org/spreadsheetml/2006/main">
  <sheetPr codeName="Sheet96">
    <outlinePr summaryBelow="1" summaryRight="1"/>
    <pageSetUpPr/>
  </sheetPr>
  <dimension ref="A1:AD33"/>
  <sheetViews>
    <sheetView zoomScale="115" zoomScaleNormal="115" workbookViewId="0">
      <selection activeCell="B2" sqref="B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跳1</t>
        </is>
      </c>
      <c r="F8" s="3" t="inlineStr">
        <is>
          <t>4级</t>
        </is>
      </c>
      <c r="G8" s="3" t="inlineStr">
        <is>
          <t>跳1</t>
        </is>
      </c>
      <c r="H8" s="3" t="inlineStr">
        <is>
          <t>4级</t>
        </is>
      </c>
      <c r="I8" s="3" t="inlineStr">
        <is>
          <t>跳3</t>
        </is>
      </c>
      <c r="J8" s="3" t="inlineStr">
        <is>
          <t>4级</t>
        </is>
      </c>
      <c r="K8" s="3" t="inlineStr">
        <is>
          <t>4级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跳2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7.xml><?xml version="1.0" encoding="utf-8"?>
<worksheet xmlns="http://schemas.openxmlformats.org/spreadsheetml/2006/main">
  <sheetPr codeName="Sheet97">
    <outlinePr summaryBelow="1" summaryRight="1"/>
    <pageSetUpPr/>
  </sheetPr>
  <dimension ref="A1:AD33"/>
  <sheetViews>
    <sheetView zoomScale="115" zoomScaleNormal="115" workbookViewId="0">
      <selection activeCell="B2" sqref="B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跳2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inlineStr">
        <is>
          <t>5级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8.xml><?xml version="1.0" encoding="utf-8"?>
<worksheet xmlns="http://schemas.openxmlformats.org/spreadsheetml/2006/main">
  <sheetPr codeName="Sheet98">
    <outlinePr summaryBelow="1" summaryRight="1"/>
    <pageSetUpPr/>
  </sheetPr>
  <dimension ref="A1:AD33"/>
  <sheetViews>
    <sheetView zoomScale="115" zoomScaleNormal="115" workbookViewId="0">
      <selection activeCell="B2" sqref="B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6级</t>
        </is>
      </c>
      <c r="F11" s="3" t="inlineStr">
        <is>
          <t>6级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9.xml><?xml version="1.0" encoding="utf-8"?>
<worksheet xmlns="http://schemas.openxmlformats.org/spreadsheetml/2006/main">
  <sheetPr codeName="Sheet99">
    <outlinePr summaryBelow="1" summaryRight="1"/>
    <pageSetUpPr/>
  </sheetPr>
  <dimension ref="A1:AD33"/>
  <sheetViews>
    <sheetView zoomScale="115" zoomScaleNormal="115" workbookViewId="0">
      <selection activeCell="AB1" sqref="AB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跳1</t>
        </is>
      </c>
      <c r="H11" s="3" t="inlineStr">
        <is>
          <t>3级</t>
        </is>
      </c>
      <c r="I11" s="3" t="inlineStr">
        <is>
          <t>3级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跳5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2026-09-23T03:36:59Z</dcterms:modified>
</cp:coreProperties>
</file>