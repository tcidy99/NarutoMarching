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Marching\"/>
    </mc:Choice>
  </mc:AlternateContent>
  <xr:revisionPtr revIDLastSave="0" documentId="13_ncr:1_{74197521-227A-4B10-845F-55EE8A9690C8}" xr6:coauthVersionLast="47" xr6:coauthVersionMax="47" xr10:uidLastSave="{00000000-0000-0000-0000-000000000000}"/>
  <bookViews>
    <workbookView xWindow="-28920" yWindow="-120" windowWidth="29040" windowHeight="15720" activeTab="18" xr2:uid="{00000000-000D-0000-FFFF-FFFF00000000}"/>
  </bookViews>
  <sheets>
    <sheet name="main" sheetId="1" r:id="rId1"/>
    <sheet name="data" sheetId="2" r:id="rId2"/>
    <sheet name="1" sheetId="3" r:id="rId3"/>
    <sheet name="2" sheetId="4" r:id="rId4"/>
    <sheet name="3" sheetId="5" r:id="rId5"/>
    <sheet name="5" sheetId="6" r:id="rId6"/>
    <sheet name="4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</sheets>
  <definedNames>
    <definedName name="_xlnm._FilterDatabase" localSheetId="0" hidden="1">main!$B$1:$AF$271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92" l="1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H16" i="92"/>
  <c r="G16" i="92"/>
  <c r="F16" i="92"/>
  <c r="E16" i="92"/>
  <c r="D16" i="92"/>
  <c r="C16" i="92"/>
  <c r="AA15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H15" i="92"/>
  <c r="G15" i="92"/>
  <c r="F15" i="92"/>
  <c r="E15" i="92"/>
  <c r="D15" i="92"/>
  <c r="C15" i="92"/>
  <c r="AA13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H12" i="92"/>
  <c r="G12" i="92"/>
  <c r="F12" i="92"/>
  <c r="E12" i="92"/>
  <c r="D12" i="92"/>
  <c r="C12" i="92"/>
  <c r="AA10" i="92"/>
  <c r="Z10" i="92"/>
  <c r="Y10" i="92"/>
  <c r="X10" i="92"/>
  <c r="W10" i="92"/>
  <c r="V10" i="92"/>
  <c r="U10" i="92"/>
  <c r="T10" i="92"/>
  <c r="S10" i="92"/>
  <c r="R10" i="92"/>
  <c r="Q10" i="92"/>
  <c r="P10" i="92"/>
  <c r="O10" i="92"/>
  <c r="N10" i="92"/>
  <c r="M10" i="92"/>
  <c r="L10" i="92"/>
  <c r="K10" i="92"/>
  <c r="J10" i="92"/>
  <c r="I10" i="92"/>
  <c r="H10" i="92"/>
  <c r="G10" i="92"/>
  <c r="F10" i="92"/>
  <c r="E10" i="92"/>
  <c r="D10" i="92"/>
  <c r="C10" i="92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AC7" i="92"/>
  <c r="J4" i="92" a="1"/>
  <c r="J4" i="92" s="1"/>
  <c r="J3" i="92" a="1"/>
  <c r="J3" i="92" s="1"/>
  <c r="J2" i="92" a="1"/>
  <c r="J2" i="92" s="1"/>
  <c r="A2" i="92" a="1"/>
  <c r="A2" i="92"/>
  <c r="B2" i="92" s="1"/>
  <c r="AB1" i="92"/>
  <c r="AA16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C16" i="91"/>
  <c r="AA15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C15" i="91"/>
  <c r="AA13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C13" i="91"/>
  <c r="AA12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G12" i="91"/>
  <c r="F12" i="91"/>
  <c r="E12" i="91"/>
  <c r="D12" i="91"/>
  <c r="C12" i="91"/>
  <c r="AA10" i="91"/>
  <c r="Z10" i="91"/>
  <c r="Y10" i="91"/>
  <c r="X10" i="91"/>
  <c r="W10" i="91"/>
  <c r="V10" i="91"/>
  <c r="U10" i="91"/>
  <c r="T10" i="91"/>
  <c r="S10" i="91"/>
  <c r="R10" i="91"/>
  <c r="Q10" i="91"/>
  <c r="P10" i="91"/>
  <c r="O10" i="91"/>
  <c r="N10" i="91"/>
  <c r="M10" i="91"/>
  <c r="L10" i="91"/>
  <c r="K10" i="91"/>
  <c r="J10" i="91"/>
  <c r="I10" i="91"/>
  <c r="H10" i="91"/>
  <c r="G10" i="91"/>
  <c r="F10" i="91"/>
  <c r="E10" i="91"/>
  <c r="D10" i="91"/>
  <c r="G2" i="91" s="1"/>
  <c r="C10" i="91"/>
  <c r="AA9" i="91"/>
  <c r="Z9" i="91"/>
  <c r="Y9" i="91"/>
  <c r="X9" i="91"/>
  <c r="W9" i="91"/>
  <c r="V9" i="91"/>
  <c r="U9" i="91"/>
  <c r="T9" i="91"/>
  <c r="F2" i="91" s="1"/>
  <c r="S9" i="91"/>
  <c r="R9" i="91"/>
  <c r="Q9" i="91"/>
  <c r="P9" i="91"/>
  <c r="O9" i="91"/>
  <c r="N9" i="91"/>
  <c r="M9" i="91"/>
  <c r="L9" i="91"/>
  <c r="K9" i="91"/>
  <c r="J9" i="91"/>
  <c r="I9" i="91"/>
  <c r="H9" i="91"/>
  <c r="G9" i="91"/>
  <c r="F9" i="91"/>
  <c r="E9" i="91"/>
  <c r="D9" i="91"/>
  <c r="C9" i="91"/>
  <c r="AC7" i="91"/>
  <c r="J4" i="91" a="1"/>
  <c r="J4" i="91" s="1"/>
  <c r="J3" i="91" a="1"/>
  <c r="J3" i="91" s="1"/>
  <c r="J2" i="91" a="1"/>
  <c r="J2" i="91" s="1"/>
  <c r="A2" i="91" a="1"/>
  <c r="A2" i="91" s="1"/>
  <c r="AB1" i="91"/>
  <c r="AA16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G16" i="90"/>
  <c r="F16" i="90"/>
  <c r="E16" i="90"/>
  <c r="D16" i="90"/>
  <c r="C16" i="90"/>
  <c r="AA15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G15" i="90"/>
  <c r="F15" i="90"/>
  <c r="E15" i="90"/>
  <c r="D15" i="90"/>
  <c r="C15" i="90"/>
  <c r="AA13" i="90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H13" i="90"/>
  <c r="G13" i="90"/>
  <c r="F13" i="90"/>
  <c r="E13" i="90"/>
  <c r="D13" i="90"/>
  <c r="C13" i="90"/>
  <c r="AA12" i="90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H12" i="90"/>
  <c r="G12" i="90"/>
  <c r="F12" i="90"/>
  <c r="E12" i="90"/>
  <c r="D12" i="90"/>
  <c r="C12" i="90"/>
  <c r="AA10" i="90"/>
  <c r="Z10" i="90"/>
  <c r="Y10" i="90"/>
  <c r="X10" i="90"/>
  <c r="W10" i="90"/>
  <c r="V10" i="90"/>
  <c r="U10" i="90"/>
  <c r="T10" i="90"/>
  <c r="S10" i="90"/>
  <c r="R10" i="90"/>
  <c r="Q10" i="90"/>
  <c r="P10" i="90"/>
  <c r="O10" i="90"/>
  <c r="N10" i="90"/>
  <c r="M10" i="90"/>
  <c r="L10" i="90"/>
  <c r="K10" i="90"/>
  <c r="J10" i="90"/>
  <c r="I10" i="90"/>
  <c r="H10" i="90"/>
  <c r="G10" i="90"/>
  <c r="F10" i="90"/>
  <c r="E10" i="90"/>
  <c r="D10" i="90"/>
  <c r="C10" i="90"/>
  <c r="AA9" i="90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G9" i="90"/>
  <c r="F9" i="90"/>
  <c r="E9" i="90"/>
  <c r="D9" i="90"/>
  <c r="C9" i="90"/>
  <c r="AC7" i="90"/>
  <c r="J4" i="90" a="1"/>
  <c r="J4" i="90"/>
  <c r="J3" i="90" a="1"/>
  <c r="J3" i="90"/>
  <c r="J2" i="90" a="1"/>
  <c r="J2" i="90"/>
  <c r="A2" i="90" a="1"/>
  <c r="A2" i="90" s="1"/>
  <c r="AB1" i="90"/>
  <c r="AA16" i="89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H16" i="89"/>
  <c r="G16" i="89"/>
  <c r="F16" i="89"/>
  <c r="E16" i="89"/>
  <c r="D16" i="89"/>
  <c r="C16" i="89"/>
  <c r="AA15" i="89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H15" i="89"/>
  <c r="G15" i="89"/>
  <c r="F15" i="89"/>
  <c r="E15" i="89"/>
  <c r="D15" i="89"/>
  <c r="C15" i="89"/>
  <c r="AA13" i="89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H13" i="89"/>
  <c r="G13" i="89"/>
  <c r="F13" i="89"/>
  <c r="E13" i="89"/>
  <c r="D13" i="89"/>
  <c r="C13" i="89"/>
  <c r="AA12" i="89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H12" i="89"/>
  <c r="G12" i="89"/>
  <c r="F12" i="89"/>
  <c r="E12" i="89"/>
  <c r="D12" i="89"/>
  <c r="C12" i="89"/>
  <c r="AA10" i="89"/>
  <c r="Z10" i="89"/>
  <c r="Y10" i="89"/>
  <c r="X10" i="89"/>
  <c r="W10" i="89"/>
  <c r="V10" i="89"/>
  <c r="U10" i="89"/>
  <c r="T10" i="89"/>
  <c r="S10" i="89"/>
  <c r="R10" i="89"/>
  <c r="Q10" i="89"/>
  <c r="P10" i="89"/>
  <c r="O10" i="89"/>
  <c r="N10" i="89"/>
  <c r="M10" i="89"/>
  <c r="L10" i="89"/>
  <c r="K10" i="89"/>
  <c r="J10" i="89"/>
  <c r="I10" i="89"/>
  <c r="H10" i="89"/>
  <c r="G10" i="89"/>
  <c r="F10" i="89"/>
  <c r="E10" i="89"/>
  <c r="D10" i="89"/>
  <c r="C10" i="89"/>
  <c r="AA9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D9" i="89"/>
  <c r="C9" i="89"/>
  <c r="AC7" i="89"/>
  <c r="J4" i="89" a="1"/>
  <c r="J4" i="89" s="1"/>
  <c r="J3" i="89" a="1"/>
  <c r="J3" i="89"/>
  <c r="J2" i="89" a="1"/>
  <c r="J2" i="89"/>
  <c r="A2" i="89" a="1"/>
  <c r="A2" i="89"/>
  <c r="B2" i="89" s="1"/>
  <c r="AB1" i="89"/>
  <c r="AA16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G16" i="88"/>
  <c r="F16" i="88"/>
  <c r="E16" i="88"/>
  <c r="D16" i="88"/>
  <c r="C16" i="88"/>
  <c r="AA15" i="88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H15" i="88"/>
  <c r="G15" i="88"/>
  <c r="F15" i="88"/>
  <c r="E15" i="88"/>
  <c r="D15" i="88"/>
  <c r="C15" i="88"/>
  <c r="AA13" i="88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C13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F3" i="88" s="1"/>
  <c r="G12" i="88"/>
  <c r="F12" i="88"/>
  <c r="E12" i="88"/>
  <c r="D12" i="88"/>
  <c r="C12" i="88"/>
  <c r="AA10" i="88"/>
  <c r="Z10" i="88"/>
  <c r="Y10" i="88"/>
  <c r="X10" i="88"/>
  <c r="W10" i="88"/>
  <c r="V10" i="88"/>
  <c r="U10" i="88"/>
  <c r="T10" i="88"/>
  <c r="S10" i="88"/>
  <c r="R10" i="88"/>
  <c r="Q10" i="88"/>
  <c r="P10" i="88"/>
  <c r="O10" i="88"/>
  <c r="N10" i="88"/>
  <c r="M10" i="88"/>
  <c r="L10" i="88"/>
  <c r="K10" i="88"/>
  <c r="J10" i="88"/>
  <c r="I10" i="88"/>
  <c r="H10" i="88"/>
  <c r="G10" i="88"/>
  <c r="F10" i="88"/>
  <c r="E10" i="88"/>
  <c r="D10" i="88"/>
  <c r="C10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C9" i="88"/>
  <c r="AC7" i="88"/>
  <c r="J4" i="88" a="1"/>
  <c r="J4" i="88" s="1"/>
  <c r="J3" i="88" a="1"/>
  <c r="J3" i="88" s="1"/>
  <c r="J2" i="88" a="1"/>
  <c r="J2" i="88" s="1"/>
  <c r="A2" i="88" a="1"/>
  <c r="A2" i="88" s="1"/>
  <c r="AB1" i="88"/>
  <c r="AA16" i="87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G16" i="87"/>
  <c r="F16" i="87"/>
  <c r="E16" i="87"/>
  <c r="D16" i="87"/>
  <c r="C16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G15" i="87"/>
  <c r="F15" i="87"/>
  <c r="E15" i="87"/>
  <c r="D15" i="87"/>
  <c r="C15" i="87"/>
  <c r="AA13" i="87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H13" i="87"/>
  <c r="G13" i="87"/>
  <c r="F13" i="87"/>
  <c r="E13" i="87"/>
  <c r="D13" i="87"/>
  <c r="C13" i="87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G12" i="87"/>
  <c r="F12" i="87"/>
  <c r="E12" i="87"/>
  <c r="D12" i="87"/>
  <c r="C12" i="87"/>
  <c r="AA10" i="87"/>
  <c r="Z10" i="87"/>
  <c r="Y10" i="87"/>
  <c r="X10" i="87"/>
  <c r="W10" i="87"/>
  <c r="V10" i="87"/>
  <c r="U10" i="87"/>
  <c r="T10" i="87"/>
  <c r="S10" i="87"/>
  <c r="R10" i="87"/>
  <c r="Q10" i="87"/>
  <c r="P10" i="87"/>
  <c r="O10" i="87"/>
  <c r="N10" i="87"/>
  <c r="M10" i="87"/>
  <c r="L10" i="87"/>
  <c r="K10" i="87"/>
  <c r="J10" i="87"/>
  <c r="I10" i="87"/>
  <c r="H10" i="87"/>
  <c r="G10" i="87"/>
  <c r="F10" i="87"/>
  <c r="E10" i="87"/>
  <c r="D10" i="87"/>
  <c r="C10" i="87"/>
  <c r="AA9" i="87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H9" i="87"/>
  <c r="G9" i="87"/>
  <c r="F9" i="87"/>
  <c r="E9" i="87"/>
  <c r="D9" i="87"/>
  <c r="C9" i="87"/>
  <c r="AC7" i="87"/>
  <c r="J4" i="87" a="1"/>
  <c r="J4" i="87" s="1"/>
  <c r="J3" i="87" a="1"/>
  <c r="J3" i="87" s="1"/>
  <c r="J2" i="87" a="1"/>
  <c r="J2" i="87" s="1"/>
  <c r="A2" i="87" a="1"/>
  <c r="A2" i="87" s="1"/>
  <c r="AB1" i="87"/>
  <c r="AA16" i="86"/>
  <c r="Z16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H16" i="86"/>
  <c r="G16" i="86"/>
  <c r="F16" i="86"/>
  <c r="E16" i="86"/>
  <c r="D16" i="86"/>
  <c r="C16" i="86"/>
  <c r="AA15" i="86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H15" i="86"/>
  <c r="G15" i="86"/>
  <c r="F15" i="86"/>
  <c r="E15" i="86"/>
  <c r="D15" i="86"/>
  <c r="C15" i="86"/>
  <c r="AA13" i="86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H13" i="86"/>
  <c r="G13" i="86"/>
  <c r="F13" i="86"/>
  <c r="E13" i="86"/>
  <c r="D13" i="86"/>
  <c r="C13" i="86"/>
  <c r="AA12" i="86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H12" i="86"/>
  <c r="G12" i="86"/>
  <c r="F12" i="86"/>
  <c r="E12" i="86"/>
  <c r="D12" i="86"/>
  <c r="C12" i="86"/>
  <c r="AA10" i="86"/>
  <c r="Z10" i="86"/>
  <c r="Y10" i="86"/>
  <c r="X10" i="86"/>
  <c r="W10" i="86"/>
  <c r="V10" i="86"/>
  <c r="U10" i="86"/>
  <c r="T10" i="86"/>
  <c r="S10" i="86"/>
  <c r="R10" i="86"/>
  <c r="Q10" i="86"/>
  <c r="P10" i="86"/>
  <c r="O10" i="86"/>
  <c r="N10" i="86"/>
  <c r="M10" i="86"/>
  <c r="L10" i="86"/>
  <c r="K10" i="86"/>
  <c r="J10" i="86"/>
  <c r="I10" i="86"/>
  <c r="H10" i="86"/>
  <c r="G10" i="86"/>
  <c r="F10" i="86"/>
  <c r="E10" i="86"/>
  <c r="D10" i="86"/>
  <c r="C10" i="86"/>
  <c r="AA9" i="86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G9" i="86"/>
  <c r="F9" i="86"/>
  <c r="E9" i="86"/>
  <c r="D9" i="86"/>
  <c r="C9" i="86"/>
  <c r="AC7" i="86"/>
  <c r="J4" i="86" a="1"/>
  <c r="J4" i="86"/>
  <c r="J3" i="86" a="1"/>
  <c r="J3" i="86"/>
  <c r="J2" i="86" a="1"/>
  <c r="J2" i="86"/>
  <c r="A2" i="86" a="1"/>
  <c r="A2" i="86" s="1"/>
  <c r="AB1" i="86"/>
  <c r="D1" i="86"/>
  <c r="C1" i="86"/>
  <c r="AA16" i="85"/>
  <c r="Z16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G16" i="85"/>
  <c r="F16" i="85"/>
  <c r="E16" i="85"/>
  <c r="G4" i="85" s="1"/>
  <c r="D16" i="85"/>
  <c r="C16" i="85"/>
  <c r="AA15" i="85"/>
  <c r="Z15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C15" i="85"/>
  <c r="AA13" i="85"/>
  <c r="Z13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C13" i="85"/>
  <c r="AA12" i="85"/>
  <c r="Z12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AA10" i="85"/>
  <c r="Z10" i="85"/>
  <c r="Y10" i="85"/>
  <c r="X10" i="85"/>
  <c r="W10" i="85"/>
  <c r="V10" i="85"/>
  <c r="U10" i="85"/>
  <c r="T10" i="85"/>
  <c r="S10" i="85"/>
  <c r="R10" i="85"/>
  <c r="Q10" i="85"/>
  <c r="P10" i="85"/>
  <c r="O10" i="85"/>
  <c r="N10" i="85"/>
  <c r="M10" i="85"/>
  <c r="L10" i="85"/>
  <c r="K10" i="85"/>
  <c r="J10" i="85"/>
  <c r="I10" i="85"/>
  <c r="H10" i="85"/>
  <c r="G10" i="85"/>
  <c r="F10" i="85"/>
  <c r="E10" i="85"/>
  <c r="D10" i="85"/>
  <c r="C10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AC7" i="85"/>
  <c r="J4" i="85" a="1"/>
  <c r="J4" i="85"/>
  <c r="J3" i="85" a="1"/>
  <c r="J3" i="85" s="1"/>
  <c r="J2" i="85" a="1"/>
  <c r="J2" i="85" s="1"/>
  <c r="A2" i="85" a="1"/>
  <c r="A2" i="85"/>
  <c r="AB1" i="85"/>
  <c r="D1" i="85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G4" i="84" s="1"/>
  <c r="AA15" i="84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D15" i="84"/>
  <c r="C15" i="84"/>
  <c r="AA13" i="84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AA12" i="84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AA10" i="84"/>
  <c r="Z10" i="84"/>
  <c r="Y10" i="84"/>
  <c r="X10" i="84"/>
  <c r="W10" i="84"/>
  <c r="V10" i="84"/>
  <c r="U10" i="84"/>
  <c r="T10" i="84"/>
  <c r="S10" i="84"/>
  <c r="R10" i="84"/>
  <c r="Q10" i="84"/>
  <c r="P10" i="84"/>
  <c r="O10" i="84"/>
  <c r="N10" i="84"/>
  <c r="M10" i="84"/>
  <c r="L10" i="84"/>
  <c r="K10" i="84"/>
  <c r="J10" i="84"/>
  <c r="I10" i="84"/>
  <c r="H10" i="84"/>
  <c r="G10" i="84"/>
  <c r="F10" i="84"/>
  <c r="E10" i="84"/>
  <c r="D10" i="84"/>
  <c r="C10" i="84"/>
  <c r="AA9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AC7" i="84"/>
  <c r="J4" i="84" a="1"/>
  <c r="J4" i="84"/>
  <c r="J3" i="84" a="1"/>
  <c r="J3" i="84" s="1"/>
  <c r="J2" i="84" a="1"/>
  <c r="J2" i="84" s="1"/>
  <c r="A2" i="84" a="1"/>
  <c r="A2" i="84"/>
  <c r="C1" i="84" s="1"/>
  <c r="AB1" i="84"/>
  <c r="D1" i="84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AA15" i="83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AA13" i="83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AA12" i="83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AA10" i="83"/>
  <c r="Z10" i="83"/>
  <c r="Y10" i="83"/>
  <c r="X10" i="83"/>
  <c r="W10" i="83"/>
  <c r="V10" i="83"/>
  <c r="U10" i="83"/>
  <c r="T10" i="83"/>
  <c r="S10" i="83"/>
  <c r="R10" i="83"/>
  <c r="Q10" i="83"/>
  <c r="P10" i="83"/>
  <c r="O10" i="83"/>
  <c r="N10" i="83"/>
  <c r="M10" i="83"/>
  <c r="L10" i="83"/>
  <c r="K10" i="83"/>
  <c r="J10" i="83"/>
  <c r="I10" i="83"/>
  <c r="H10" i="83"/>
  <c r="G10" i="83"/>
  <c r="F10" i="83"/>
  <c r="E10" i="83"/>
  <c r="D10" i="83"/>
  <c r="C10" i="83"/>
  <c r="AA9" i="83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G9" i="83"/>
  <c r="F9" i="83"/>
  <c r="E9" i="83"/>
  <c r="D9" i="83"/>
  <c r="C9" i="83"/>
  <c r="AC7" i="83"/>
  <c r="J4" i="83" a="1"/>
  <c r="J4" i="83"/>
  <c r="J3" i="83" a="1"/>
  <c r="J3" i="83"/>
  <c r="J2" i="83" a="1"/>
  <c r="J2" i="83" s="1"/>
  <c r="A2" i="83" a="1"/>
  <c r="A2" i="83" s="1"/>
  <c r="B2" i="83" s="1"/>
  <c r="AB1" i="83"/>
  <c r="AA16" i="82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C16" i="82"/>
  <c r="AA15" i="82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C15" i="82"/>
  <c r="AA13" i="82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C13" i="82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C12" i="82"/>
  <c r="AA10" i="82"/>
  <c r="Z10" i="82"/>
  <c r="Y10" i="82"/>
  <c r="X10" i="82"/>
  <c r="W10" i="82"/>
  <c r="V10" i="82"/>
  <c r="U10" i="82"/>
  <c r="T10" i="82"/>
  <c r="S10" i="82"/>
  <c r="R10" i="82"/>
  <c r="Q10" i="82"/>
  <c r="P10" i="82"/>
  <c r="O10" i="82"/>
  <c r="N10" i="82"/>
  <c r="M10" i="82"/>
  <c r="L10" i="82"/>
  <c r="K10" i="82"/>
  <c r="J10" i="82"/>
  <c r="I10" i="82"/>
  <c r="H10" i="82"/>
  <c r="G10" i="82"/>
  <c r="F10" i="82"/>
  <c r="E10" i="82"/>
  <c r="D10" i="82"/>
  <c r="C10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AC7" i="82"/>
  <c r="J4" i="82" a="1"/>
  <c r="J4" i="82"/>
  <c r="J3" i="82" a="1"/>
  <c r="J3" i="82"/>
  <c r="J2" i="82" a="1"/>
  <c r="J2" i="82"/>
  <c r="A2" i="82" a="1"/>
  <c r="A2" i="82"/>
  <c r="AB1" i="82"/>
  <c r="D1" i="82"/>
  <c r="AA16" i="8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AA15" i="8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AA13" i="8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AA12" i="8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F3" i="81" s="1"/>
  <c r="L12" i="81"/>
  <c r="K12" i="81"/>
  <c r="J12" i="81"/>
  <c r="I12" i="81"/>
  <c r="H12" i="81"/>
  <c r="G12" i="81"/>
  <c r="F12" i="81"/>
  <c r="E12" i="81"/>
  <c r="D12" i="81"/>
  <c r="C12" i="81"/>
  <c r="AA10" i="81"/>
  <c r="Z10" i="81"/>
  <c r="Y10" i="81"/>
  <c r="X10" i="81"/>
  <c r="W10" i="81"/>
  <c r="V10" i="81"/>
  <c r="U10" i="81"/>
  <c r="T10" i="81"/>
  <c r="S10" i="81"/>
  <c r="R10" i="81"/>
  <c r="Q10" i="81"/>
  <c r="P10" i="81"/>
  <c r="O10" i="81"/>
  <c r="N10" i="81"/>
  <c r="M10" i="81"/>
  <c r="L10" i="81"/>
  <c r="K10" i="81"/>
  <c r="J10" i="81"/>
  <c r="G2" i="81" s="1"/>
  <c r="I10" i="81"/>
  <c r="H10" i="81"/>
  <c r="G10" i="81"/>
  <c r="F10" i="81"/>
  <c r="E10" i="81"/>
  <c r="D10" i="81"/>
  <c r="C10" i="81"/>
  <c r="AA9" i="8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AC7" i="81"/>
  <c r="J4" i="81" a="1"/>
  <c r="J4" i="81"/>
  <c r="J3" i="81" a="1"/>
  <c r="J3" i="81" s="1"/>
  <c r="J2" i="81" a="1"/>
  <c r="J2" i="81" s="1"/>
  <c r="A2" i="81" a="1"/>
  <c r="A2" i="81"/>
  <c r="D1" i="81" s="1"/>
  <c r="AB1" i="81"/>
  <c r="AA16" i="80"/>
  <c r="Z16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AA15" i="80"/>
  <c r="Z15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AA13" i="80"/>
  <c r="Z13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AA12" i="80"/>
  <c r="Z12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AA10" i="80"/>
  <c r="Z10" i="80"/>
  <c r="Y10" i="80"/>
  <c r="X10" i="80"/>
  <c r="W10" i="80"/>
  <c r="V10" i="80"/>
  <c r="U10" i="80"/>
  <c r="T10" i="80"/>
  <c r="S10" i="80"/>
  <c r="R10" i="80"/>
  <c r="Q10" i="80"/>
  <c r="P10" i="80"/>
  <c r="O10" i="80"/>
  <c r="N10" i="80"/>
  <c r="M10" i="80"/>
  <c r="L10" i="80"/>
  <c r="K10" i="80"/>
  <c r="J10" i="80"/>
  <c r="I10" i="80"/>
  <c r="H10" i="80"/>
  <c r="G10" i="80"/>
  <c r="F10" i="80"/>
  <c r="E10" i="80"/>
  <c r="D10" i="80"/>
  <c r="C10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D9" i="80"/>
  <c r="C9" i="80"/>
  <c r="AC7" i="80"/>
  <c r="J4" i="80" a="1"/>
  <c r="J4" i="80" s="1"/>
  <c r="J3" i="80" a="1"/>
  <c r="J3" i="80" s="1"/>
  <c r="J2" i="80" a="1"/>
  <c r="J2" i="80"/>
  <c r="A2" i="80" a="1"/>
  <c r="A2" i="80"/>
  <c r="C1" i="80" s="1"/>
  <c r="AB1" i="80"/>
  <c r="AA16" i="79"/>
  <c r="Z16" i="79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H16" i="79"/>
  <c r="G16" i="79"/>
  <c r="F16" i="79"/>
  <c r="E16" i="79"/>
  <c r="D16" i="79"/>
  <c r="C16" i="79"/>
  <c r="AA15" i="79"/>
  <c r="Z15" i="79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G15" i="79"/>
  <c r="F15" i="79"/>
  <c r="E15" i="79"/>
  <c r="D15" i="79"/>
  <c r="C15" i="79"/>
  <c r="AA13" i="79"/>
  <c r="Z13" i="79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H13" i="79"/>
  <c r="G13" i="79"/>
  <c r="F13" i="79"/>
  <c r="E13" i="79"/>
  <c r="D13" i="79"/>
  <c r="C13" i="79"/>
  <c r="AA12" i="79"/>
  <c r="Z12" i="79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H12" i="79"/>
  <c r="G12" i="79"/>
  <c r="F12" i="79"/>
  <c r="E12" i="79"/>
  <c r="D12" i="79"/>
  <c r="C12" i="79"/>
  <c r="AA10" i="79"/>
  <c r="Z10" i="79"/>
  <c r="Y10" i="79"/>
  <c r="X10" i="79"/>
  <c r="W10" i="79"/>
  <c r="V10" i="79"/>
  <c r="U10" i="79"/>
  <c r="T10" i="79"/>
  <c r="S10" i="79"/>
  <c r="R10" i="79"/>
  <c r="Q10" i="79"/>
  <c r="P10" i="79"/>
  <c r="O10" i="79"/>
  <c r="N10" i="79"/>
  <c r="M10" i="79"/>
  <c r="L10" i="79"/>
  <c r="K10" i="79"/>
  <c r="J10" i="79"/>
  <c r="I10" i="79"/>
  <c r="H10" i="79"/>
  <c r="G10" i="79"/>
  <c r="F10" i="79"/>
  <c r="E10" i="79"/>
  <c r="D10" i="79"/>
  <c r="C10" i="79"/>
  <c r="AA9" i="79"/>
  <c r="Z9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H9" i="79"/>
  <c r="G9" i="79"/>
  <c r="F9" i="79"/>
  <c r="E9" i="79"/>
  <c r="D9" i="79"/>
  <c r="C9" i="79"/>
  <c r="AC7" i="79"/>
  <c r="J4" i="79" a="1"/>
  <c r="J4" i="79"/>
  <c r="J3" i="79" a="1"/>
  <c r="J3" i="79"/>
  <c r="J2" i="79" a="1"/>
  <c r="J2" i="79"/>
  <c r="A2" i="79" a="1"/>
  <c r="A2" i="79" s="1"/>
  <c r="B2" i="79" s="1"/>
  <c r="AB1" i="79"/>
  <c r="AA16" i="78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H16" i="78"/>
  <c r="G16" i="78"/>
  <c r="F16" i="78"/>
  <c r="E16" i="78"/>
  <c r="D16" i="78"/>
  <c r="C16" i="78"/>
  <c r="AA15" i="78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H15" i="78"/>
  <c r="G15" i="78"/>
  <c r="F15" i="78"/>
  <c r="E15" i="78"/>
  <c r="D15" i="78"/>
  <c r="C15" i="78"/>
  <c r="AA13" i="78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G3" i="78" s="1"/>
  <c r="I13" i="78"/>
  <c r="H13" i="78"/>
  <c r="G13" i="78"/>
  <c r="F13" i="78"/>
  <c r="E13" i="78"/>
  <c r="D13" i="78"/>
  <c r="C13" i="78"/>
  <c r="AA12" i="78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H12" i="78"/>
  <c r="G12" i="78"/>
  <c r="F3" i="78" s="1"/>
  <c r="F12" i="78"/>
  <c r="E12" i="78"/>
  <c r="D12" i="78"/>
  <c r="C12" i="78"/>
  <c r="AA10" i="78"/>
  <c r="Z10" i="78"/>
  <c r="Y10" i="78"/>
  <c r="X10" i="78"/>
  <c r="W10" i="78"/>
  <c r="V10" i="78"/>
  <c r="U10" i="78"/>
  <c r="T10" i="78"/>
  <c r="S10" i="78"/>
  <c r="R10" i="78"/>
  <c r="Q10" i="78"/>
  <c r="P10" i="78"/>
  <c r="O10" i="78"/>
  <c r="N10" i="78"/>
  <c r="M10" i="78"/>
  <c r="L10" i="78"/>
  <c r="K10" i="78"/>
  <c r="J10" i="78"/>
  <c r="I10" i="78"/>
  <c r="H10" i="78"/>
  <c r="G10" i="78"/>
  <c r="F10" i="78"/>
  <c r="E10" i="78"/>
  <c r="D10" i="78"/>
  <c r="C10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AC7" i="78"/>
  <c r="J4" i="78" a="1"/>
  <c r="J4" i="78"/>
  <c r="J3" i="78" a="1"/>
  <c r="J3" i="78" s="1"/>
  <c r="J2" i="78" a="1"/>
  <c r="J2" i="78" s="1"/>
  <c r="A2" i="78" a="1"/>
  <c r="A2" i="78" s="1"/>
  <c r="AB1" i="78"/>
  <c r="D1" i="78"/>
  <c r="C1" i="78"/>
  <c r="AA16" i="77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AA15" i="77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AA13" i="77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G3" i="77" s="1"/>
  <c r="AA12" i="77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AA10" i="77"/>
  <c r="Z10" i="77"/>
  <c r="Y10" i="77"/>
  <c r="G2" i="77" s="1"/>
  <c r="X10" i="77"/>
  <c r="W10" i="77"/>
  <c r="V10" i="77"/>
  <c r="U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AA9" i="77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AC7" i="77"/>
  <c r="J4" i="77" a="1"/>
  <c r="J4" i="77" s="1"/>
  <c r="J3" i="77" a="1"/>
  <c r="J3" i="77"/>
  <c r="J2" i="77" a="1"/>
  <c r="J2" i="77"/>
  <c r="A2" i="77" a="1"/>
  <c r="A2" i="77" s="1"/>
  <c r="AB1" i="77"/>
  <c r="AA16" i="76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AA15" i="76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AA13" i="76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AA12" i="76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F3" i="76" s="1"/>
  <c r="AA10" i="76"/>
  <c r="Z10" i="76"/>
  <c r="Y10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AC7" i="76"/>
  <c r="J4" i="76" a="1"/>
  <c r="J4" i="76" s="1"/>
  <c r="G4" i="76"/>
  <c r="J3" i="76" a="1"/>
  <c r="J3" i="76"/>
  <c r="J2" i="76" a="1"/>
  <c r="J2" i="76" s="1"/>
  <c r="F2" i="76"/>
  <c r="A2" i="76" a="1"/>
  <c r="A2" i="76" s="1"/>
  <c r="AB1" i="76"/>
  <c r="AA16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AA15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AA13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AA12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AA10" i="75"/>
  <c r="Z10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E10" i="75"/>
  <c r="D10" i="75"/>
  <c r="C10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AC7" i="75"/>
  <c r="J4" i="75" a="1"/>
  <c r="J4" i="75" s="1"/>
  <c r="J3" i="75" a="1"/>
  <c r="J3" i="75" s="1"/>
  <c r="J2" i="75" a="1"/>
  <c r="J2" i="75" s="1"/>
  <c r="A2" i="75" a="1"/>
  <c r="A2" i="75" s="1"/>
  <c r="B2" i="75" s="1"/>
  <c r="AB1" i="75"/>
  <c r="D1" i="75"/>
  <c r="C1" i="75"/>
  <c r="AA16" i="74"/>
  <c r="Z16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AA15" i="74"/>
  <c r="Z15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AA13" i="74"/>
  <c r="Z13" i="74"/>
  <c r="Y13" i="74"/>
  <c r="X13" i="74"/>
  <c r="W13" i="74"/>
  <c r="V13" i="74"/>
  <c r="U13" i="74"/>
  <c r="T13" i="74"/>
  <c r="S13" i="74"/>
  <c r="R13" i="74"/>
  <c r="Q13" i="74"/>
  <c r="G3" i="74" s="1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AA12" i="74"/>
  <c r="Z12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AA10" i="74"/>
  <c r="Z10" i="74"/>
  <c r="Y10" i="74"/>
  <c r="X10" i="74"/>
  <c r="W10" i="74"/>
  <c r="V10" i="74"/>
  <c r="U10" i="74"/>
  <c r="T10" i="74"/>
  <c r="S10" i="74"/>
  <c r="R10" i="74"/>
  <c r="Q10" i="74"/>
  <c r="P10" i="74"/>
  <c r="O10" i="74"/>
  <c r="G2" i="74" s="1"/>
  <c r="N10" i="74"/>
  <c r="M10" i="74"/>
  <c r="L10" i="74"/>
  <c r="K10" i="74"/>
  <c r="J10" i="74"/>
  <c r="I10" i="74"/>
  <c r="H10" i="74"/>
  <c r="G10" i="74"/>
  <c r="F10" i="74"/>
  <c r="E10" i="74"/>
  <c r="D10" i="74"/>
  <c r="C10" i="74"/>
  <c r="AA9" i="74"/>
  <c r="Z9" i="74"/>
  <c r="Y9" i="74"/>
  <c r="X9" i="74"/>
  <c r="W9" i="74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H9" i="74"/>
  <c r="G9" i="74"/>
  <c r="F9" i="74"/>
  <c r="E9" i="74"/>
  <c r="D9" i="74"/>
  <c r="C9" i="74"/>
  <c r="AC7" i="74"/>
  <c r="J4" i="74" a="1"/>
  <c r="J4" i="74" s="1"/>
  <c r="J3" i="74" a="1"/>
  <c r="J3" i="74" s="1"/>
  <c r="J2" i="74" a="1"/>
  <c r="J2" i="74" s="1"/>
  <c r="F2" i="74"/>
  <c r="A2" i="74" a="1"/>
  <c r="A2" i="74" s="1"/>
  <c r="AB1" i="74"/>
  <c r="AA16" i="73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AA15" i="73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AA13" i="73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G3" i="73" s="1"/>
  <c r="J13" i="73"/>
  <c r="I13" i="73"/>
  <c r="H13" i="73"/>
  <c r="G13" i="73"/>
  <c r="F13" i="73"/>
  <c r="E13" i="73"/>
  <c r="D13" i="73"/>
  <c r="C13" i="73"/>
  <c r="AA12" i="73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F3" i="73" s="1"/>
  <c r="G12" i="73"/>
  <c r="F12" i="73"/>
  <c r="E12" i="73"/>
  <c r="D12" i="73"/>
  <c r="C12" i="73"/>
  <c r="AA10" i="73"/>
  <c r="Z10" i="73"/>
  <c r="Y10" i="73"/>
  <c r="X10" i="73"/>
  <c r="W10" i="73"/>
  <c r="V10" i="73"/>
  <c r="U10" i="73"/>
  <c r="T10" i="73"/>
  <c r="S10" i="73"/>
  <c r="R10" i="73"/>
  <c r="Q10" i="73"/>
  <c r="P10" i="73"/>
  <c r="O10" i="73"/>
  <c r="N10" i="73"/>
  <c r="M10" i="73"/>
  <c r="L10" i="73"/>
  <c r="K10" i="73"/>
  <c r="J10" i="73"/>
  <c r="I10" i="73"/>
  <c r="H10" i="73"/>
  <c r="G10" i="73"/>
  <c r="F10" i="73"/>
  <c r="E10" i="73"/>
  <c r="D10" i="73"/>
  <c r="C10" i="73"/>
  <c r="AA9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AC7" i="73"/>
  <c r="J4" i="73" a="1"/>
  <c r="J4" i="73"/>
  <c r="J3" i="73" a="1"/>
  <c r="J3" i="73"/>
  <c r="J2" i="73" a="1"/>
  <c r="J2" i="73"/>
  <c r="A2" i="73" a="1"/>
  <c r="A2" i="73" s="1"/>
  <c r="AB1" i="73"/>
  <c r="AA16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AA15" i="72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F4" i="72" s="1"/>
  <c r="I15" i="72"/>
  <c r="H15" i="72"/>
  <c r="G15" i="72"/>
  <c r="F15" i="72"/>
  <c r="E15" i="72"/>
  <c r="D15" i="72"/>
  <c r="C15" i="72"/>
  <c r="AA13" i="72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AA12" i="72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AA10" i="72"/>
  <c r="Z10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M10" i="72"/>
  <c r="L10" i="72"/>
  <c r="G2" i="72" s="1"/>
  <c r="K10" i="72"/>
  <c r="J10" i="72"/>
  <c r="I10" i="72"/>
  <c r="H10" i="72"/>
  <c r="G10" i="72"/>
  <c r="F10" i="72"/>
  <c r="E10" i="72"/>
  <c r="D10" i="72"/>
  <c r="C10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F2" i="72" s="1"/>
  <c r="L9" i="72"/>
  <c r="K9" i="72"/>
  <c r="J9" i="72"/>
  <c r="I9" i="72"/>
  <c r="H9" i="72"/>
  <c r="G9" i="72"/>
  <c r="F9" i="72"/>
  <c r="E9" i="72"/>
  <c r="D9" i="72"/>
  <c r="C9" i="72"/>
  <c r="AC7" i="72"/>
  <c r="J4" i="72" a="1"/>
  <c r="J4" i="72" s="1"/>
  <c r="J3" i="72" a="1"/>
  <c r="J3" i="72"/>
  <c r="J2" i="72" a="1"/>
  <c r="J2" i="72"/>
  <c r="A2" i="72" a="1"/>
  <c r="A2" i="72" s="1"/>
  <c r="C1" i="72" s="1"/>
  <c r="AB1" i="72"/>
  <c r="AA16" i="7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AA15" i="7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AA13" i="7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AA12" i="7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AA10" i="71"/>
  <c r="Z10" i="71"/>
  <c r="Y10" i="71"/>
  <c r="X10" i="71"/>
  <c r="W10" i="71"/>
  <c r="V10" i="71"/>
  <c r="U10" i="71"/>
  <c r="T10" i="71"/>
  <c r="S10" i="71"/>
  <c r="R10" i="71"/>
  <c r="Q10" i="71"/>
  <c r="P10" i="71"/>
  <c r="O10" i="71"/>
  <c r="N10" i="71"/>
  <c r="M10" i="71"/>
  <c r="L10" i="71"/>
  <c r="K10" i="71"/>
  <c r="J10" i="71"/>
  <c r="I10" i="71"/>
  <c r="H10" i="71"/>
  <c r="G10" i="71"/>
  <c r="F10" i="71"/>
  <c r="E10" i="71"/>
  <c r="D10" i="71"/>
  <c r="C10" i="71"/>
  <c r="AA9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AC7" i="71"/>
  <c r="J4" i="71" a="1"/>
  <c r="J4" i="71" s="1"/>
  <c r="J3" i="71" a="1"/>
  <c r="J3" i="71"/>
  <c r="J2" i="71" a="1"/>
  <c r="J2" i="71" s="1"/>
  <c r="A2" i="71" a="1"/>
  <c r="A2" i="71" s="1"/>
  <c r="AB1" i="71"/>
  <c r="AA16" i="70"/>
  <c r="Z16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H16" i="70"/>
  <c r="G16" i="70"/>
  <c r="F16" i="70"/>
  <c r="E16" i="70"/>
  <c r="D16" i="70"/>
  <c r="C16" i="70"/>
  <c r="AA15" i="70"/>
  <c r="Z15" i="70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G15" i="70"/>
  <c r="F15" i="70"/>
  <c r="E15" i="70"/>
  <c r="D15" i="70"/>
  <c r="C15" i="70"/>
  <c r="AA13" i="70"/>
  <c r="Z13" i="70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G13" i="70"/>
  <c r="F13" i="70"/>
  <c r="E13" i="70"/>
  <c r="D13" i="70"/>
  <c r="C13" i="70"/>
  <c r="AA12" i="70"/>
  <c r="F3" i="70" s="1"/>
  <c r="Z12" i="70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H12" i="70"/>
  <c r="G12" i="70"/>
  <c r="F12" i="70"/>
  <c r="E12" i="70"/>
  <c r="D12" i="70"/>
  <c r="C12" i="70"/>
  <c r="AA10" i="70"/>
  <c r="Z10" i="70"/>
  <c r="Y10" i="70"/>
  <c r="X10" i="70"/>
  <c r="W10" i="70"/>
  <c r="V10" i="70"/>
  <c r="U10" i="70"/>
  <c r="T10" i="70"/>
  <c r="S10" i="70"/>
  <c r="R10" i="70"/>
  <c r="Q10" i="70"/>
  <c r="P10" i="70"/>
  <c r="O10" i="70"/>
  <c r="N10" i="70"/>
  <c r="M10" i="70"/>
  <c r="L10" i="70"/>
  <c r="K10" i="70"/>
  <c r="J10" i="70"/>
  <c r="I10" i="70"/>
  <c r="H10" i="70"/>
  <c r="G10" i="70"/>
  <c r="F10" i="70"/>
  <c r="E10" i="70"/>
  <c r="D10" i="70"/>
  <c r="C10" i="70"/>
  <c r="AA9" i="70"/>
  <c r="Z9" i="70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H9" i="70"/>
  <c r="G9" i="70"/>
  <c r="F9" i="70"/>
  <c r="E9" i="70"/>
  <c r="D9" i="70"/>
  <c r="C9" i="70"/>
  <c r="AC7" i="70"/>
  <c r="J4" i="70" a="1"/>
  <c r="J4" i="70"/>
  <c r="G4" i="70"/>
  <c r="J3" i="70" a="1"/>
  <c r="J3" i="70" s="1"/>
  <c r="J2" i="70" a="1"/>
  <c r="J2" i="70" s="1"/>
  <c r="A2" i="70" a="1"/>
  <c r="A2" i="70" s="1"/>
  <c r="AB1" i="70"/>
  <c r="AA16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H16" i="69"/>
  <c r="G16" i="69"/>
  <c r="F16" i="69"/>
  <c r="E16" i="69"/>
  <c r="D16" i="69"/>
  <c r="C16" i="69"/>
  <c r="AA15" i="69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H15" i="69"/>
  <c r="G15" i="69"/>
  <c r="F15" i="69"/>
  <c r="E15" i="69"/>
  <c r="D15" i="69"/>
  <c r="C15" i="69"/>
  <c r="AA13" i="69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H13" i="69"/>
  <c r="G13" i="69"/>
  <c r="F13" i="69"/>
  <c r="E13" i="69"/>
  <c r="D13" i="69"/>
  <c r="C13" i="69"/>
  <c r="AA12" i="69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H12" i="69"/>
  <c r="G12" i="69"/>
  <c r="F12" i="69"/>
  <c r="E12" i="69"/>
  <c r="D12" i="69"/>
  <c r="C12" i="69"/>
  <c r="F3" i="69" s="1"/>
  <c r="AA10" i="69"/>
  <c r="Z10" i="69"/>
  <c r="Y10" i="69"/>
  <c r="X10" i="69"/>
  <c r="W10" i="69"/>
  <c r="V10" i="69"/>
  <c r="U10" i="69"/>
  <c r="T10" i="69"/>
  <c r="S10" i="69"/>
  <c r="R10" i="69"/>
  <c r="Q10" i="69"/>
  <c r="P10" i="69"/>
  <c r="O10" i="69"/>
  <c r="N10" i="69"/>
  <c r="M10" i="69"/>
  <c r="L10" i="69"/>
  <c r="K10" i="69"/>
  <c r="J10" i="69"/>
  <c r="I10" i="69"/>
  <c r="H10" i="69"/>
  <c r="G10" i="69"/>
  <c r="F10" i="69"/>
  <c r="E10" i="69"/>
  <c r="D10" i="69"/>
  <c r="C10" i="69"/>
  <c r="AA9" i="69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G9" i="69"/>
  <c r="F9" i="69"/>
  <c r="E9" i="69"/>
  <c r="D9" i="69"/>
  <c r="C9" i="69"/>
  <c r="AC7" i="69"/>
  <c r="J4" i="69" a="1"/>
  <c r="J4" i="69"/>
  <c r="J3" i="69" a="1"/>
  <c r="J3" i="69" s="1"/>
  <c r="J2" i="69" a="1"/>
  <c r="J2" i="69"/>
  <c r="A2" i="69" a="1"/>
  <c r="A2" i="69"/>
  <c r="AB1" i="69"/>
  <c r="D1" i="69"/>
  <c r="C1" i="69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4" i="68" s="1"/>
  <c r="G16" i="68"/>
  <c r="F16" i="68"/>
  <c r="E16" i="68"/>
  <c r="D16" i="68"/>
  <c r="C16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F4" i="68" s="1"/>
  <c r="D15" i="68"/>
  <c r="C15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G3" i="68" s="1"/>
  <c r="AA12" i="68"/>
  <c r="Z12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AA10" i="68"/>
  <c r="Z10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AA9" i="68"/>
  <c r="Z9" i="68"/>
  <c r="Y9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H9" i="68"/>
  <c r="G9" i="68"/>
  <c r="F9" i="68"/>
  <c r="E9" i="68"/>
  <c r="D9" i="68"/>
  <c r="C9" i="68"/>
  <c r="AC7" i="68"/>
  <c r="J4" i="68" a="1"/>
  <c r="J4" i="68"/>
  <c r="J3" i="68" a="1"/>
  <c r="J3" i="68" s="1"/>
  <c r="J2" i="68" a="1"/>
  <c r="J2" i="68" s="1"/>
  <c r="A2" i="68" a="1"/>
  <c r="A2" i="68" s="1"/>
  <c r="B2" i="68" s="1"/>
  <c r="AB1" i="68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F4" i="67" s="1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AA12" i="67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G12" i="67"/>
  <c r="F12" i="67"/>
  <c r="E12" i="67"/>
  <c r="D12" i="67"/>
  <c r="C12" i="67"/>
  <c r="AA10" i="67"/>
  <c r="Z10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L10" i="67"/>
  <c r="K10" i="67"/>
  <c r="J10" i="67"/>
  <c r="I10" i="67"/>
  <c r="H10" i="67"/>
  <c r="G10" i="67"/>
  <c r="F10" i="67"/>
  <c r="E10" i="67"/>
  <c r="D10" i="67"/>
  <c r="C10" i="67"/>
  <c r="AA9" i="67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G9" i="67"/>
  <c r="F9" i="67"/>
  <c r="E9" i="67"/>
  <c r="D9" i="67"/>
  <c r="C9" i="67"/>
  <c r="AC7" i="67"/>
  <c r="J4" i="67" a="1"/>
  <c r="J4" i="67" s="1"/>
  <c r="J3" i="67" a="1"/>
  <c r="J3" i="67"/>
  <c r="J2" i="67" a="1"/>
  <c r="J2" i="67"/>
  <c r="A2" i="67" a="1"/>
  <c r="A2" i="67"/>
  <c r="AB1" i="67"/>
  <c r="D1" i="67"/>
  <c r="C1" i="67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4" i="66" s="1"/>
  <c r="F15" i="66"/>
  <c r="E15" i="66"/>
  <c r="D15" i="66"/>
  <c r="C15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E13" i="66"/>
  <c r="D13" i="66"/>
  <c r="G3" i="66" s="1"/>
  <c r="C13" i="66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AA10" i="66"/>
  <c r="Z10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E10" i="66"/>
  <c r="D10" i="66"/>
  <c r="C10" i="66"/>
  <c r="AA9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H9" i="66"/>
  <c r="G9" i="66"/>
  <c r="F9" i="66"/>
  <c r="E9" i="66"/>
  <c r="D9" i="66"/>
  <c r="C9" i="66"/>
  <c r="AC7" i="66"/>
  <c r="J4" i="66" a="1"/>
  <c r="J4" i="66"/>
  <c r="J3" i="66" a="1"/>
  <c r="J3" i="66" s="1"/>
  <c r="J2" i="66" a="1"/>
  <c r="J2" i="66"/>
  <c r="A2" i="66" a="1"/>
  <c r="A2" i="66"/>
  <c r="AB1" i="66"/>
  <c r="AA16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AA15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F4" i="65" s="1"/>
  <c r="H15" i="65"/>
  <c r="G15" i="65"/>
  <c r="F15" i="65"/>
  <c r="E15" i="65"/>
  <c r="D15" i="65"/>
  <c r="C15" i="65"/>
  <c r="AA13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AA12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F3" i="65" s="1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L10" i="65"/>
  <c r="K10" i="65"/>
  <c r="J10" i="65"/>
  <c r="I10" i="65"/>
  <c r="H10" i="65"/>
  <c r="G10" i="65"/>
  <c r="F10" i="65"/>
  <c r="E10" i="65"/>
  <c r="D10" i="65"/>
  <c r="C10" i="65"/>
  <c r="AA9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G9" i="65"/>
  <c r="F9" i="65"/>
  <c r="E9" i="65"/>
  <c r="D9" i="65"/>
  <c r="C9" i="65"/>
  <c r="AC7" i="65"/>
  <c r="J4" i="65" a="1"/>
  <c r="J4" i="65"/>
  <c r="J3" i="65" a="1"/>
  <c r="J3" i="65"/>
  <c r="J2" i="65" a="1"/>
  <c r="J2" i="65" s="1"/>
  <c r="A2" i="65" a="1"/>
  <c r="A2" i="65" s="1"/>
  <c r="C1" i="65" s="1"/>
  <c r="AB1" i="65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AA12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AC7" i="64"/>
  <c r="J4" i="64" a="1"/>
  <c r="J4" i="64" s="1"/>
  <c r="J3" i="64" a="1"/>
  <c r="J3" i="64" s="1"/>
  <c r="J2" i="64" a="1"/>
  <c r="J2" i="64"/>
  <c r="G2" i="64"/>
  <c r="F2" i="64"/>
  <c r="A2" i="64" a="1"/>
  <c r="A2" i="64"/>
  <c r="B2" i="64" s="1"/>
  <c r="AB1" i="64"/>
  <c r="D1" i="64"/>
  <c r="C1" i="64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AA12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AC7" i="63"/>
  <c r="J4" i="63" a="1"/>
  <c r="J4" i="63"/>
  <c r="J3" i="63" a="1"/>
  <c r="J3" i="63" s="1"/>
  <c r="J2" i="63" a="1"/>
  <c r="J2" i="63" s="1"/>
  <c r="A2" i="63" a="1"/>
  <c r="A2" i="63" s="1"/>
  <c r="AB1" i="63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AC7" i="62"/>
  <c r="J4" i="62" a="1"/>
  <c r="J4" i="62"/>
  <c r="J3" i="62" a="1"/>
  <c r="J3" i="62"/>
  <c r="J2" i="62" a="1"/>
  <c r="J2" i="62" s="1"/>
  <c r="A2" i="62" a="1"/>
  <c r="A2" i="62"/>
  <c r="AB1" i="62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AA13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C10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D9" i="61"/>
  <c r="C9" i="61"/>
  <c r="AC7" i="61"/>
  <c r="J4" i="61" a="1"/>
  <c r="J4" i="61" s="1"/>
  <c r="J3" i="61" a="1"/>
  <c r="J3" i="61"/>
  <c r="J2" i="61" a="1"/>
  <c r="J2" i="61"/>
  <c r="A2" i="61" a="1"/>
  <c r="A2" i="61"/>
  <c r="B2" i="61" s="1"/>
  <c r="AB1" i="61"/>
  <c r="D1" i="61"/>
  <c r="C1" i="61"/>
  <c r="AA16" i="60"/>
  <c r="Z16" i="60"/>
  <c r="Y16" i="60"/>
  <c r="X16" i="60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G16" i="60"/>
  <c r="F16" i="60"/>
  <c r="E16" i="60"/>
  <c r="D16" i="60"/>
  <c r="C16" i="60"/>
  <c r="AA15" i="60"/>
  <c r="Z15" i="60"/>
  <c r="Y15" i="60"/>
  <c r="X15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G15" i="60"/>
  <c r="F15" i="60"/>
  <c r="E15" i="60"/>
  <c r="D15" i="60"/>
  <c r="C15" i="60"/>
  <c r="AA13" i="60"/>
  <c r="Z13" i="60"/>
  <c r="Y13" i="60"/>
  <c r="X13" i="60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H13" i="60"/>
  <c r="G13" i="60"/>
  <c r="F13" i="60"/>
  <c r="E13" i="60"/>
  <c r="D13" i="60"/>
  <c r="C13" i="60"/>
  <c r="AA12" i="60"/>
  <c r="Z12" i="60"/>
  <c r="Y12" i="60"/>
  <c r="X12" i="60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G12" i="60"/>
  <c r="F12" i="60"/>
  <c r="E12" i="60"/>
  <c r="D12" i="60"/>
  <c r="C12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F2" i="60" s="1"/>
  <c r="J9" i="60"/>
  <c r="I9" i="60"/>
  <c r="H9" i="60"/>
  <c r="G9" i="60"/>
  <c r="F9" i="60"/>
  <c r="E9" i="60"/>
  <c r="D9" i="60"/>
  <c r="C9" i="60"/>
  <c r="AC7" i="60"/>
  <c r="J4" i="60" a="1"/>
  <c r="J4" i="60" s="1"/>
  <c r="J3" i="60" a="1"/>
  <c r="J3" i="60"/>
  <c r="J2" i="60" a="1"/>
  <c r="J2" i="60" s="1"/>
  <c r="G2" i="60"/>
  <c r="A2" i="60" a="1"/>
  <c r="A2" i="60" s="1"/>
  <c r="AB1" i="60"/>
  <c r="AA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AA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F4" i="59" s="1"/>
  <c r="AA13" i="59"/>
  <c r="G3" i="59" s="1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AA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D10" i="59"/>
  <c r="C10" i="59"/>
  <c r="AA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D9" i="59"/>
  <c r="C9" i="59"/>
  <c r="AC7" i="59"/>
  <c r="J4" i="59" a="1"/>
  <c r="J4" i="59" s="1"/>
  <c r="J3" i="59" a="1"/>
  <c r="J3" i="59" s="1"/>
  <c r="J2" i="59" a="1"/>
  <c r="J2" i="59" s="1"/>
  <c r="A2" i="59" a="1"/>
  <c r="A2" i="59" s="1"/>
  <c r="AB1" i="59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AA15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AA13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AA12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AA10" i="58"/>
  <c r="Z10" i="58"/>
  <c r="Y10" i="58"/>
  <c r="X10" i="58"/>
  <c r="W10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AC7" i="58"/>
  <c r="J4" i="58" a="1"/>
  <c r="J4" i="58"/>
  <c r="J3" i="58" a="1"/>
  <c r="J3" i="58"/>
  <c r="J2" i="58" a="1"/>
  <c r="J2" i="58"/>
  <c r="A2" i="58" a="1"/>
  <c r="A2" i="58"/>
  <c r="B2" i="58" s="1"/>
  <c r="AB1" i="58"/>
  <c r="D1" i="58"/>
  <c r="C1" i="58"/>
  <c r="AA16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H16" i="57"/>
  <c r="G16" i="57"/>
  <c r="F16" i="57"/>
  <c r="E16" i="57"/>
  <c r="D16" i="57"/>
  <c r="C16" i="57"/>
  <c r="AA15" i="57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H15" i="57"/>
  <c r="G15" i="57"/>
  <c r="F15" i="57"/>
  <c r="E15" i="57"/>
  <c r="D15" i="57"/>
  <c r="C15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G13" i="57"/>
  <c r="F13" i="57"/>
  <c r="E13" i="57"/>
  <c r="D13" i="57"/>
  <c r="C13" i="57"/>
  <c r="AA12" i="57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D12" i="57"/>
  <c r="C12" i="57"/>
  <c r="AA10" i="57"/>
  <c r="Z10" i="57"/>
  <c r="Y10" i="57"/>
  <c r="X10" i="57"/>
  <c r="W10" i="57"/>
  <c r="V10" i="57"/>
  <c r="U10" i="57"/>
  <c r="T10" i="57"/>
  <c r="S10" i="57"/>
  <c r="R10" i="57"/>
  <c r="Q1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D10" i="57"/>
  <c r="C10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F2" i="57" s="1"/>
  <c r="L9" i="57"/>
  <c r="K9" i="57"/>
  <c r="J9" i="57"/>
  <c r="I9" i="57"/>
  <c r="H9" i="57"/>
  <c r="G9" i="57"/>
  <c r="F9" i="57"/>
  <c r="E9" i="57"/>
  <c r="D9" i="57"/>
  <c r="C9" i="57"/>
  <c r="AC7" i="57"/>
  <c r="J4" i="57" a="1"/>
  <c r="J4" i="57"/>
  <c r="J3" i="57" a="1"/>
  <c r="J3" i="57"/>
  <c r="J2" i="57" a="1"/>
  <c r="J2" i="57" s="1"/>
  <c r="A2" i="57" a="1"/>
  <c r="A2" i="57" s="1"/>
  <c r="AB1" i="57"/>
  <c r="AA16" i="56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AA15" i="56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AA12" i="56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AA10" i="56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AC7" i="56"/>
  <c r="J4" i="56" a="1"/>
  <c r="J4" i="56"/>
  <c r="J3" i="56" a="1"/>
  <c r="J3" i="56" s="1"/>
  <c r="J2" i="56" a="1"/>
  <c r="J2" i="56"/>
  <c r="A2" i="56" a="1"/>
  <c r="A2" i="56"/>
  <c r="AB1" i="56"/>
  <c r="D1" i="56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G16" i="55"/>
  <c r="F16" i="55"/>
  <c r="E16" i="55"/>
  <c r="D16" i="55"/>
  <c r="C16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G15" i="55"/>
  <c r="F15" i="55"/>
  <c r="E15" i="55"/>
  <c r="D15" i="55"/>
  <c r="C15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G13" i="55"/>
  <c r="F13" i="55"/>
  <c r="E13" i="55"/>
  <c r="D13" i="55"/>
  <c r="C13" i="55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G12" i="55"/>
  <c r="F12" i="55"/>
  <c r="E12" i="55"/>
  <c r="D12" i="55"/>
  <c r="C12" i="55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H10" i="55"/>
  <c r="G10" i="55"/>
  <c r="F10" i="55"/>
  <c r="E10" i="55"/>
  <c r="D10" i="55"/>
  <c r="C10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G9" i="55"/>
  <c r="F9" i="55"/>
  <c r="E9" i="55"/>
  <c r="D9" i="55"/>
  <c r="C9" i="55"/>
  <c r="AC7" i="55"/>
  <c r="J4" i="55" a="1"/>
  <c r="J4" i="55"/>
  <c r="J3" i="55" a="1"/>
  <c r="J3" i="55"/>
  <c r="J2" i="55" a="1"/>
  <c r="J2" i="55" s="1"/>
  <c r="A2" i="55" a="1"/>
  <c r="A2" i="55" s="1"/>
  <c r="C1" i="55" s="1"/>
  <c r="AB1" i="55"/>
  <c r="AA16" i="54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AA15" i="54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G3" i="54" s="1"/>
  <c r="N13" i="54"/>
  <c r="M13" i="54"/>
  <c r="L13" i="54"/>
  <c r="K13" i="54"/>
  <c r="J13" i="54"/>
  <c r="I13" i="54"/>
  <c r="H13" i="54"/>
  <c r="G13" i="54"/>
  <c r="F13" i="54"/>
  <c r="E13" i="54"/>
  <c r="D13" i="54"/>
  <c r="C13" i="54"/>
  <c r="AA12" i="54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D12" i="54"/>
  <c r="C12" i="54"/>
  <c r="AA10" i="54"/>
  <c r="Z10" i="54"/>
  <c r="Y10" i="54"/>
  <c r="X10" i="54"/>
  <c r="W10" i="54"/>
  <c r="V10" i="54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D10" i="54"/>
  <c r="C10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AC7" i="54"/>
  <c r="J4" i="54" a="1"/>
  <c r="J4" i="54" s="1"/>
  <c r="J3" i="54" a="1"/>
  <c r="J3" i="54" s="1"/>
  <c r="J2" i="54" a="1"/>
  <c r="J2" i="54" s="1"/>
  <c r="A2" i="54" a="1"/>
  <c r="A2" i="54" s="1"/>
  <c r="D1" i="54" s="1"/>
  <c r="AB1" i="54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D16" i="53"/>
  <c r="C16" i="53"/>
  <c r="G4" i="53" s="1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D15" i="53"/>
  <c r="C15" i="53"/>
  <c r="F4" i="53" s="1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D13" i="53"/>
  <c r="C13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D12" i="53"/>
  <c r="C12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M10" i="53"/>
  <c r="L10" i="53"/>
  <c r="K10" i="53"/>
  <c r="J10" i="53"/>
  <c r="I10" i="53"/>
  <c r="H10" i="53"/>
  <c r="G10" i="53"/>
  <c r="F10" i="53"/>
  <c r="E10" i="53"/>
  <c r="D10" i="53"/>
  <c r="C10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AC7" i="53"/>
  <c r="J4" i="53" a="1"/>
  <c r="J4" i="53"/>
  <c r="J3" i="53" a="1"/>
  <c r="J3" i="53" s="1"/>
  <c r="J2" i="53" a="1"/>
  <c r="J2" i="53" s="1"/>
  <c r="G2" i="53"/>
  <c r="A2" i="53" a="1"/>
  <c r="A2" i="53"/>
  <c r="AB1" i="53"/>
  <c r="D1" i="53"/>
  <c r="AA16" i="52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AA15" i="52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AA13" i="52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AA12" i="52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AA10" i="52"/>
  <c r="Z10" i="52"/>
  <c r="Y10" i="52"/>
  <c r="X10" i="52"/>
  <c r="W10" i="52"/>
  <c r="V10" i="52"/>
  <c r="U10" i="52"/>
  <c r="G2" i="52" s="1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AA9" i="52"/>
  <c r="Z9" i="52"/>
  <c r="Y9" i="52"/>
  <c r="X9" i="52"/>
  <c r="W9" i="52"/>
  <c r="V9" i="52"/>
  <c r="U9" i="52"/>
  <c r="T9" i="52"/>
  <c r="S9" i="52"/>
  <c r="R9" i="52"/>
  <c r="F2" i="52" s="1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AC7" i="52"/>
  <c r="J4" i="52" a="1"/>
  <c r="J4" i="52"/>
  <c r="J3" i="52" a="1"/>
  <c r="J3" i="52" s="1"/>
  <c r="J2" i="52" a="1"/>
  <c r="J2" i="52"/>
  <c r="A2" i="52" a="1"/>
  <c r="A2" i="52"/>
  <c r="D1" i="52" s="1"/>
  <c r="AB1" i="52"/>
  <c r="C1" i="52"/>
  <c r="AA16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AA15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AA13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AA12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F3" i="51" s="1"/>
  <c r="C12" i="51"/>
  <c r="AA10" i="51"/>
  <c r="Z10" i="51"/>
  <c r="Y10" i="51"/>
  <c r="X10" i="51"/>
  <c r="W10" i="51"/>
  <c r="V10" i="51"/>
  <c r="U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AA9" i="5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AC7" i="51"/>
  <c r="J4" i="51" a="1"/>
  <c r="J4" i="51"/>
  <c r="J3" i="51" a="1"/>
  <c r="J3" i="51"/>
  <c r="J2" i="51" a="1"/>
  <c r="J2" i="51" s="1"/>
  <c r="A2" i="51" a="1"/>
  <c r="A2" i="51" s="1"/>
  <c r="AB1" i="51"/>
  <c r="D1" i="51"/>
  <c r="C1" i="51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AC7" i="50"/>
  <c r="J4" i="50" a="1"/>
  <c r="J4" i="50" s="1"/>
  <c r="G4" i="50"/>
  <c r="F4" i="50"/>
  <c r="J3" i="50" a="1"/>
  <c r="J3" i="50"/>
  <c r="J2" i="50" a="1"/>
  <c r="J2" i="50" s="1"/>
  <c r="G2" i="50"/>
  <c r="A2" i="50" a="1"/>
  <c r="A2" i="50" s="1"/>
  <c r="AB1" i="50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AC7" i="49"/>
  <c r="J4" i="49" a="1"/>
  <c r="J4" i="49"/>
  <c r="J3" i="49" a="1"/>
  <c r="J3" i="49" s="1"/>
  <c r="J2" i="49" a="1"/>
  <c r="J2" i="49"/>
  <c r="A2" i="49" a="1"/>
  <c r="A2" i="49" s="1"/>
  <c r="B2" i="49" s="1"/>
  <c r="AB1" i="49"/>
  <c r="AA16" i="48"/>
  <c r="Z16" i="48"/>
  <c r="Y16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E16" i="48"/>
  <c r="D16" i="48"/>
  <c r="C16" i="48"/>
  <c r="AA15" i="48"/>
  <c r="Z15" i="48"/>
  <c r="Y15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E15" i="48"/>
  <c r="D15" i="48"/>
  <c r="C15" i="48"/>
  <c r="F4" i="48" s="1"/>
  <c r="AA13" i="48"/>
  <c r="Z13" i="48"/>
  <c r="Y13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E13" i="48"/>
  <c r="D13" i="48"/>
  <c r="C13" i="48"/>
  <c r="AA12" i="48"/>
  <c r="Z12" i="48"/>
  <c r="Y12" i="48"/>
  <c r="F3" i="48" s="1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G12" i="48"/>
  <c r="F12" i="48"/>
  <c r="E12" i="48"/>
  <c r="D12" i="48"/>
  <c r="C12" i="48"/>
  <c r="AA10" i="48"/>
  <c r="Z10" i="48"/>
  <c r="Y10" i="48"/>
  <c r="X10" i="48"/>
  <c r="W10" i="48"/>
  <c r="V10" i="48"/>
  <c r="U10" i="48"/>
  <c r="T10" i="48"/>
  <c r="S10" i="48"/>
  <c r="R10" i="48"/>
  <c r="Q10" i="48"/>
  <c r="P10" i="48"/>
  <c r="O10" i="48"/>
  <c r="N10" i="48"/>
  <c r="M10" i="48"/>
  <c r="L10" i="48"/>
  <c r="K10" i="48"/>
  <c r="J10" i="48"/>
  <c r="I10" i="48"/>
  <c r="H10" i="48"/>
  <c r="G10" i="48"/>
  <c r="F10" i="48"/>
  <c r="E10" i="48"/>
  <c r="D10" i="48"/>
  <c r="C10" i="48"/>
  <c r="AA9" i="48"/>
  <c r="Z9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AC7" i="48"/>
  <c r="J4" i="48" a="1"/>
  <c r="J4" i="48"/>
  <c r="J3" i="48" a="1"/>
  <c r="J3" i="48"/>
  <c r="G3" i="48"/>
  <c r="J2" i="48" a="1"/>
  <c r="J2" i="48"/>
  <c r="A2" i="48" a="1"/>
  <c r="A2" i="48"/>
  <c r="D1" i="48" s="1"/>
  <c r="AB1" i="48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15" i="47"/>
  <c r="E15" i="47"/>
  <c r="D15" i="47"/>
  <c r="C15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D12" i="47"/>
  <c r="C12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E10" i="47"/>
  <c r="D10" i="47"/>
  <c r="C10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AC7" i="47"/>
  <c r="J4" i="47" a="1"/>
  <c r="J4" i="47"/>
  <c r="J3" i="47" a="1"/>
  <c r="J3" i="47"/>
  <c r="J2" i="47" a="1"/>
  <c r="J2" i="47" s="1"/>
  <c r="A2" i="47" a="1"/>
  <c r="A2" i="47" s="1"/>
  <c r="B2" i="47" s="1"/>
  <c r="AB1" i="47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D16" i="46"/>
  <c r="C16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D15" i="46"/>
  <c r="C15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D13" i="46"/>
  <c r="G3" i="46" s="1"/>
  <c r="C13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C12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E10" i="46"/>
  <c r="D10" i="46"/>
  <c r="C10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E9" i="46"/>
  <c r="D9" i="46"/>
  <c r="C9" i="46"/>
  <c r="AC7" i="46"/>
  <c r="J4" i="46" a="1"/>
  <c r="J4" i="46"/>
  <c r="J3" i="46" a="1"/>
  <c r="J3" i="46"/>
  <c r="J2" i="46" a="1"/>
  <c r="J2" i="46" s="1"/>
  <c r="F2" i="46"/>
  <c r="A2" i="46" a="1"/>
  <c r="A2" i="46" s="1"/>
  <c r="AB1" i="46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G4" i="45" s="1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F4" i="45" s="1"/>
  <c r="M15" i="45"/>
  <c r="L15" i="45"/>
  <c r="K15" i="45"/>
  <c r="J15" i="45"/>
  <c r="I15" i="45"/>
  <c r="H15" i="45"/>
  <c r="G15" i="45"/>
  <c r="F15" i="45"/>
  <c r="E15" i="45"/>
  <c r="D15" i="45"/>
  <c r="C15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G2" i="45" s="1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AC7" i="45"/>
  <c r="J4" i="45" a="1"/>
  <c r="J4" i="45"/>
  <c r="J3" i="45" a="1"/>
  <c r="J3" i="45"/>
  <c r="J2" i="45" a="1"/>
  <c r="J2" i="45" s="1"/>
  <c r="A2" i="45" a="1"/>
  <c r="A2" i="45"/>
  <c r="AB1" i="45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H15" i="44"/>
  <c r="G15" i="44"/>
  <c r="F15" i="44"/>
  <c r="E15" i="44"/>
  <c r="D15" i="44"/>
  <c r="C15" i="44"/>
  <c r="AA13" i="44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H13" i="44"/>
  <c r="G13" i="44"/>
  <c r="F13" i="44"/>
  <c r="E13" i="44"/>
  <c r="D13" i="44"/>
  <c r="C13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C12" i="44"/>
  <c r="AA10" i="44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H10" i="44"/>
  <c r="G10" i="44"/>
  <c r="F10" i="44"/>
  <c r="E10" i="44"/>
  <c r="D10" i="44"/>
  <c r="C10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AC7" i="44"/>
  <c r="J4" i="44" a="1"/>
  <c r="J4" i="44" s="1"/>
  <c r="J3" i="44" a="1"/>
  <c r="J3" i="44"/>
  <c r="J2" i="44" a="1"/>
  <c r="J2" i="44" s="1"/>
  <c r="A2" i="44" a="1"/>
  <c r="A2" i="44" s="1"/>
  <c r="AB1" i="44"/>
  <c r="D1" i="44"/>
  <c r="C1" i="44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G16" i="43"/>
  <c r="F16" i="43"/>
  <c r="E16" i="43"/>
  <c r="D16" i="43"/>
  <c r="C16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C15" i="43"/>
  <c r="AA13" i="43"/>
  <c r="Z13" i="43"/>
  <c r="Y13" i="43"/>
  <c r="X13" i="43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G12" i="43"/>
  <c r="F12" i="43"/>
  <c r="E12" i="43"/>
  <c r="D12" i="43"/>
  <c r="C12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G2" i="43" s="1"/>
  <c r="K10" i="43"/>
  <c r="J10" i="43"/>
  <c r="I10" i="43"/>
  <c r="H10" i="43"/>
  <c r="G10" i="43"/>
  <c r="F10" i="43"/>
  <c r="E10" i="43"/>
  <c r="D10" i="43"/>
  <c r="C10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AC7" i="43"/>
  <c r="J4" i="43" a="1"/>
  <c r="J4" i="43" s="1"/>
  <c r="J3" i="43" a="1"/>
  <c r="J3" i="43" s="1"/>
  <c r="J2" i="43" a="1"/>
  <c r="J2" i="43" s="1"/>
  <c r="A2" i="43" a="1"/>
  <c r="A2" i="43"/>
  <c r="AB1" i="43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C16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C15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C13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C10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AC7" i="42"/>
  <c r="J4" i="42" a="1"/>
  <c r="J4" i="42"/>
  <c r="J3" i="42" a="1"/>
  <c r="J3" i="42" s="1"/>
  <c r="J2" i="42" a="1"/>
  <c r="J2" i="42"/>
  <c r="A2" i="42" a="1"/>
  <c r="A2" i="42"/>
  <c r="D1" i="42" s="1"/>
  <c r="AB1" i="42"/>
  <c r="C1" i="42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AC7" i="41"/>
  <c r="J4" i="41" a="1"/>
  <c r="J4" i="41"/>
  <c r="J3" i="41" a="1"/>
  <c r="J3" i="41"/>
  <c r="J2" i="41" a="1"/>
  <c r="J2" i="41"/>
  <c r="A2" i="41" a="1"/>
  <c r="A2" i="41" s="1"/>
  <c r="AB1" i="41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G16" i="40"/>
  <c r="F16" i="40"/>
  <c r="E16" i="40"/>
  <c r="D16" i="40"/>
  <c r="C16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F4" i="40" s="1"/>
  <c r="D15" i="40"/>
  <c r="C15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D13" i="40"/>
  <c r="C13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C10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AC7" i="40"/>
  <c r="J4" i="40" a="1"/>
  <c r="J4" i="40" s="1"/>
  <c r="J3" i="40" a="1"/>
  <c r="J3" i="40" s="1"/>
  <c r="J2" i="40" a="1"/>
  <c r="J2" i="40" s="1"/>
  <c r="A2" i="40" a="1"/>
  <c r="A2" i="40"/>
  <c r="D1" i="40" s="1"/>
  <c r="AB1" i="40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F2" i="39" s="1"/>
  <c r="AC7" i="39"/>
  <c r="J4" i="39" a="1"/>
  <c r="J4" i="39" s="1"/>
  <c r="G4" i="39"/>
  <c r="J3" i="39" a="1"/>
  <c r="J3" i="39"/>
  <c r="J2" i="39" a="1"/>
  <c r="J2" i="39"/>
  <c r="A2" i="39" a="1"/>
  <c r="A2" i="39"/>
  <c r="AB1" i="39"/>
  <c r="D1" i="39"/>
  <c r="C1" i="39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AA13" i="38"/>
  <c r="Z13" i="38"/>
  <c r="Y13" i="38"/>
  <c r="X13" i="38"/>
  <c r="W13" i="38"/>
  <c r="V13" i="38"/>
  <c r="U13" i="38"/>
  <c r="G3" i="38" s="1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F2" i="38" s="1"/>
  <c r="K9" i="38"/>
  <c r="J9" i="38"/>
  <c r="I9" i="38"/>
  <c r="H9" i="38"/>
  <c r="G9" i="38"/>
  <c r="F9" i="38"/>
  <c r="E9" i="38"/>
  <c r="D9" i="38"/>
  <c r="C9" i="38"/>
  <c r="AC7" i="38"/>
  <c r="J4" i="38" a="1"/>
  <c r="J4" i="38"/>
  <c r="J3" i="38" a="1"/>
  <c r="J3" i="38" s="1"/>
  <c r="J2" i="38" a="1"/>
  <c r="J2" i="38"/>
  <c r="A2" i="38" a="1"/>
  <c r="A2" i="38" s="1"/>
  <c r="AB1" i="38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G3" i="37" s="1"/>
  <c r="J13" i="37"/>
  <c r="I13" i="37"/>
  <c r="H13" i="37"/>
  <c r="G13" i="37"/>
  <c r="F13" i="37"/>
  <c r="E13" i="37"/>
  <c r="D13" i="37"/>
  <c r="C13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G2" i="37" s="1"/>
  <c r="D10" i="37"/>
  <c r="C10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F2" i="37" s="1"/>
  <c r="D9" i="37"/>
  <c r="C9" i="37"/>
  <c r="AC7" i="37"/>
  <c r="J4" i="37" a="1"/>
  <c r="J4" i="37"/>
  <c r="J3" i="37" a="1"/>
  <c r="J3" i="37"/>
  <c r="J2" i="37" a="1"/>
  <c r="J2" i="37" s="1"/>
  <c r="A2" i="37" a="1"/>
  <c r="A2" i="37"/>
  <c r="B2" i="37" s="1"/>
  <c r="AB1" i="37"/>
  <c r="D1" i="37"/>
  <c r="C1" i="37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G4" i="36" s="1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F4" i="36" s="1"/>
  <c r="D15" i="36"/>
  <c r="C15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AC7" i="36"/>
  <c r="J4" i="36" a="1"/>
  <c r="J4" i="36" s="1"/>
  <c r="J3" i="36" a="1"/>
  <c r="J3" i="36" s="1"/>
  <c r="J2" i="36" a="1"/>
  <c r="J2" i="36"/>
  <c r="A2" i="36" a="1"/>
  <c r="A2" i="36"/>
  <c r="B2" i="36" s="1"/>
  <c r="AB1" i="36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G4" i="35" s="1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AC7" i="35"/>
  <c r="J4" i="35" a="1"/>
  <c r="J4" i="35"/>
  <c r="J3" i="35" a="1"/>
  <c r="J3" i="35"/>
  <c r="J2" i="35" a="1"/>
  <c r="J2" i="35" s="1"/>
  <c r="A2" i="35" a="1"/>
  <c r="A2" i="35"/>
  <c r="AB1" i="35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G4" i="34" s="1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AC7" i="34"/>
  <c r="J4" i="34" a="1"/>
  <c r="J4" i="34" s="1"/>
  <c r="J3" i="34" a="1"/>
  <c r="J3" i="34"/>
  <c r="J2" i="34" a="1"/>
  <c r="J2" i="34"/>
  <c r="A2" i="34" a="1"/>
  <c r="A2" i="34" s="1"/>
  <c r="AB1" i="34"/>
  <c r="D1" i="34"/>
  <c r="C1" i="34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AC7" i="33"/>
  <c r="J4" i="33" a="1"/>
  <c r="J4" i="33" s="1"/>
  <c r="J3" i="33" a="1"/>
  <c r="J3" i="33" s="1"/>
  <c r="J2" i="33" a="1"/>
  <c r="J2" i="33" s="1"/>
  <c r="A2" i="33" a="1"/>
  <c r="A2" i="33" s="1"/>
  <c r="AB1" i="33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C7" i="32"/>
  <c r="J4" i="32" a="1"/>
  <c r="J4" i="32"/>
  <c r="J3" i="32" a="1"/>
  <c r="J3" i="32" s="1"/>
  <c r="J2" i="32" a="1"/>
  <c r="J2" i="32" s="1"/>
  <c r="A2" i="32" a="1"/>
  <c r="A2" i="32" s="1"/>
  <c r="AB1" i="32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C7" i="31"/>
  <c r="J4" i="31" a="1"/>
  <c r="J4" i="31" s="1"/>
  <c r="J3" i="31" a="1"/>
  <c r="J3" i="31" s="1"/>
  <c r="J2" i="31" a="1"/>
  <c r="J2" i="31" s="1"/>
  <c r="A2" i="31" a="1"/>
  <c r="A2" i="31" s="1"/>
  <c r="AB1" i="31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G4" i="30" s="1"/>
  <c r="F16" i="30"/>
  <c r="E16" i="30"/>
  <c r="D16" i="30"/>
  <c r="C16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F4" i="30" s="1"/>
  <c r="C15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C7" i="30"/>
  <c r="J4" i="30" a="1"/>
  <c r="J4" i="30" s="1"/>
  <c r="J3" i="30" a="1"/>
  <c r="J3" i="30"/>
  <c r="J2" i="30" a="1"/>
  <c r="J2" i="30"/>
  <c r="A2" i="30" a="1"/>
  <c r="A2" i="30"/>
  <c r="B2" i="30" s="1"/>
  <c r="AB1" i="30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C7" i="29"/>
  <c r="J4" i="29" a="1"/>
  <c r="J4" i="29"/>
  <c r="J3" i="29" a="1"/>
  <c r="J3" i="29" s="1"/>
  <c r="J2" i="29" a="1"/>
  <c r="J2" i="29" s="1"/>
  <c r="A2" i="29" a="1"/>
  <c r="A2" i="29" s="1"/>
  <c r="B2" i="29" s="1"/>
  <c r="AB1" i="29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AC7" i="28"/>
  <c r="J4" i="28" a="1"/>
  <c r="J4" i="28"/>
  <c r="J3" i="28" a="1"/>
  <c r="J3" i="28" s="1"/>
  <c r="J2" i="28" a="1"/>
  <c r="J2" i="28"/>
  <c r="A2" i="28" a="1"/>
  <c r="A2" i="28"/>
  <c r="AB1" i="28"/>
  <c r="D1" i="28"/>
  <c r="C1" i="28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A15" i="27"/>
  <c r="Z15" i="27"/>
  <c r="Y15" i="27"/>
  <c r="X15" i="27"/>
  <c r="W15" i="27"/>
  <c r="V15" i="27"/>
  <c r="U15" i="27"/>
  <c r="F4" i="27" s="1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G3" i="27" s="1"/>
  <c r="C13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AC7" i="27"/>
  <c r="J4" i="27" a="1"/>
  <c r="J4" i="27"/>
  <c r="J3" i="27" a="1"/>
  <c r="J3" i="27" s="1"/>
  <c r="J2" i="27" a="1"/>
  <c r="J2" i="27"/>
  <c r="A2" i="27" a="1"/>
  <c r="A2" i="27" s="1"/>
  <c r="AB1" i="27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AA15" i="26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AA13" i="26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G3" i="26" s="1"/>
  <c r="I13" i="26"/>
  <c r="H13" i="26"/>
  <c r="G13" i="26"/>
  <c r="F13" i="26"/>
  <c r="E13" i="26"/>
  <c r="D13" i="26"/>
  <c r="C13" i="26"/>
  <c r="AA12" i="26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G2" i="26" s="1"/>
  <c r="C10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AC7" i="26"/>
  <c r="J4" i="26" a="1"/>
  <c r="J4" i="26" s="1"/>
  <c r="J3" i="26" a="1"/>
  <c r="J3" i="26"/>
  <c r="J2" i="26" a="1"/>
  <c r="J2" i="26" s="1"/>
  <c r="A2" i="26" a="1"/>
  <c r="A2" i="26" s="1"/>
  <c r="B2" i="26" s="1"/>
  <c r="AB1" i="26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AC7" i="25"/>
  <c r="J4" i="25" a="1"/>
  <c r="J4" i="25"/>
  <c r="J3" i="25" a="1"/>
  <c r="J3" i="25"/>
  <c r="F3" i="25"/>
  <c r="J2" i="25" a="1"/>
  <c r="J2" i="25" s="1"/>
  <c r="A2" i="25" a="1"/>
  <c r="A2" i="25"/>
  <c r="AB1" i="25"/>
  <c r="D1" i="25"/>
  <c r="C1" i="25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A15" i="24"/>
  <c r="Z15" i="24"/>
  <c r="Y15" i="24"/>
  <c r="X15" i="24"/>
  <c r="F4" i="24" s="1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AA13" i="24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9" i="24"/>
  <c r="AC7" i="24"/>
  <c r="J4" i="24" a="1"/>
  <c r="J4" i="24" s="1"/>
  <c r="G4" i="24"/>
  <c r="J3" i="24" a="1"/>
  <c r="J3" i="24"/>
  <c r="J2" i="24" a="1"/>
  <c r="J2" i="24" s="1"/>
  <c r="A2" i="24" a="1"/>
  <c r="A2" i="24" s="1"/>
  <c r="B2" i="24" s="1"/>
  <c r="AB1" i="24"/>
  <c r="C1" i="24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G4" i="23" s="1"/>
  <c r="L16" i="23"/>
  <c r="K16" i="23"/>
  <c r="J16" i="23"/>
  <c r="I16" i="23"/>
  <c r="H16" i="23"/>
  <c r="G16" i="23"/>
  <c r="F16" i="23"/>
  <c r="E16" i="23"/>
  <c r="D16" i="23"/>
  <c r="C16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F3" i="23" s="1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AC7" i="23"/>
  <c r="J4" i="23" a="1"/>
  <c r="J4" i="23"/>
  <c r="J3" i="23" a="1"/>
  <c r="J3" i="23"/>
  <c r="J2" i="23" a="1"/>
  <c r="J2" i="23" s="1"/>
  <c r="A2" i="23" a="1"/>
  <c r="A2" i="23"/>
  <c r="AB1" i="23"/>
  <c r="D1" i="23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G4" i="22" s="1"/>
  <c r="I16" i="22"/>
  <c r="H16" i="22"/>
  <c r="G16" i="22"/>
  <c r="F16" i="22"/>
  <c r="E16" i="22"/>
  <c r="D16" i="22"/>
  <c r="C16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4" i="22" s="1"/>
  <c r="F15" i="22"/>
  <c r="E15" i="22"/>
  <c r="D15" i="22"/>
  <c r="C15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G3" i="22" s="1"/>
  <c r="C13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9" i="22"/>
  <c r="AC7" i="22"/>
  <c r="J4" i="22" a="1"/>
  <c r="J4" i="22" s="1"/>
  <c r="J3" i="22" a="1"/>
  <c r="J3" i="22"/>
  <c r="J2" i="22" a="1"/>
  <c r="J2" i="22" s="1"/>
  <c r="A2" i="22" a="1"/>
  <c r="A2" i="22" s="1"/>
  <c r="AB1" i="22"/>
  <c r="D1" i="22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C7" i="21"/>
  <c r="J4" i="21" a="1"/>
  <c r="J4" i="21" s="1"/>
  <c r="J3" i="21" a="1"/>
  <c r="J3" i="21" s="1"/>
  <c r="F3" i="21"/>
  <c r="J2" i="21" a="1"/>
  <c r="J2" i="21"/>
  <c r="A2" i="21" a="1"/>
  <c r="A2" i="21" s="1"/>
  <c r="AB1" i="21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C7" i="20"/>
  <c r="J4" i="20" a="1"/>
  <c r="J4" i="20"/>
  <c r="J3" i="20" a="1"/>
  <c r="J3" i="20" s="1"/>
  <c r="J2" i="20" a="1"/>
  <c r="J2" i="20" s="1"/>
  <c r="A2" i="20" a="1"/>
  <c r="A2" i="20"/>
  <c r="B2" i="20" s="1"/>
  <c r="AB1" i="20"/>
  <c r="D1" i="20"/>
  <c r="C1" i="20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AC7" i="19"/>
  <c r="J4" i="19" a="1"/>
  <c r="J4" i="19" s="1"/>
  <c r="J3" i="19" a="1"/>
  <c r="J3" i="19" s="1"/>
  <c r="J2" i="19" a="1"/>
  <c r="J2" i="19" s="1"/>
  <c r="A2" i="19" a="1"/>
  <c r="A2" i="19"/>
  <c r="AB1" i="19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F4" i="18" s="1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AC7" i="18"/>
  <c r="J4" i="18" a="1"/>
  <c r="J4" i="18"/>
  <c r="J3" i="18" a="1"/>
  <c r="J3" i="18" s="1"/>
  <c r="F3" i="18"/>
  <c r="J2" i="18" a="1"/>
  <c r="J2" i="18" s="1"/>
  <c r="G2" i="18"/>
  <c r="A2" i="18" a="1"/>
  <c r="A2" i="18"/>
  <c r="AB1" i="18"/>
  <c r="D1" i="18"/>
  <c r="C1" i="18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AC7" i="17"/>
  <c r="J4" i="17" a="1"/>
  <c r="J4" i="17" s="1"/>
  <c r="J3" i="17" a="1"/>
  <c r="J3" i="17"/>
  <c r="F3" i="17"/>
  <c r="J2" i="17" a="1"/>
  <c r="J2" i="17" s="1"/>
  <c r="A2" i="17" a="1"/>
  <c r="A2" i="17" s="1"/>
  <c r="AB1" i="17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G4" i="16" s="1"/>
  <c r="D16" i="16"/>
  <c r="C16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C7" i="16"/>
  <c r="J4" i="16" a="1"/>
  <c r="J4" i="16"/>
  <c r="J3" i="16" a="1"/>
  <c r="J3" i="16" s="1"/>
  <c r="J2" i="16" a="1"/>
  <c r="J2" i="16" s="1"/>
  <c r="A2" i="16" a="1"/>
  <c r="A2" i="16"/>
  <c r="AB1" i="16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AC7" i="15"/>
  <c r="J4" i="15" a="1"/>
  <c r="J4" i="15" s="1"/>
  <c r="J3" i="15" a="1"/>
  <c r="J3" i="15"/>
  <c r="J2" i="15" a="1"/>
  <c r="J2" i="15"/>
  <c r="A2" i="15" a="1"/>
  <c r="A2" i="15"/>
  <c r="AB1" i="15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AC7" i="14"/>
  <c r="J4" i="14" a="1"/>
  <c r="J4" i="14" s="1"/>
  <c r="G4" i="14"/>
  <c r="J3" i="14" a="1"/>
  <c r="J3" i="14"/>
  <c r="J2" i="14" a="1"/>
  <c r="J2" i="14" s="1"/>
  <c r="A2" i="14" a="1"/>
  <c r="A2" i="14"/>
  <c r="AB1" i="14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AC7" i="13"/>
  <c r="J4" i="13" a="1"/>
  <c r="J4" i="13"/>
  <c r="G4" i="13"/>
  <c r="F4" i="13"/>
  <c r="J3" i="13" a="1"/>
  <c r="J3" i="13"/>
  <c r="J2" i="13" a="1"/>
  <c r="J2" i="13" s="1"/>
  <c r="A2" i="13" a="1"/>
  <c r="A2" i="13" s="1"/>
  <c r="AB1" i="13"/>
  <c r="D1" i="13"/>
  <c r="C1" i="13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G3" i="12" s="1"/>
  <c r="D13" i="12"/>
  <c r="C13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C7" i="12"/>
  <c r="J4" i="12" a="1"/>
  <c r="J4" i="12"/>
  <c r="J3" i="12" a="1"/>
  <c r="J3" i="12" s="1"/>
  <c r="J2" i="12" a="1"/>
  <c r="J2" i="12" s="1"/>
  <c r="A2" i="12" a="1"/>
  <c r="A2" i="12" s="1"/>
  <c r="AB1" i="12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G4" i="11" s="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C7" i="11"/>
  <c r="J4" i="11" a="1"/>
  <c r="J4" i="11" s="1"/>
  <c r="J3" i="11" a="1"/>
  <c r="J3" i="11" s="1"/>
  <c r="J2" i="11" a="1"/>
  <c r="J2" i="11"/>
  <c r="A2" i="11" a="1"/>
  <c r="A2" i="11" s="1"/>
  <c r="B2" i="11" s="1"/>
  <c r="AB1" i="11"/>
  <c r="D1" i="11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AA15" i="10"/>
  <c r="Z15" i="10"/>
  <c r="Y15" i="10"/>
  <c r="X15" i="10"/>
  <c r="W15" i="10"/>
  <c r="V15" i="10"/>
  <c r="U15" i="10"/>
  <c r="F4" i="10" s="1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G3" i="10" s="1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F2" i="10" s="1"/>
  <c r="H9" i="10"/>
  <c r="G9" i="10"/>
  <c r="F9" i="10"/>
  <c r="E9" i="10"/>
  <c r="D9" i="10"/>
  <c r="C9" i="10"/>
  <c r="AC7" i="10"/>
  <c r="J4" i="10" a="1"/>
  <c r="J4" i="10" s="1"/>
  <c r="J3" i="10" a="1"/>
  <c r="J3" i="10"/>
  <c r="J2" i="10" a="1"/>
  <c r="J2" i="10" s="1"/>
  <c r="A2" i="10" a="1"/>
  <c r="A2" i="10" s="1"/>
  <c r="AB1" i="10"/>
  <c r="C1" i="10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G4" i="9" s="1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C7" i="9"/>
  <c r="J4" i="9" a="1"/>
  <c r="J4" i="9"/>
  <c r="F4" i="9"/>
  <c r="J3" i="9" a="1"/>
  <c r="J3" i="9" s="1"/>
  <c r="J2" i="9" a="1"/>
  <c r="J2" i="9"/>
  <c r="A2" i="9" a="1"/>
  <c r="A2" i="9"/>
  <c r="AB1" i="9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G4" i="8" s="1"/>
  <c r="I16" i="8"/>
  <c r="H16" i="8"/>
  <c r="G16" i="8"/>
  <c r="F16" i="8"/>
  <c r="E16" i="8"/>
  <c r="D16" i="8"/>
  <c r="C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4" i="8" s="1"/>
  <c r="F15" i="8"/>
  <c r="E15" i="8"/>
  <c r="D15" i="8"/>
  <c r="C15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AC7" i="8"/>
  <c r="J4" i="8" a="1"/>
  <c r="J4" i="8"/>
  <c r="J3" i="8" a="1"/>
  <c r="J3" i="8" s="1"/>
  <c r="J2" i="8" a="1"/>
  <c r="J2" i="8" s="1"/>
  <c r="A2" i="8" a="1"/>
  <c r="A2" i="8" s="1"/>
  <c r="D1" i="8" s="1"/>
  <c r="AB1" i="8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C7" i="7"/>
  <c r="J4" i="7" a="1"/>
  <c r="J4" i="7" s="1"/>
  <c r="J3" i="7" a="1"/>
  <c r="J3" i="7" s="1"/>
  <c r="F3" i="7"/>
  <c r="J2" i="7" a="1"/>
  <c r="J2" i="7"/>
  <c r="A2" i="7" a="1"/>
  <c r="A2" i="7" s="1"/>
  <c r="D1" i="7" s="1"/>
  <c r="AB1" i="7"/>
  <c r="C1" i="7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C7" i="6"/>
  <c r="J4" i="6" a="1"/>
  <c r="J4" i="6"/>
  <c r="J3" i="6" a="1"/>
  <c r="J3" i="6"/>
  <c r="J2" i="6" a="1"/>
  <c r="J2" i="6"/>
  <c r="A2" i="6" a="1"/>
  <c r="A2" i="6" s="1"/>
  <c r="B2" i="6" s="1"/>
  <c r="AB1" i="6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C7" i="5"/>
  <c r="J4" i="5" a="1"/>
  <c r="J4" i="5"/>
  <c r="J3" i="5" a="1"/>
  <c r="J3" i="5" s="1"/>
  <c r="J2" i="5" a="1"/>
  <c r="J2" i="5"/>
  <c r="A2" i="5" a="1"/>
  <c r="A2" i="5" s="1"/>
  <c r="AB1" i="5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C7" i="4"/>
  <c r="J4" i="4" a="1"/>
  <c r="J4" i="4" s="1"/>
  <c r="J3" i="4" a="1"/>
  <c r="J3" i="4" s="1"/>
  <c r="J2" i="4" a="1"/>
  <c r="J2" i="4"/>
  <c r="A2" i="4" a="1"/>
  <c r="A2" i="4"/>
  <c r="B2" i="4" s="1"/>
  <c r="AB1" i="4"/>
  <c r="D1" i="4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C7" i="3"/>
  <c r="J4" i="3" a="1"/>
  <c r="J4" i="3" s="1"/>
  <c r="I4" i="3" a="1"/>
  <c r="I4" i="3" s="1"/>
  <c r="J3" i="3" a="1"/>
  <c r="J3" i="3"/>
  <c r="I3" i="3" a="1"/>
  <c r="I3" i="3" s="1"/>
  <c r="AC1" i="3" s="1"/>
  <c r="J2" i="3" a="1"/>
  <c r="J2" i="3" s="1"/>
  <c r="I2" i="3" a="1"/>
  <c r="I2" i="3"/>
  <c r="A2" i="3" a="1"/>
  <c r="A2" i="3"/>
  <c r="B2" i="3" s="1"/>
  <c r="AB1" i="3"/>
  <c r="D1" i="3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S12" i="2" s="1"/>
  <c r="O4" i="2"/>
  <c r="M4" i="2"/>
  <c r="U3" i="2"/>
  <c r="S3" i="2"/>
  <c r="O3" i="2"/>
  <c r="M3" i="2"/>
  <c r="U2" i="2"/>
  <c r="S2" i="2"/>
  <c r="O2" i="2"/>
  <c r="M2" i="2"/>
  <c r="C269" i="1"/>
  <c r="B269" i="1"/>
  <c r="C266" i="1"/>
  <c r="B266" i="1"/>
  <c r="C263" i="1"/>
  <c r="B263" i="1"/>
  <c r="C260" i="1"/>
  <c r="B260" i="1"/>
  <c r="C257" i="1"/>
  <c r="B257" i="1"/>
  <c r="C254" i="1"/>
  <c r="B254" i="1"/>
  <c r="C251" i="1"/>
  <c r="B251" i="1"/>
  <c r="C248" i="1"/>
  <c r="B248" i="1"/>
  <c r="C245" i="1"/>
  <c r="B245" i="1"/>
  <c r="C242" i="1"/>
  <c r="B242" i="1"/>
  <c r="C239" i="1"/>
  <c r="B239" i="1"/>
  <c r="C236" i="1"/>
  <c r="B236" i="1"/>
  <c r="C233" i="1"/>
  <c r="B233" i="1"/>
  <c r="C230" i="1"/>
  <c r="B230" i="1"/>
  <c r="C227" i="1"/>
  <c r="B227" i="1"/>
  <c r="C224" i="1"/>
  <c r="B224" i="1"/>
  <c r="C221" i="1"/>
  <c r="B221" i="1"/>
  <c r="C218" i="1"/>
  <c r="B218" i="1"/>
  <c r="C215" i="1"/>
  <c r="B215" i="1"/>
  <c r="C212" i="1"/>
  <c r="B212" i="1"/>
  <c r="C209" i="1"/>
  <c r="B209" i="1"/>
  <c r="C206" i="1"/>
  <c r="B206" i="1"/>
  <c r="C203" i="1"/>
  <c r="B203" i="1"/>
  <c r="C200" i="1"/>
  <c r="B200" i="1"/>
  <c r="C197" i="1"/>
  <c r="B197" i="1"/>
  <c r="C194" i="1"/>
  <c r="B194" i="1"/>
  <c r="C191" i="1"/>
  <c r="B191" i="1"/>
  <c r="C188" i="1"/>
  <c r="B188" i="1"/>
  <c r="C185" i="1"/>
  <c r="B185" i="1"/>
  <c r="C182" i="1"/>
  <c r="B182" i="1"/>
  <c r="C179" i="1"/>
  <c r="B179" i="1"/>
  <c r="C176" i="1"/>
  <c r="B176" i="1"/>
  <c r="C173" i="1"/>
  <c r="B173" i="1"/>
  <c r="C170" i="1"/>
  <c r="B170" i="1"/>
  <c r="C167" i="1"/>
  <c r="B167" i="1"/>
  <c r="C164" i="1"/>
  <c r="B164" i="1"/>
  <c r="C161" i="1"/>
  <c r="B161" i="1"/>
  <c r="C158" i="1"/>
  <c r="B158" i="1"/>
  <c r="C155" i="1"/>
  <c r="B155" i="1"/>
  <c r="C152" i="1"/>
  <c r="B152" i="1"/>
  <c r="C149" i="1"/>
  <c r="B149" i="1"/>
  <c r="C146" i="1"/>
  <c r="B146" i="1"/>
  <c r="C143" i="1"/>
  <c r="B143" i="1"/>
  <c r="C140" i="1"/>
  <c r="B140" i="1"/>
  <c r="C137" i="1"/>
  <c r="B137" i="1"/>
  <c r="C134" i="1"/>
  <c r="B134" i="1"/>
  <c r="C131" i="1"/>
  <c r="B131" i="1"/>
  <c r="C128" i="1"/>
  <c r="B128" i="1"/>
  <c r="C125" i="1"/>
  <c r="B125" i="1"/>
  <c r="C122" i="1"/>
  <c r="B122" i="1"/>
  <c r="C119" i="1"/>
  <c r="B119" i="1"/>
  <c r="C116" i="1"/>
  <c r="B116" i="1"/>
  <c r="C113" i="1"/>
  <c r="B113" i="1"/>
  <c r="C110" i="1"/>
  <c r="B110" i="1"/>
  <c r="C107" i="1"/>
  <c r="B107" i="1"/>
  <c r="C104" i="1"/>
  <c r="B104" i="1"/>
  <c r="C101" i="1"/>
  <c r="B101" i="1"/>
  <c r="C98" i="1"/>
  <c r="B98" i="1"/>
  <c r="C95" i="1"/>
  <c r="B95" i="1"/>
  <c r="C92" i="1"/>
  <c r="B92" i="1"/>
  <c r="C89" i="1"/>
  <c r="B89" i="1"/>
  <c r="C86" i="1"/>
  <c r="B86" i="1"/>
  <c r="C83" i="1"/>
  <c r="B83" i="1"/>
  <c r="C80" i="1"/>
  <c r="B80" i="1"/>
  <c r="C77" i="1"/>
  <c r="B77" i="1"/>
  <c r="C74" i="1"/>
  <c r="B74" i="1"/>
  <c r="C71" i="1"/>
  <c r="B71" i="1"/>
  <c r="C68" i="1"/>
  <c r="B68" i="1"/>
  <c r="C65" i="1"/>
  <c r="B65" i="1"/>
  <c r="C62" i="1"/>
  <c r="B62" i="1"/>
  <c r="C59" i="1"/>
  <c r="B59" i="1"/>
  <c r="C56" i="1"/>
  <c r="B56" i="1"/>
  <c r="C53" i="1"/>
  <c r="B53" i="1"/>
  <c r="C50" i="1"/>
  <c r="B50" i="1"/>
  <c r="C47" i="1"/>
  <c r="B47" i="1"/>
  <c r="C44" i="1"/>
  <c r="B44" i="1"/>
  <c r="C41" i="1"/>
  <c r="B41" i="1"/>
  <c r="C38" i="1"/>
  <c r="B38" i="1"/>
  <c r="C35" i="1"/>
  <c r="B35" i="1"/>
  <c r="C32" i="1"/>
  <c r="B32" i="1"/>
  <c r="C29" i="1"/>
  <c r="B29" i="1"/>
  <c r="C26" i="1"/>
  <c r="B26" i="1"/>
  <c r="C23" i="1"/>
  <c r="B23" i="1"/>
  <c r="C20" i="1"/>
  <c r="B20" i="1"/>
  <c r="C17" i="1"/>
  <c r="B17" i="1"/>
  <c r="C14" i="1"/>
  <c r="B14" i="1"/>
  <c r="C11" i="1"/>
  <c r="B11" i="1"/>
  <c r="C8" i="1"/>
  <c r="B8" i="1"/>
  <c r="C5" i="1"/>
  <c r="B5" i="1"/>
  <c r="C2" i="1"/>
  <c r="B2" i="1"/>
  <c r="AC271" i="1" a="1"/>
  <c r="AC270" i="1" a="1"/>
  <c r="AC269" i="1" a="1"/>
  <c r="N269" i="1" a="1"/>
  <c r="M268" i="1" a="1"/>
  <c r="M267" i="1" a="1"/>
  <c r="U271" i="1" a="1"/>
  <c r="F271" i="1" a="1"/>
  <c r="T270" i="1" a="1"/>
  <c r="S269" i="1" a="1"/>
  <c r="Q268" i="1" a="1"/>
  <c r="AE267" i="1" a="1"/>
  <c r="P267" i="1" a="1"/>
  <c r="O266" i="1" a="1"/>
  <c r="N265" i="1" a="1"/>
  <c r="AB264" i="1" a="1"/>
  <c r="AB263" i="1" a="1"/>
  <c r="AA262" i="1" a="1"/>
  <c r="AD271" i="1" a="1"/>
  <c r="O271" i="1" a="1"/>
  <c r="M270" i="1" a="1"/>
  <c r="AA269" i="1" a="1"/>
  <c r="AA271" i="1" a="1"/>
  <c r="R268" i="1" a="1"/>
  <c r="O267" i="1" a="1"/>
  <c r="M266" i="1" a="1"/>
  <c r="Z265" i="1" a="1"/>
  <c r="K265" i="1" a="1"/>
  <c r="Y264" i="1" a="1"/>
  <c r="J264" i="1" a="1"/>
  <c r="X263" i="1" a="1"/>
  <c r="I263" i="1" a="1"/>
  <c r="V262" i="1" a="1"/>
  <c r="G262" i="1" a="1"/>
  <c r="G261" i="1" a="1"/>
  <c r="G260" i="1" a="1"/>
  <c r="F259" i="1" a="1"/>
  <c r="F258" i="1" a="1"/>
  <c r="F257" i="1" a="1"/>
  <c r="J271" i="1" a="1"/>
  <c r="F270" i="1" a="1"/>
  <c r="R269" i="1" a="1"/>
  <c r="N268" i="1" a="1"/>
  <c r="H266" i="1" a="1"/>
  <c r="M262" i="1" a="1"/>
  <c r="S256" i="1" a="1"/>
  <c r="R255" i="1" a="1"/>
  <c r="O253" i="1" a="1"/>
  <c r="O252" i="1" a="1"/>
  <c r="O251" i="1" a="1"/>
  <c r="N250" i="1" a="1"/>
  <c r="N249" i="1" a="1"/>
  <c r="N248" i="1" a="1"/>
  <c r="M247" i="1" a="1"/>
  <c r="M246" i="1" a="1"/>
  <c r="M245" i="1" a="1"/>
  <c r="L244" i="1" a="1"/>
  <c r="L243" i="1" a="1"/>
  <c r="Z242" i="1" a="1"/>
  <c r="Y241" i="1" a="1"/>
  <c r="Y240" i="1" a="1"/>
  <c r="Y271" i="1" a="1"/>
  <c r="U270" i="1" a="1"/>
  <c r="AC268" i="1" a="1"/>
  <c r="L268" i="1" a="1"/>
  <c r="Y267" i="1" a="1"/>
  <c r="I267" i="1" a="1"/>
  <c r="V266" i="1" a="1"/>
  <c r="S265" i="1" a="1"/>
  <c r="Q264" i="1" a="1"/>
  <c r="K262" i="1" a="1"/>
  <c r="Y261" i="1" a="1"/>
  <c r="J261" i="1" a="1"/>
  <c r="X260" i="1" a="1"/>
  <c r="I260" i="1" a="1"/>
  <c r="V259" i="1" a="1"/>
  <c r="G259" i="1" a="1"/>
  <c r="U258" i="1" a="1"/>
  <c r="AE255" i="1" a="1"/>
  <c r="P255" i="1" a="1"/>
  <c r="AD254" i="1" a="1"/>
  <c r="V271" i="1" a="1"/>
  <c r="T268" i="1" a="1"/>
  <c r="Y266" i="1" a="1"/>
  <c r="O264" i="1" a="1"/>
  <c r="J263" i="1" a="1"/>
  <c r="U262" i="1" a="1"/>
  <c r="N260" i="1" a="1"/>
  <c r="Z259" i="1" a="1"/>
  <c r="J259" i="1" a="1"/>
  <c r="W258" i="1" a="1"/>
  <c r="AD256" i="1" a="1"/>
  <c r="N256" i="1" a="1"/>
  <c r="AA255" i="1" a="1"/>
  <c r="K255" i="1" a="1"/>
  <c r="X254" i="1" a="1"/>
  <c r="U253" i="1" a="1"/>
  <c r="F253" i="1" a="1"/>
  <c r="T252" i="1" a="1"/>
  <c r="AA247" i="1" a="1"/>
  <c r="L247" i="1" a="1"/>
  <c r="Z246" i="1" a="1"/>
  <c r="K246" i="1" a="1"/>
  <c r="Y245" i="1" a="1"/>
  <c r="AE238" i="1" a="1"/>
  <c r="AE237" i="1" a="1"/>
  <c r="AE236" i="1" a="1"/>
  <c r="P236" i="1" a="1"/>
  <c r="O235" i="1" a="1"/>
  <c r="O234" i="1" a="1"/>
  <c r="O233" i="1" a="1"/>
  <c r="N232" i="1" a="1"/>
  <c r="N231" i="1" a="1"/>
  <c r="N230" i="1" a="1"/>
  <c r="M229" i="1" a="1"/>
  <c r="M228" i="1" a="1"/>
  <c r="M227" i="1" a="1"/>
  <c r="L226" i="1" a="1"/>
  <c r="L225" i="1" a="1"/>
  <c r="L224" i="1" a="1"/>
  <c r="K223" i="1" a="1"/>
  <c r="Y222" i="1" a="1"/>
  <c r="Y221" i="1" a="1"/>
  <c r="X220" i="1" a="1"/>
  <c r="X219" i="1" a="1"/>
  <c r="X218" i="1" a="1"/>
  <c r="W217" i="1" a="1"/>
  <c r="W216" i="1" a="1"/>
  <c r="W215" i="1" a="1"/>
  <c r="V214" i="1" a="1"/>
  <c r="V213" i="1" a="1"/>
  <c r="V212" i="1" a="1"/>
  <c r="U211" i="1" a="1"/>
  <c r="U210" i="1" a="1"/>
  <c r="U209" i="1" a="1"/>
  <c r="F209" i="1" a="1"/>
  <c r="Q271" i="1" a="1"/>
  <c r="AA270" i="1" a="1"/>
  <c r="U269" i="1" a="1"/>
  <c r="AE265" i="1" a="1"/>
  <c r="Z264" i="1" a="1"/>
  <c r="I264" i="1" a="1"/>
  <c r="AC261" i="1" a="1"/>
  <c r="Y260" i="1" a="1"/>
  <c r="T259" i="1" a="1"/>
  <c r="Q258" i="1" a="1"/>
  <c r="S254" i="1" a="1"/>
  <c r="AE253" i="1" a="1"/>
  <c r="P253" i="1" a="1"/>
  <c r="AD252" i="1" a="1"/>
  <c r="V247" i="1" a="1"/>
  <c r="G247" i="1" a="1"/>
  <c r="U246" i="1" a="1"/>
  <c r="F246" i="1" a="1"/>
  <c r="T245" i="1" a="1"/>
  <c r="R244" i="1" a="1"/>
  <c r="Q243" i="1" a="1"/>
  <c r="AE242" i="1" a="1"/>
  <c r="P242" i="1" a="1"/>
  <c r="AC241" i="1" a="1"/>
  <c r="N241" i="1" a="1"/>
  <c r="AB240" i="1" a="1"/>
  <c r="AA239" i="1" a="1"/>
  <c r="Z238" i="1" a="1"/>
  <c r="Z237" i="1" a="1"/>
  <c r="Z236" i="1" a="1"/>
  <c r="Y235" i="1" a="1"/>
  <c r="Y234" i="1" a="1"/>
  <c r="H270" i="1" a="1"/>
  <c r="K268" i="1" a="1"/>
  <c r="W267" i="1" a="1"/>
  <c r="F267" i="1" a="1"/>
  <c r="R266" i="1" a="1"/>
  <c r="L265" i="1" a="1"/>
  <c r="X264" i="1" a="1"/>
  <c r="T263" i="1" a="1"/>
  <c r="AA261" i="1" a="1"/>
  <c r="W260" i="1" a="1"/>
  <c r="O258" i="1" a="1"/>
  <c r="AB257" i="1" a="1"/>
  <c r="L257" i="1" a="1"/>
  <c r="X256" i="1" a="1"/>
  <c r="H256" i="1" a="1"/>
  <c r="U255" i="1" a="1"/>
  <c r="Q254" i="1" a="1"/>
  <c r="AC253" i="1" a="1"/>
  <c r="N253" i="1" a="1"/>
  <c r="AB252" i="1" a="1"/>
  <c r="M252" i="1" a="1"/>
  <c r="AA251" i="1" a="1"/>
  <c r="L251" i="1" a="1"/>
  <c r="Y250" i="1" a="1"/>
  <c r="J250" i="1" a="1"/>
  <c r="X249" i="1" a="1"/>
  <c r="I249" i="1" a="1"/>
  <c r="W248" i="1" a="1"/>
  <c r="L241" i="1" a="1"/>
  <c r="Z240" i="1" a="1"/>
  <c r="K240" i="1" a="1"/>
  <c r="K239" i="1" a="1"/>
  <c r="J238" i="1" a="1"/>
  <c r="J237" i="1" a="1"/>
  <c r="J236" i="1" a="1"/>
  <c r="I235" i="1" a="1"/>
  <c r="I234" i="1" a="1"/>
  <c r="I233" i="1" a="1"/>
  <c r="H232" i="1" a="1"/>
  <c r="H231" i="1" a="1"/>
  <c r="H230" i="1" a="1"/>
  <c r="G229" i="1" a="1"/>
  <c r="U228" i="1" a="1"/>
  <c r="U227" i="1" a="1"/>
  <c r="T226" i="1" a="1"/>
  <c r="T225" i="1" a="1"/>
  <c r="T224" i="1" a="1"/>
  <c r="S223" i="1" a="1"/>
  <c r="S222" i="1" a="1"/>
  <c r="S221" i="1" a="1"/>
  <c r="R220" i="1" a="1"/>
  <c r="R219" i="1" a="1"/>
  <c r="R218" i="1" a="1"/>
  <c r="Q217" i="1" a="1"/>
  <c r="Q216" i="1" a="1"/>
  <c r="Q215" i="1" a="1"/>
  <c r="AD214" i="1" a="1"/>
  <c r="AD213" i="1" a="1"/>
  <c r="AD212" i="1" a="1"/>
  <c r="AC211" i="1" a="1"/>
  <c r="AC210" i="1" a="1"/>
  <c r="AC209" i="1" a="1"/>
  <c r="AB208" i="1" a="1"/>
  <c r="AB207" i="1" a="1"/>
  <c r="AB206" i="1" a="1"/>
  <c r="AA205" i="1" a="1"/>
  <c r="AA204" i="1" a="1"/>
  <c r="AA203" i="1" a="1"/>
  <c r="Z202" i="1" a="1"/>
  <c r="Z201" i="1" a="1"/>
  <c r="K201" i="1" a="1"/>
  <c r="W271" i="1" a="1"/>
  <c r="AD268" i="1" a="1"/>
  <c r="T267" i="1" a="1"/>
  <c r="AD266" i="1" a="1"/>
  <c r="T265" i="1" a="1"/>
  <c r="AD264" i="1" a="1"/>
  <c r="K264" i="1" a="1"/>
  <c r="U263" i="1" a="1"/>
  <c r="AE262" i="1" a="1"/>
  <c r="P260" i="1" a="1"/>
  <c r="R258" i="1" a="1"/>
  <c r="U256" i="1" a="1"/>
  <c r="M255" i="1" a="1"/>
  <c r="G254" i="1" a="1"/>
  <c r="AC252" i="1" a="1"/>
  <c r="L252" i="1" a="1"/>
  <c r="H251" i="1" a="1"/>
  <c r="O249" i="1" a="1"/>
  <c r="AA248" i="1" a="1"/>
  <c r="U247" i="1" a="1"/>
  <c r="AC245" i="1" a="1"/>
  <c r="L245" i="1" a="1"/>
  <c r="S243" i="1" a="1"/>
  <c r="N242" i="1" a="1"/>
  <c r="H241" i="1" a="1"/>
  <c r="Q239" i="1" a="1"/>
  <c r="AC238" i="1" a="1"/>
  <c r="Y237" i="1" a="1"/>
  <c r="AD234" i="1" a="1"/>
  <c r="K233" i="1" a="1"/>
  <c r="U231" i="1" a="1"/>
  <c r="AE229" i="1" a="1"/>
  <c r="AC228" i="1" a="1"/>
  <c r="K227" i="1" a="1"/>
  <c r="U225" i="1" a="1"/>
  <c r="AE223" i="1" a="1"/>
  <c r="AC222" i="1" a="1"/>
  <c r="AA221" i="1" a="1"/>
  <c r="K221" i="1" a="1"/>
  <c r="W220" i="1" a="1"/>
  <c r="U219" i="1" a="1"/>
  <c r="S218" i="1" a="1"/>
  <c r="P217" i="1" a="1"/>
  <c r="AC216" i="1" a="1"/>
  <c r="AA215" i="1" a="1"/>
  <c r="X214" i="1" a="1"/>
  <c r="F213" i="1" a="1"/>
  <c r="P211" i="1" a="1"/>
  <c r="AA209" i="1" a="1"/>
  <c r="X208" i="1" a="1"/>
  <c r="V207" i="1" a="1"/>
  <c r="F207" i="1" a="1"/>
  <c r="S206" i="1" a="1"/>
  <c r="P205" i="1" a="1"/>
  <c r="K202" i="1" a="1"/>
  <c r="I200" i="1" a="1"/>
  <c r="H199" i="1" a="1"/>
  <c r="H198" i="1" a="1"/>
  <c r="H197" i="1" a="1"/>
  <c r="G196" i="1" a="1"/>
  <c r="G195" i="1" a="1"/>
  <c r="G194" i="1" a="1"/>
  <c r="F193" i="1" a="1"/>
  <c r="F192" i="1" a="1"/>
  <c r="F191" i="1" a="1"/>
  <c r="T190" i="1" a="1"/>
  <c r="T189" i="1" a="1"/>
  <c r="F189" i="1" a="1"/>
  <c r="U188" i="1" a="1"/>
  <c r="G188" i="1" a="1"/>
  <c r="U187" i="1" a="1"/>
  <c r="G187" i="1" a="1"/>
  <c r="V186" i="1" a="1"/>
  <c r="H186" i="1" a="1"/>
  <c r="W185" i="1" a="1"/>
  <c r="I185" i="1" a="1"/>
  <c r="W184" i="1" a="1"/>
  <c r="I184" i="1" a="1"/>
  <c r="X183" i="1" a="1"/>
  <c r="J183" i="1" a="1"/>
  <c r="Y182" i="1" a="1"/>
  <c r="K182" i="1" a="1"/>
  <c r="Y181" i="1" a="1"/>
  <c r="K181" i="1" a="1"/>
  <c r="Z180" i="1" a="1"/>
  <c r="L180" i="1" a="1"/>
  <c r="AA179" i="1" a="1"/>
  <c r="M179" i="1" a="1"/>
  <c r="AA178" i="1" a="1"/>
  <c r="M178" i="1" a="1"/>
  <c r="AB177" i="1" a="1"/>
  <c r="N177" i="1" a="1"/>
  <c r="AC176" i="1" a="1"/>
  <c r="O176" i="1" a="1"/>
  <c r="AC175" i="1" a="1"/>
  <c r="O175" i="1" a="1"/>
  <c r="W268" i="1" a="1"/>
  <c r="N263" i="1" a="1"/>
  <c r="X262" i="1" a="1"/>
  <c r="R259" i="1" a="1"/>
  <c r="AC258" i="1" a="1"/>
  <c r="W257" i="1" a="1"/>
  <c r="Y255" i="1" a="1"/>
  <c r="K253" i="1" a="1"/>
  <c r="G252" i="1" a="1"/>
  <c r="S251" i="1" a="1"/>
  <c r="Z249" i="1" a="1"/>
  <c r="AB246" i="1" a="1"/>
  <c r="F245" i="1" a="1"/>
  <c r="M243" i="1" a="1"/>
  <c r="H242" i="1" a="1"/>
  <c r="O240" i="1" a="1"/>
  <c r="X234" i="1" a="1"/>
  <c r="U233" i="1" a="1"/>
  <c r="AE231" i="1" a="1"/>
  <c r="AC230" i="1" a="1"/>
  <c r="M230" i="1" a="1"/>
  <c r="J229" i="1" a="1"/>
  <c r="H228" i="1" a="1"/>
  <c r="AE225" i="1" a="1"/>
  <c r="AC224" i="1" a="1"/>
  <c r="Z223" i="1" a="1"/>
  <c r="W222" i="1" a="1"/>
  <c r="U221" i="1" a="1"/>
  <c r="AE219" i="1" a="1"/>
  <c r="AC218" i="1" a="1"/>
  <c r="M218" i="1" a="1"/>
  <c r="Z217" i="1" a="1"/>
  <c r="X216" i="1" a="1"/>
  <c r="H216" i="1" a="1"/>
  <c r="F215" i="1" a="1"/>
  <c r="P213" i="1" a="1"/>
  <c r="AC212" i="1" a="1"/>
  <c r="Z211" i="1" a="1"/>
  <c r="X210" i="1" a="1"/>
  <c r="V209" i="1" a="1"/>
  <c r="R208" i="1" a="1"/>
  <c r="P207" i="1" a="1"/>
  <c r="N206" i="1" a="1"/>
  <c r="Z205" i="1" a="1"/>
  <c r="X204" i="1" a="1"/>
  <c r="V270" i="1" a="1"/>
  <c r="AE269" i="1" a="1"/>
  <c r="K269" i="1" a="1"/>
  <c r="K267" i="1" a="1"/>
  <c r="AD265" i="1" a="1"/>
  <c r="J265" i="1" a="1"/>
  <c r="U264" i="1" a="1"/>
  <c r="L263" i="1" a="1"/>
  <c r="O261" i="1" a="1"/>
  <c r="Z260" i="1" a="1"/>
  <c r="F260" i="1" a="1"/>
  <c r="J258" i="1" a="1"/>
  <c r="U257" i="1" a="1"/>
  <c r="L256" i="1" a="1"/>
  <c r="O254" i="1" a="1"/>
  <c r="Z253" i="1" a="1"/>
  <c r="V252" i="1" a="1"/>
  <c r="Q251" i="1" a="1"/>
  <c r="AC250" i="1" a="1"/>
  <c r="L250" i="1" a="1"/>
  <c r="S248" i="1" a="1"/>
  <c r="N247" i="1" a="1"/>
  <c r="U245" i="1" a="1"/>
  <c r="AB243" i="1" a="1"/>
  <c r="W242" i="1" a="1"/>
  <c r="AD240" i="1" a="1"/>
  <c r="M240" i="1" a="1"/>
  <c r="Y239" i="1" a="1"/>
  <c r="I239" i="1" a="1"/>
  <c r="U238" i="1" a="1"/>
  <c r="R237" i="1" a="1"/>
  <c r="AD236" i="1" a="1"/>
  <c r="N236" i="1" a="1"/>
  <c r="Z235" i="1" a="1"/>
  <c r="V234" i="1" a="1"/>
  <c r="F234" i="1" a="1"/>
  <c r="P232" i="1" a="1"/>
  <c r="AA230" i="1" a="1"/>
  <c r="X229" i="1" a="1"/>
  <c r="V228" i="1" a="1"/>
  <c r="S227" i="1" a="1"/>
  <c r="P226" i="1" a="1"/>
  <c r="N225" i="1" a="1"/>
  <c r="H223" i="1" a="1"/>
  <c r="F222" i="1" a="1"/>
  <c r="P220" i="1" a="1"/>
  <c r="N219" i="1" a="1"/>
  <c r="AA218" i="1" a="1"/>
  <c r="I217" i="1" a="1"/>
  <c r="V216" i="1" a="1"/>
  <c r="T215" i="1" a="1"/>
  <c r="Q214" i="1" a="1"/>
  <c r="N213" i="1" a="1"/>
  <c r="L212" i="1" a="1"/>
  <c r="I211" i="1" a="1"/>
  <c r="G210" i="1" a="1"/>
  <c r="AD207" i="1" a="1"/>
  <c r="L206" i="1" a="1"/>
  <c r="I205" i="1" a="1"/>
  <c r="V204" i="1" a="1"/>
  <c r="G204" i="1" a="1"/>
  <c r="U203" i="1" a="1"/>
  <c r="F203" i="1" a="1"/>
  <c r="S202" i="1" a="1"/>
  <c r="R201" i="1" a="1"/>
  <c r="Q200" i="1" a="1"/>
  <c r="P199" i="1" a="1"/>
  <c r="P198" i="1" a="1"/>
  <c r="P197" i="1" a="1"/>
  <c r="O196" i="1" a="1"/>
  <c r="O195" i="1" a="1"/>
  <c r="AC194" i="1" a="1"/>
  <c r="AB193" i="1" a="1"/>
  <c r="AB192" i="1" a="1"/>
  <c r="AB191" i="1" a="1"/>
  <c r="M190" i="1" a="1"/>
  <c r="Z271" i="1" a="1"/>
  <c r="P269" i="1" a="1"/>
  <c r="X268" i="1" a="1"/>
  <c r="X265" i="1" a="1"/>
  <c r="S263" i="1" a="1"/>
  <c r="Z262" i="1" a="1"/>
  <c r="F262" i="1" a="1"/>
  <c r="V260" i="1" a="1"/>
  <c r="K259" i="1" a="1"/>
  <c r="S258" i="1" a="1"/>
  <c r="AA257" i="1" a="1"/>
  <c r="H257" i="1" a="1"/>
  <c r="V253" i="1" a="1"/>
  <c r="W251" i="1" a="1"/>
  <c r="W249" i="1" a="1"/>
  <c r="Y247" i="1" a="1"/>
  <c r="F247" i="1" a="1"/>
  <c r="P246" i="1" a="1"/>
  <c r="S242" i="1" a="1"/>
  <c r="I241" i="1" a="1"/>
  <c r="L239" i="1" a="1"/>
  <c r="N237" i="1" a="1"/>
  <c r="Y236" i="1" a="1"/>
  <c r="G236" i="1" a="1"/>
  <c r="Q235" i="1" a="1"/>
  <c r="AE232" i="1" a="1"/>
  <c r="AD229" i="1" a="1"/>
  <c r="F228" i="1" a="1"/>
  <c r="AC226" i="1" a="1"/>
  <c r="W225" i="1" a="1"/>
  <c r="F225" i="1" a="1"/>
  <c r="Z270" i="1" a="1"/>
  <c r="J266" i="1" a="1"/>
  <c r="Q260" i="1" a="1"/>
  <c r="V257" i="1" a="1"/>
  <c r="I256" i="1" a="1"/>
  <c r="Q255" i="1" a="1"/>
  <c r="Z250" i="1" a="1"/>
  <c r="R249" i="1" a="1"/>
  <c r="AB248" i="1" a="1"/>
  <c r="I248" i="1" a="1"/>
  <c r="J246" i="1" a="1"/>
  <c r="AD244" i="1" a="1"/>
  <c r="V243" i="1" a="1"/>
  <c r="M242" i="1" a="1"/>
  <c r="V241" i="1" a="1"/>
  <c r="N240" i="1" a="1"/>
  <c r="F239" i="1" a="1"/>
  <c r="P238" i="1" a="1"/>
  <c r="AA237" i="1" a="1"/>
  <c r="H237" i="1" a="1"/>
  <c r="AC235" i="1" a="1"/>
  <c r="K235" i="1" a="1"/>
  <c r="U234" i="1" a="1"/>
  <c r="Z232" i="1" a="1"/>
  <c r="I232" i="1" a="1"/>
  <c r="T231" i="1" a="1"/>
  <c r="F229" i="1" a="1"/>
  <c r="R228" i="1" a="1"/>
  <c r="AD227" i="1" a="1"/>
  <c r="X226" i="1" a="1"/>
  <c r="F226" i="1" a="1"/>
  <c r="K224" i="1" a="1"/>
  <c r="P222" i="1" a="1"/>
  <c r="AB221" i="1" a="1"/>
  <c r="U220" i="1" a="1"/>
  <c r="O219" i="1" a="1"/>
  <c r="Z218" i="1" a="1"/>
  <c r="Z215" i="1" a="1"/>
  <c r="I215" i="1" a="1"/>
  <c r="G212" i="1" a="1"/>
  <c r="R211" i="1" a="1"/>
  <c r="AD210" i="1" a="1"/>
  <c r="L210" i="1" a="1"/>
  <c r="X209" i="1" a="1"/>
  <c r="G209" i="1" a="1"/>
  <c r="Q208" i="1" a="1"/>
  <c r="K207" i="1" a="1"/>
  <c r="W206" i="1" a="1"/>
  <c r="AB204" i="1" a="1"/>
  <c r="K204" i="1" a="1"/>
  <c r="W203" i="1" a="1"/>
  <c r="Q202" i="1" a="1"/>
  <c r="M201" i="1" a="1"/>
  <c r="H200" i="1" a="1"/>
  <c r="Q198" i="1" a="1"/>
  <c r="AD197" i="1" a="1"/>
  <c r="K196" i="1" a="1"/>
  <c r="I195" i="1" a="1"/>
  <c r="S193" i="1" a="1"/>
  <c r="Q192" i="1" a="1"/>
  <c r="AD191" i="1" a="1"/>
  <c r="AA190" i="1" a="1"/>
  <c r="Y189" i="1" a="1"/>
  <c r="J189" i="1" a="1"/>
  <c r="X188" i="1" a="1"/>
  <c r="I188" i="1" a="1"/>
  <c r="V187" i="1" a="1"/>
  <c r="AE183" i="1" a="1"/>
  <c r="R271" i="1" a="1"/>
  <c r="W270" i="1" a="1"/>
  <c r="AC266" i="1" a="1"/>
  <c r="P265" i="1" a="1"/>
  <c r="W264" i="1" a="1"/>
  <c r="AE263" i="1" a="1"/>
  <c r="R262" i="1" a="1"/>
  <c r="O260" i="1" a="1"/>
  <c r="R257" i="1" a="1"/>
  <c r="AA256" i="1" a="1"/>
  <c r="G256" i="1" a="1"/>
  <c r="O255" i="1" a="1"/>
  <c r="Y254" i="1" a="1"/>
  <c r="M253" i="1" a="1"/>
  <c r="X252" i="1" a="1"/>
  <c r="X250" i="1" a="1"/>
  <c r="Z248" i="1" a="1"/>
  <c r="Q247" i="1" a="1"/>
  <c r="AA246" i="1" a="1"/>
  <c r="T243" i="1" a="1"/>
  <c r="AD242" i="1" a="1"/>
  <c r="V239" i="1" a="1"/>
  <c r="N238" i="1" a="1"/>
  <c r="X237" i="1" a="1"/>
  <c r="R236" i="1" a="1"/>
  <c r="AA235" i="1" a="1"/>
  <c r="H235" i="1" a="1"/>
  <c r="M233" i="1" a="1"/>
  <c r="R231" i="1" a="1"/>
  <c r="AD230" i="1" a="1"/>
  <c r="L230" i="1" a="1"/>
  <c r="P225" i="1" a="1"/>
  <c r="AA224" i="1" a="1"/>
  <c r="I224" i="1" a="1"/>
  <c r="T223" i="1" a="1"/>
  <c r="H221" i="1" a="1"/>
  <c r="G218" i="1" a="1"/>
  <c r="S217" i="1" a="1"/>
  <c r="G215" i="1" a="1"/>
  <c r="AB213" i="1" a="1"/>
  <c r="K213" i="1" a="1"/>
  <c r="W212" i="1" a="1"/>
  <c r="O208" i="1" a="1"/>
  <c r="U206" i="1" a="1"/>
  <c r="Z204" i="1" a="1"/>
  <c r="I204" i="1" a="1"/>
  <c r="AB201" i="1" a="1"/>
  <c r="S199" i="1" a="1"/>
  <c r="O198" i="1" a="1"/>
  <c r="Y196" i="1" a="1"/>
  <c r="W195" i="1" a="1"/>
  <c r="AE192" i="1" a="1"/>
  <c r="O192" i="1" a="1"/>
  <c r="J190" i="1" a="1"/>
  <c r="T187" i="1" a="1"/>
  <c r="S186" i="1" a="1"/>
  <c r="R185" i="1" a="1"/>
  <c r="AE184" i="1" a="1"/>
  <c r="Y180" i="1" a="1"/>
  <c r="J180" i="1" a="1"/>
  <c r="X179" i="1" a="1"/>
  <c r="I179" i="1" a="1"/>
  <c r="V178" i="1" a="1"/>
  <c r="G178" i="1" a="1"/>
  <c r="Q174" i="1" a="1"/>
  <c r="Q173" i="1" a="1"/>
  <c r="P172" i="1" a="1"/>
  <c r="P171" i="1" a="1"/>
  <c r="P170" i="1" a="1"/>
  <c r="O169" i="1" a="1"/>
  <c r="O168" i="1" a="1"/>
  <c r="O167" i="1" a="1"/>
  <c r="AB166" i="1" a="1"/>
  <c r="AB165" i="1" a="1"/>
  <c r="AB164" i="1" a="1"/>
  <c r="AA163" i="1" a="1"/>
  <c r="AA162" i="1" a="1"/>
  <c r="AA161" i="1" a="1"/>
  <c r="Z160" i="1" a="1"/>
  <c r="Z159" i="1" a="1"/>
  <c r="Z158" i="1" a="1"/>
  <c r="Y157" i="1" a="1"/>
  <c r="Y156" i="1" a="1"/>
  <c r="Y155" i="1" a="1"/>
  <c r="X154" i="1" a="1"/>
  <c r="X153" i="1" a="1"/>
  <c r="I153" i="1" a="1"/>
  <c r="I152" i="1" a="1"/>
  <c r="H151" i="1" a="1"/>
  <c r="H150" i="1" a="1"/>
  <c r="H149" i="1" a="1"/>
  <c r="G148" i="1" a="1"/>
  <c r="G147" i="1" a="1"/>
  <c r="G146" i="1" a="1"/>
  <c r="F145" i="1" a="1"/>
  <c r="F144" i="1" a="1"/>
  <c r="F143" i="1" a="1"/>
  <c r="R139" i="1" a="1"/>
  <c r="R138" i="1" a="1"/>
  <c r="R137" i="1" a="1"/>
  <c r="Q136" i="1" a="1"/>
  <c r="Q135" i="1" a="1"/>
  <c r="Q134" i="1" a="1"/>
  <c r="P133" i="1" a="1"/>
  <c r="P132" i="1" a="1"/>
  <c r="P131" i="1" a="1"/>
  <c r="O130" i="1" a="1"/>
  <c r="O129" i="1" a="1"/>
  <c r="O128" i="1" a="1"/>
  <c r="N127" i="1" a="1"/>
  <c r="N126" i="1" a="1"/>
  <c r="AB125" i="1" a="1"/>
  <c r="AB271" i="1" a="1"/>
  <c r="AE270" i="1" a="1"/>
  <c r="I269" i="1" a="1"/>
  <c r="W266" i="1" a="1"/>
  <c r="AA265" i="1" a="1"/>
  <c r="P263" i="1" a="1"/>
  <c r="T262" i="1" a="1"/>
  <c r="J260" i="1" a="1"/>
  <c r="N259" i="1" a="1"/>
  <c r="AB253" i="1" a="1"/>
  <c r="P252" i="1" a="1"/>
  <c r="AE250" i="1" a="1"/>
  <c r="I250" i="1" a="1"/>
  <c r="Y248" i="1" a="1"/>
  <c r="K247" i="1" a="1"/>
  <c r="S246" i="1" a="1"/>
  <c r="AB245" i="1" a="1"/>
  <c r="N244" i="1" a="1"/>
  <c r="AC242" i="1" a="1"/>
  <c r="W240" i="1" a="1"/>
  <c r="S238" i="1" a="1"/>
  <c r="AB237" i="1" a="1"/>
  <c r="G237" i="1" a="1"/>
  <c r="O236" i="1" a="1"/>
  <c r="L234" i="1" a="1"/>
  <c r="S231" i="1" a="1"/>
  <c r="AB230" i="1" a="1"/>
  <c r="I230" i="1" a="1"/>
  <c r="AA228" i="1" a="1"/>
  <c r="Z226" i="1" a="1"/>
  <c r="O225" i="1" a="1"/>
  <c r="X224" i="1" a="1"/>
  <c r="F224" i="1" a="1"/>
  <c r="O223" i="1" a="1"/>
  <c r="Z222" i="1" a="1"/>
  <c r="AA220" i="1" a="1"/>
  <c r="H220" i="1" a="1"/>
  <c r="AB218" i="1" a="1"/>
  <c r="I218" i="1" a="1"/>
  <c r="AC214" i="1" a="1"/>
  <c r="K214" i="1" a="1"/>
  <c r="U213" i="1" a="1"/>
  <c r="N210" i="1" a="1"/>
  <c r="Y207" i="1" a="1"/>
  <c r="AD203" i="1" a="1"/>
  <c r="V202" i="1" a="1"/>
  <c r="O201" i="1" a="1"/>
  <c r="Z200" i="1" a="1"/>
  <c r="L198" i="1" a="1"/>
  <c r="S196" i="1" a="1"/>
  <c r="N195" i="1" a="1"/>
  <c r="J194" i="1" a="1"/>
  <c r="P192" i="1" a="1"/>
  <c r="K191" i="1" a="1"/>
  <c r="W190" i="1" a="1"/>
  <c r="AA187" i="1" a="1"/>
  <c r="K187" i="1" a="1"/>
  <c r="X186" i="1" a="1"/>
  <c r="O184" i="1" a="1"/>
  <c r="AB183" i="1" a="1"/>
  <c r="Z182" i="1" a="1"/>
  <c r="J182" i="1" a="1"/>
  <c r="G181" i="1" a="1"/>
  <c r="R179" i="1" a="1"/>
  <c r="O178" i="1" a="1"/>
  <c r="Z176" i="1" a="1"/>
  <c r="W175" i="1" a="1"/>
  <c r="G175" i="1" a="1"/>
  <c r="U174" i="1" a="1"/>
  <c r="F174" i="1" a="1"/>
  <c r="T173" i="1" a="1"/>
  <c r="R172" i="1" a="1"/>
  <c r="Q171" i="1" a="1"/>
  <c r="AE170" i="1" a="1"/>
  <c r="AA168" i="1" a="1"/>
  <c r="L168" i="1" a="1"/>
  <c r="Z167" i="1" a="1"/>
  <c r="K167" i="1" a="1"/>
  <c r="X166" i="1" a="1"/>
  <c r="I166" i="1" a="1"/>
  <c r="W165" i="1" a="1"/>
  <c r="H165" i="1" a="1"/>
  <c r="V164" i="1" a="1"/>
  <c r="G164" i="1" a="1"/>
  <c r="T163" i="1" a="1"/>
  <c r="S162" i="1" a="1"/>
  <c r="J156" i="1" a="1"/>
  <c r="X155" i="1" a="1"/>
  <c r="I155" i="1" a="1"/>
  <c r="H4" i="4" a="1"/>
  <c r="S271" i="1" a="1"/>
  <c r="I271" i="1" a="1"/>
  <c r="O269" i="1" a="1"/>
  <c r="V267" i="1" a="1"/>
  <c r="Z266" i="1" a="1"/>
  <c r="O263" i="1" a="1"/>
  <c r="W261" i="1" a="1"/>
  <c r="T257" i="1" a="1"/>
  <c r="Y256" i="1" a="1"/>
  <c r="AD255" i="1" a="1"/>
  <c r="M254" i="1" a="1"/>
  <c r="Z252" i="1" a="1"/>
  <c r="R250" i="1" a="1"/>
  <c r="Y249" i="1" a="1"/>
  <c r="K248" i="1" a="1"/>
  <c r="X246" i="1" a="1"/>
  <c r="J245" i="1" a="1"/>
  <c r="Q244" i="1" a="1"/>
  <c r="X243" i="1" a="1"/>
  <c r="I242" i="1" a="1"/>
  <c r="O241" i="1" a="1"/>
  <c r="V240" i="1" a="1"/>
  <c r="AD239" i="1" a="1"/>
  <c r="H239" i="1" a="1"/>
  <c r="R235" i="1" a="1"/>
  <c r="L233" i="1" a="1"/>
  <c r="AC231" i="1" a="1"/>
  <c r="Z229" i="1" a="1"/>
  <c r="N228" i="1" a="1"/>
  <c r="W227" i="1" a="1"/>
  <c r="S225" i="1" a="1"/>
  <c r="AB224" i="1" a="1"/>
  <c r="Y220" i="1" a="1"/>
  <c r="W218" i="1" a="1"/>
  <c r="U212" i="1" a="1"/>
  <c r="AD211" i="1" a="1"/>
  <c r="K211" i="1" a="1"/>
  <c r="T210" i="1" a="1"/>
  <c r="AD209" i="1" a="1"/>
  <c r="U208" i="1" a="1"/>
  <c r="J207" i="1" a="1"/>
  <c r="AC205" i="1" a="1"/>
  <c r="H271" i="1" a="1"/>
  <c r="L270" i="1" a="1"/>
  <c r="S268" i="1" a="1"/>
  <c r="U267" i="1" a="1"/>
  <c r="AC265" i="1" a="1"/>
  <c r="F265" i="1" a="1"/>
  <c r="M263" i="1" a="1"/>
  <c r="V261" i="1" a="1"/>
  <c r="AC260" i="1" a="1"/>
  <c r="N258" i="1" a="1"/>
  <c r="S257" i="1" a="1"/>
  <c r="H255" i="1" a="1"/>
  <c r="L254" i="1" a="1"/>
  <c r="S253" i="1" a="1"/>
  <c r="Y252" i="1" a="1"/>
  <c r="J251" i="1" a="1"/>
  <c r="J248" i="1" a="1"/>
  <c r="W246" i="1" a="1"/>
  <c r="AE245" i="1" a="1"/>
  <c r="I245" i="1" a="1"/>
  <c r="P244" i="1" a="1"/>
  <c r="O238" i="1" a="1"/>
  <c r="V237" i="1" a="1"/>
  <c r="I236" i="1" a="1"/>
  <c r="P235" i="1" a="1"/>
  <c r="T232" i="1" a="1"/>
  <c r="AB231" i="1" a="1"/>
  <c r="I231" i="1" a="1"/>
  <c r="Q230" i="1" a="1"/>
  <c r="Y229" i="1" a="1"/>
  <c r="V227" i="1" a="1"/>
  <c r="AD226" i="1" a="1"/>
  <c r="J226" i="1" a="1"/>
  <c r="Z224" i="1" a="1"/>
  <c r="G224" i="1" a="1"/>
  <c r="AD269" i="1" a="1"/>
  <c r="H268" i="1" a="1"/>
  <c r="L267" i="1" a="1"/>
  <c r="P266" i="1" a="1"/>
  <c r="Q270" i="1" a="1"/>
  <c r="Q269" i="1" a="1"/>
  <c r="U265" i="1" a="1"/>
  <c r="Y263" i="1" a="1"/>
  <c r="AB262" i="1" a="1"/>
  <c r="AE261" i="1" a="1"/>
  <c r="H260" i="1" a="1"/>
  <c r="P258" i="1" a="1"/>
  <c r="Q257" i="1" a="1"/>
  <c r="V256" i="1" a="1"/>
  <c r="Z255" i="1" a="1"/>
  <c r="N252" i="1" a="1"/>
  <c r="T251" i="1" a="1"/>
  <c r="AD249" i="1" a="1"/>
  <c r="F249" i="1" a="1"/>
  <c r="R247" i="1" a="1"/>
  <c r="V246" i="1" a="1"/>
  <c r="I244" i="1" a="1"/>
  <c r="O243" i="1" a="1"/>
  <c r="U242" i="1" a="1"/>
  <c r="AE240" i="1" a="1"/>
  <c r="O239" i="1" a="1"/>
  <c r="H236" i="1" a="1"/>
  <c r="S234" i="1" a="1"/>
  <c r="Z233" i="1" a="1"/>
  <c r="Y230" i="1" a="1"/>
  <c r="Q228" i="1" a="1"/>
  <c r="AE226" i="1" a="1"/>
  <c r="I226" i="1" a="1"/>
  <c r="V224" i="1" a="1"/>
  <c r="I223" i="1" a="1"/>
  <c r="R222" i="1" a="1"/>
  <c r="AD216" i="1" a="1"/>
  <c r="R215" i="1" a="1"/>
  <c r="Z214" i="1" a="1"/>
  <c r="F214" i="1" a="1"/>
  <c r="AE211" i="1" a="1"/>
  <c r="S210" i="1" a="1"/>
  <c r="I209" i="1" a="1"/>
  <c r="W205" i="1" a="1"/>
  <c r="N202" i="1" a="1"/>
  <c r="AE197" i="1" a="1"/>
  <c r="L197" i="1" a="1"/>
  <c r="W196" i="1" a="1"/>
  <c r="U190" i="1" a="1"/>
  <c r="K188" i="1" a="1"/>
  <c r="Q186" i="1" a="1"/>
  <c r="AC185" i="1" a="1"/>
  <c r="T183" i="1" a="1"/>
  <c r="Q178" i="1" a="1"/>
  <c r="AD177" i="1" a="1"/>
  <c r="J176" i="1" a="1"/>
  <c r="S174" i="1" a="1"/>
  <c r="AC172" i="1" a="1"/>
  <c r="AA171" i="1" a="1"/>
  <c r="K171" i="1" a="1"/>
  <c r="I170" i="1" a="1"/>
  <c r="F169" i="1" a="1"/>
  <c r="AD166" i="1" a="1"/>
  <c r="N166" i="1" a="1"/>
  <c r="AA165" i="1" a="1"/>
  <c r="Y164" i="1" a="1"/>
  <c r="V163" i="1" a="1"/>
  <c r="T162" i="1" a="1"/>
  <c r="Q161" i="1" a="1"/>
  <c r="N160" i="1" a="1"/>
  <c r="L159" i="1" a="1"/>
  <c r="Y158" i="1" a="1"/>
  <c r="V157" i="1" a="1"/>
  <c r="F157" i="1" a="1"/>
  <c r="AD154" i="1" a="1"/>
  <c r="AB153" i="1" a="1"/>
  <c r="Z152" i="1" a="1"/>
  <c r="J152" i="1" a="1"/>
  <c r="V151" i="1" a="1"/>
  <c r="T150" i="1" a="1"/>
  <c r="S149" i="1" a="1"/>
  <c r="Q148" i="1" a="1"/>
  <c r="AE147" i="1" a="1"/>
  <c r="P271" i="1" a="1"/>
  <c r="P268" i="1" a="1"/>
  <c r="Q267" i="1" a="1"/>
  <c r="Q266" i="1" a="1"/>
  <c r="L259" i="1" a="1"/>
  <c r="P257" i="1" a="1"/>
  <c r="AB254" i="1" a="1"/>
  <c r="H253" i="1" a="1"/>
  <c r="W250" i="1" a="1"/>
  <c r="L248" i="1" a="1"/>
  <c r="P247" i="1" a="1"/>
  <c r="AA245" i="1" a="1"/>
  <c r="T242" i="1" a="1"/>
  <c r="X241" i="1" a="1"/>
  <c r="G240" i="1" a="1"/>
  <c r="N239" i="1" a="1"/>
  <c r="AC236" i="1" a="1"/>
  <c r="M235" i="1" a="1"/>
  <c r="K232" i="1" a="1"/>
  <c r="Q231" i="1" a="1"/>
  <c r="P228" i="1" a="1"/>
  <c r="X227" i="1" a="1"/>
  <c r="H226" i="1" a="1"/>
  <c r="AC223" i="1" a="1"/>
  <c r="Z221" i="1" a="1"/>
  <c r="F221" i="1" a="1"/>
  <c r="N220" i="1" a="1"/>
  <c r="W219" i="1" a="1"/>
  <c r="L218" i="1" a="1"/>
  <c r="U217" i="1" a="1"/>
  <c r="AB216" i="1" a="1"/>
  <c r="I216" i="1" a="1"/>
  <c r="J211" i="1" a="1"/>
  <c r="AB209" i="1" a="1"/>
  <c r="P208" i="1" a="1"/>
  <c r="M206" i="1" a="1"/>
  <c r="V205" i="1" a="1"/>
  <c r="M204" i="1" a="1"/>
  <c r="V203" i="1" a="1"/>
  <c r="W201" i="1" a="1"/>
  <c r="O200" i="1" a="1"/>
  <c r="Z199" i="1" a="1"/>
  <c r="S198" i="1" a="1"/>
  <c r="Q195" i="1" a="1"/>
  <c r="AB194" i="1" a="1"/>
  <c r="K194" i="1" a="1"/>
  <c r="V193" i="1" a="1"/>
  <c r="Z191" i="1" a="1"/>
  <c r="I191" i="1" a="1"/>
  <c r="O189" i="1" a="1"/>
  <c r="AA188" i="1" a="1"/>
  <c r="L185" i="1" a="1"/>
  <c r="X184" i="1" a="1"/>
  <c r="G184" i="1" a="1"/>
  <c r="P182" i="1" a="1"/>
  <c r="AB181" i="1" a="1"/>
  <c r="L181" i="1" a="1"/>
  <c r="X180" i="1" a="1"/>
  <c r="H180" i="1" a="1"/>
  <c r="U179" i="1" a="1"/>
  <c r="M177" i="1" a="1"/>
  <c r="U175" i="1" a="1"/>
  <c r="P173" i="1" a="1"/>
  <c r="M172" i="1" a="1"/>
  <c r="X170" i="1" a="1"/>
  <c r="U169" i="1" a="1"/>
  <c r="S168" i="1" a="1"/>
  <c r="Q167" i="1" a="1"/>
  <c r="M166" i="1" a="1"/>
  <c r="K165" i="1" a="1"/>
  <c r="I164" i="1" a="1"/>
  <c r="F163" i="1" a="1"/>
  <c r="AC160" i="1" a="1"/>
  <c r="AA159" i="1" a="1"/>
  <c r="K159" i="1" a="1"/>
  <c r="I158" i="1" a="1"/>
  <c r="S156" i="1" a="1"/>
  <c r="Q155" i="1" a="1"/>
  <c r="N154" i="1" a="1"/>
  <c r="N271" i="1" a="1"/>
  <c r="P270" i="1" a="1"/>
  <c r="M269" i="1" a="1"/>
  <c r="O268" i="1" a="1"/>
  <c r="R265" i="1" a="1"/>
  <c r="T264" i="1" a="1"/>
  <c r="AD261" i="1" a="1"/>
  <c r="M258" i="1" a="1"/>
  <c r="X255" i="1" a="1"/>
  <c r="G253" i="1" a="1"/>
  <c r="R251" i="1" a="1"/>
  <c r="AC249" i="1" a="1"/>
  <c r="O247" i="1" a="1"/>
  <c r="Z245" i="1" a="1"/>
  <c r="AE244" i="1" a="1"/>
  <c r="H244" i="1" a="1"/>
  <c r="N243" i="1" a="1"/>
  <c r="AC240" i="1" a="1"/>
  <c r="R238" i="1" a="1"/>
  <c r="W237" i="1" a="1"/>
  <c r="R234" i="1" a="1"/>
  <c r="Y233" i="1" a="1"/>
  <c r="J232" i="1" a="1"/>
  <c r="X230" i="1" a="1"/>
  <c r="I229" i="1" a="1"/>
  <c r="G226" i="1" a="1"/>
  <c r="M225" i="1" a="1"/>
  <c r="U224" i="1" a="1"/>
  <c r="Q222" i="1" a="1"/>
  <c r="K218" i="1" a="1"/>
  <c r="T217" i="1" a="1"/>
  <c r="P215" i="1" a="1"/>
  <c r="Y214" i="1" a="1"/>
  <c r="H2" i="4" a="1"/>
  <c r="F268" i="1" a="1"/>
  <c r="G266" i="1" a="1"/>
  <c r="I265" i="1" a="1"/>
  <c r="M264" i="1" a="1"/>
  <c r="Q263" i="1" a="1"/>
  <c r="P262" i="1" a="1"/>
  <c r="AD258" i="1" a="1"/>
  <c r="F252" i="1" a="1"/>
  <c r="T249" i="1" a="1"/>
  <c r="AE247" i="1" a="1"/>
  <c r="H247" i="1" a="1"/>
  <c r="N246" i="1" a="1"/>
  <c r="R245" i="1" a="1"/>
  <c r="Y244" i="1" a="1"/>
  <c r="AE243" i="1" a="1"/>
  <c r="G243" i="1" a="1"/>
  <c r="L242" i="1" a="1"/>
  <c r="U240" i="1" a="1"/>
  <c r="I238" i="1" a="1"/>
  <c r="P237" i="1" a="1"/>
  <c r="AB235" i="1" a="1"/>
  <c r="Y232" i="1" a="1"/>
  <c r="V229" i="1" a="1"/>
  <c r="AD228" i="1" a="1"/>
  <c r="I228" i="1" a="1"/>
  <c r="O227" i="1" a="1"/>
  <c r="U226" i="1" a="1"/>
  <c r="V223" i="1" a="1"/>
  <c r="J222" i="1" a="1"/>
  <c r="AB220" i="1" a="1"/>
  <c r="G220" i="1" a="1"/>
  <c r="U216" i="1" a="1"/>
  <c r="AD215" i="1" a="1"/>
  <c r="R214" i="1" a="1"/>
  <c r="Z213" i="1" a="1"/>
  <c r="O212" i="1" a="1"/>
  <c r="S209" i="1" a="1"/>
  <c r="AC208" i="1" a="1"/>
  <c r="R207" i="1" a="1"/>
  <c r="G206" i="1" a="1"/>
  <c r="P203" i="1" a="1"/>
  <c r="G202" i="1" a="1"/>
  <c r="Q201" i="1" a="1"/>
  <c r="AB200" i="1" a="1"/>
  <c r="AC198" i="1" a="1"/>
  <c r="K198" i="1" a="1"/>
  <c r="W197" i="1" a="1"/>
  <c r="V194" i="1" a="1"/>
  <c r="Z192" i="1" a="1"/>
  <c r="I192" i="1" a="1"/>
  <c r="U191" i="1" a="1"/>
  <c r="Z189" i="1" a="1"/>
  <c r="I189" i="1" a="1"/>
  <c r="K186" i="1" a="1"/>
  <c r="AD183" i="1" a="1"/>
  <c r="R180" i="1" a="1"/>
  <c r="AE179" i="1" a="1"/>
  <c r="O179" i="1" a="1"/>
  <c r="G177" i="1" a="1"/>
  <c r="T176" i="1" a="1"/>
  <c r="M174" i="1" a="1"/>
  <c r="K173" i="1" a="1"/>
  <c r="W172" i="1" a="1"/>
  <c r="U171" i="1" a="1"/>
  <c r="S170" i="1" a="1"/>
  <c r="P169" i="1" a="1"/>
  <c r="AC168" i="1" a="1"/>
  <c r="M168" i="1" a="1"/>
  <c r="W166" i="1" a="1"/>
  <c r="U165" i="1" a="1"/>
  <c r="S164" i="1" a="1"/>
  <c r="AC162" i="1" a="1"/>
  <c r="K161" i="1" a="1"/>
  <c r="H160" i="1" a="1"/>
  <c r="F159" i="1" a="1"/>
  <c r="S158" i="1" a="1"/>
  <c r="P157" i="1" a="1"/>
  <c r="N156" i="1" a="1"/>
  <c r="L155" i="1" a="1"/>
  <c r="H154" i="1" a="1"/>
  <c r="F153" i="1" a="1"/>
  <c r="S152" i="1" a="1"/>
  <c r="P151" i="1" a="1"/>
  <c r="Z148" i="1" a="1"/>
  <c r="K148" i="1" a="1"/>
  <c r="Y147" i="1" a="1"/>
  <c r="J147" i="1" a="1"/>
  <c r="X146" i="1" a="1"/>
  <c r="I146" i="1" a="1"/>
  <c r="V145" i="1" a="1"/>
  <c r="G145" i="1" a="1"/>
  <c r="U144" i="1" a="1"/>
  <c r="AE141" i="1" a="1"/>
  <c r="P141" i="1" a="1"/>
  <c r="AD140" i="1" a="1"/>
  <c r="O140" i="1" a="1"/>
  <c r="AB139" i="1" a="1"/>
  <c r="M139" i="1" a="1"/>
  <c r="AA138" i="1" a="1"/>
  <c r="L138" i="1" a="1"/>
  <c r="Z137" i="1" a="1"/>
  <c r="K137" i="1" a="1"/>
  <c r="V134" i="1" a="1"/>
  <c r="G134" i="1" a="1"/>
  <c r="T133" i="1" a="1"/>
  <c r="S132" i="1" a="1"/>
  <c r="AB269" i="1" a="1"/>
  <c r="AE268" i="1" a="1"/>
  <c r="H264" i="1" a="1"/>
  <c r="R261" i="1" a="1"/>
  <c r="T260" i="1" a="1"/>
  <c r="Y259" i="1" a="1"/>
  <c r="AA258" i="1" a="1"/>
  <c r="J256" i="1" a="1"/>
  <c r="P254" i="1" a="1"/>
  <c r="V248" i="1" a="1"/>
  <c r="AC247" i="1" a="1"/>
  <c r="L246" i="1" a="1"/>
  <c r="P245" i="1" a="1"/>
  <c r="V244" i="1" a="1"/>
  <c r="M241" i="1" a="1"/>
  <c r="X239" i="1" a="1"/>
  <c r="AD238" i="1" a="1"/>
  <c r="P233" i="1" a="1"/>
  <c r="V232" i="1" a="1"/>
  <c r="AD231" i="1" a="1"/>
  <c r="G231" i="1" a="1"/>
  <c r="O230" i="1" a="1"/>
  <c r="AB228" i="1" a="1"/>
  <c r="S226" i="1" a="1"/>
  <c r="AA225" i="1" a="1"/>
  <c r="N224" i="1" a="1"/>
  <c r="Q221" i="1" a="1"/>
  <c r="L219" i="1" a="1"/>
  <c r="K217" i="1" a="1"/>
  <c r="H215" i="1" a="1"/>
  <c r="M212" i="1" a="1"/>
  <c r="AA208" i="1" a="1"/>
  <c r="Y206" i="1" a="1"/>
  <c r="Y200" i="1" a="1"/>
  <c r="F200" i="1" a="1"/>
  <c r="U197" i="1" a="1"/>
  <c r="Z195" i="1" a="1"/>
  <c r="S191" i="1" a="1"/>
  <c r="AD190" i="1" a="1"/>
  <c r="X189" i="1" a="1"/>
  <c r="G189" i="1" a="1"/>
  <c r="S188" i="1" a="1"/>
  <c r="Z186" i="1" a="1"/>
  <c r="P184" i="1" a="1"/>
  <c r="X182" i="1" a="1"/>
  <c r="H182" i="1" a="1"/>
  <c r="T181" i="1" a="1"/>
  <c r="Y178" i="1" a="1"/>
  <c r="I178" i="1" a="1"/>
  <c r="V177" i="1" a="1"/>
  <c r="R176" i="1" a="1"/>
  <c r="AD175" i="1" a="1"/>
  <c r="AA174" i="1" a="1"/>
  <c r="Y173" i="1" a="1"/>
  <c r="I173" i="1" a="1"/>
  <c r="F172" i="1" a="1"/>
  <c r="AD169" i="1" a="1"/>
  <c r="N169" i="1" a="1"/>
  <c r="K168" i="1" a="1"/>
  <c r="I167" i="1" a="1"/>
  <c r="F166" i="1" a="1"/>
  <c r="N163" i="1" a="1"/>
  <c r="Y161" i="1" a="1"/>
  <c r="V160" i="1" a="1"/>
  <c r="T159" i="1" a="1"/>
  <c r="AD157" i="1" a="1"/>
  <c r="AB156" i="1" a="1"/>
  <c r="Z155" i="1" a="1"/>
  <c r="J155" i="1" a="1"/>
  <c r="V154" i="1" a="1"/>
  <c r="F154" i="1" a="1"/>
  <c r="AB270" i="1" a="1"/>
  <c r="W269" i="1" a="1"/>
  <c r="S260" i="1" a="1"/>
  <c r="M257" i="1" a="1"/>
  <c r="J255" i="1" a="1"/>
  <c r="J253" i="1" a="1"/>
  <c r="I251" i="1" a="1"/>
  <c r="K249" i="1" a="1"/>
  <c r="H248" i="1" a="1"/>
  <c r="J247" i="1" a="1"/>
  <c r="Q238" i="1" a="1"/>
  <c r="S236" i="1" a="1"/>
  <c r="T235" i="1" a="1"/>
  <c r="AA231" i="1" a="1"/>
  <c r="AE230" i="1" a="1"/>
  <c r="J228" i="1" a="1"/>
  <c r="Q225" i="1" a="1"/>
  <c r="R224" i="1" a="1"/>
  <c r="U223" i="1" a="1"/>
  <c r="J220" i="1" a="1"/>
  <c r="X217" i="1" a="1"/>
  <c r="Q213" i="1" a="1"/>
  <c r="T208" i="1" a="1"/>
  <c r="AD206" i="1" a="1"/>
  <c r="J202" i="1" a="1"/>
  <c r="X200" i="1" a="1"/>
  <c r="K199" i="1" a="1"/>
  <c r="T198" i="1" a="1"/>
  <c r="T193" i="1" a="1"/>
  <c r="Q191" i="1" a="1"/>
  <c r="Z190" i="1" a="1"/>
  <c r="F190" i="1" a="1"/>
  <c r="M187" i="1" a="1"/>
  <c r="W186" i="1" a="1"/>
  <c r="M185" i="1" a="1"/>
  <c r="K183" i="1" a="1"/>
  <c r="AE181" i="1" a="1"/>
  <c r="M181" i="1" a="1"/>
  <c r="V180" i="1" a="1"/>
  <c r="N175" i="1" a="1"/>
  <c r="Y174" i="1" a="1"/>
  <c r="G174" i="1" a="1"/>
  <c r="R173" i="1" a="1"/>
  <c r="AA172" i="1" a="1"/>
  <c r="I172" i="1" a="1"/>
  <c r="T171" i="1" a="1"/>
  <c r="AD170" i="1" a="1"/>
  <c r="L170" i="1" a="1"/>
  <c r="W169" i="1" a="1"/>
  <c r="P168" i="1" a="1"/>
  <c r="R166" i="1" a="1"/>
  <c r="AC165" i="1" a="1"/>
  <c r="J165" i="1" a="1"/>
  <c r="U164" i="1" a="1"/>
  <c r="M163" i="1" a="1"/>
  <c r="X162" i="1" a="1"/>
  <c r="P161" i="1" a="1"/>
  <c r="AD158" i="1" a="1"/>
  <c r="L158" i="1" a="1"/>
  <c r="O156" i="1" a="1"/>
  <c r="Q154" i="1" a="1"/>
  <c r="K153" i="1" a="1"/>
  <c r="F152" i="1" a="1"/>
  <c r="R151" i="1" a="1"/>
  <c r="AD150" i="1" a="1"/>
  <c r="Z149" i="1" a="1"/>
  <c r="J149" i="1" a="1"/>
  <c r="F148" i="1" a="1"/>
  <c r="S147" i="1" a="1"/>
  <c r="Q146" i="1" a="1"/>
  <c r="AA144" i="1" a="1"/>
  <c r="Y143" i="1" a="1"/>
  <c r="V142" i="1" a="1"/>
  <c r="T141" i="1" a="1"/>
  <c r="Q140" i="1" a="1"/>
  <c r="N139" i="1" a="1"/>
  <c r="Y137" i="1" a="1"/>
  <c r="G136" i="1" a="1"/>
  <c r="T135" i="1" a="1"/>
  <c r="R134" i="1" a="1"/>
  <c r="AD133" i="1" a="1"/>
  <c r="AB132" i="1" a="1"/>
  <c r="H267" i="1" a="1"/>
  <c r="AA263" i="1" a="1"/>
  <c r="T261" i="1" a="1"/>
  <c r="Q259" i="1" a="1"/>
  <c r="K256" i="1" a="1"/>
  <c r="I254" i="1" a="1"/>
  <c r="I253" i="1" a="1"/>
  <c r="I252" i="1" a="1"/>
  <c r="H250" i="1" a="1"/>
  <c r="J249" i="1" a="1"/>
  <c r="G248" i="1" a="1"/>
  <c r="I246" i="1" a="1"/>
  <c r="M244" i="1" a="1"/>
  <c r="O242" i="1" a="1"/>
  <c r="K241" i="1" a="1"/>
  <c r="L240" i="1" a="1"/>
  <c r="P239" i="1" a="1"/>
  <c r="Q237" i="1" a="1"/>
  <c r="T234" i="1" a="1"/>
  <c r="V233" i="1" a="1"/>
  <c r="J227" i="1" a="1"/>
  <c r="N226" i="1" a="1"/>
  <c r="X222" i="1" a="1"/>
  <c r="AD221" i="1" a="1"/>
  <c r="I220" i="1" a="1"/>
  <c r="K219" i="1" a="1"/>
  <c r="Q218" i="1" a="1"/>
  <c r="Z216" i="1" a="1"/>
  <c r="AE215" i="1" a="1"/>
  <c r="J214" i="1" a="1"/>
  <c r="T212" i="1" a="1"/>
  <c r="AE210" i="1" a="1"/>
  <c r="F210" i="1" a="1"/>
  <c r="M209" i="1" a="1"/>
  <c r="S208" i="1" a="1"/>
  <c r="W207" i="1" a="1"/>
  <c r="AC206" i="1" a="1"/>
  <c r="F206" i="1" a="1"/>
  <c r="K205" i="1" a="1"/>
  <c r="Q204" i="1" a="1"/>
  <c r="Y203" i="1" a="1"/>
  <c r="AE202" i="1" a="1"/>
  <c r="W200" i="1" a="1"/>
  <c r="AE199" i="1" a="1"/>
  <c r="Z197" i="1" a="1"/>
  <c r="F197" i="1" a="1"/>
  <c r="N196" i="1" a="1"/>
  <c r="L194" i="1" a="1"/>
  <c r="H192" i="1" a="1"/>
  <c r="Y190" i="1" a="1"/>
  <c r="N189" i="1" a="1"/>
  <c r="U184" i="1" a="1"/>
  <c r="U182" i="1" a="1"/>
  <c r="L179" i="1" a="1"/>
  <c r="L177" i="1" a="1"/>
  <c r="W176" i="1" a="1"/>
  <c r="M175" i="1" a="1"/>
  <c r="S171" i="1" a="1"/>
  <c r="Y167" i="1" a="1"/>
  <c r="G167" i="1" a="1"/>
  <c r="AE163" i="1" a="1"/>
  <c r="L163" i="1" a="1"/>
  <c r="F162" i="1" a="1"/>
  <c r="R159" i="1" a="1"/>
  <c r="K158" i="1" a="1"/>
  <c r="U157" i="1" a="1"/>
  <c r="F155" i="1" a="1"/>
  <c r="V152" i="1" a="1"/>
  <c r="Q151" i="1" a="1"/>
  <c r="AC150" i="1" a="1"/>
  <c r="M150" i="1" a="1"/>
  <c r="V148" i="1" a="1"/>
  <c r="AC145" i="1" a="1"/>
  <c r="M145" i="1" a="1"/>
  <c r="K144" i="1" a="1"/>
  <c r="I143" i="1" a="1"/>
  <c r="F142" i="1" a="1"/>
  <c r="S141" i="1" a="1"/>
  <c r="AC139" i="1" a="1"/>
  <c r="K138" i="1" a="1"/>
  <c r="I137" i="1" a="1"/>
  <c r="V136" i="1" a="1"/>
  <c r="F136" i="1" a="1"/>
  <c r="N133" i="1" a="1"/>
  <c r="L132" i="1" a="1"/>
  <c r="Z131" i="1" a="1"/>
  <c r="K131" i="1" a="1"/>
  <c r="P124" i="1" a="1"/>
  <c r="P123" i="1" a="1"/>
  <c r="P122" i="1" a="1"/>
  <c r="AC121" i="1" a="1"/>
  <c r="AC120" i="1" a="1"/>
  <c r="AC119" i="1" a="1"/>
  <c r="N118" i="1" a="1"/>
  <c r="N117" i="1" a="1"/>
  <c r="N116" i="1" a="1"/>
  <c r="M115" i="1" a="1"/>
  <c r="M114" i="1" a="1"/>
  <c r="M113" i="1" a="1"/>
  <c r="L112" i="1" a="1"/>
  <c r="L111" i="1" a="1"/>
  <c r="L110" i="1" a="1"/>
  <c r="K109" i="1" a="1"/>
  <c r="K108" i="1" a="1"/>
  <c r="Y107" i="1" a="1"/>
  <c r="X106" i="1" a="1"/>
  <c r="X105" i="1" a="1"/>
  <c r="X104" i="1" a="1"/>
  <c r="W103" i="1" a="1"/>
  <c r="W102" i="1" a="1"/>
  <c r="W101" i="1" a="1"/>
  <c r="V100" i="1" a="1"/>
  <c r="V99" i="1" a="1"/>
  <c r="V98" i="1" a="1"/>
  <c r="G97" i="1" a="1"/>
  <c r="G96" i="1" a="1"/>
  <c r="G95" i="1" a="1"/>
  <c r="F94" i="1" a="1"/>
  <c r="T93" i="1" a="1"/>
  <c r="T92" i="1" a="1"/>
  <c r="S91" i="1" a="1"/>
  <c r="S90" i="1" a="1"/>
  <c r="S89" i="1" a="1"/>
  <c r="R88" i="1" a="1"/>
  <c r="R87" i="1" a="1"/>
  <c r="R86" i="1" a="1"/>
  <c r="Q85" i="1" a="1"/>
  <c r="Q84" i="1" a="1"/>
  <c r="Q83" i="1" a="1"/>
  <c r="P82" i="1" a="1"/>
  <c r="P81" i="1" a="1"/>
  <c r="P80" i="1" a="1"/>
  <c r="AC79" i="1" a="1"/>
  <c r="AC78" i="1" a="1"/>
  <c r="AC77" i="1" a="1"/>
  <c r="N76" i="1" a="1"/>
  <c r="N75" i="1" a="1"/>
  <c r="N74" i="1" a="1"/>
  <c r="M73" i="1" a="1"/>
  <c r="Y270" i="1" a="1"/>
  <c r="V269" i="1" a="1"/>
  <c r="G267" i="1" a="1"/>
  <c r="AC264" i="1" a="1"/>
  <c r="Z263" i="1" a="1"/>
  <c r="W262" i="1" a="1"/>
  <c r="S261" i="1" a="1"/>
  <c r="R260" i="1" a="1"/>
  <c r="P259" i="1" a="1"/>
  <c r="L258" i="1" a="1"/>
  <c r="I255" i="1" a="1"/>
  <c r="H254" i="1" a="1"/>
  <c r="G251" i="1" a="1"/>
  <c r="G250" i="1" a="1"/>
  <c r="F248" i="1" a="1"/>
  <c r="I247" i="1" a="1"/>
  <c r="H246" i="1" a="1"/>
  <c r="K245" i="1" a="1"/>
  <c r="K243" i="1" a="1"/>
  <c r="J241" i="1" a="1"/>
  <c r="M238" i="1" a="1"/>
  <c r="O237" i="1" a="1"/>
  <c r="S235" i="1" a="1"/>
  <c r="Q234" i="1" a="1"/>
  <c r="T233" i="1" a="1"/>
  <c r="X232" i="1" a="1"/>
  <c r="Z231" i="1" a="1"/>
  <c r="G228" i="1" a="1"/>
  <c r="Q224" i="1" a="1"/>
  <c r="AE220" i="1" a="1"/>
  <c r="O213" i="1" a="1"/>
  <c r="S212" i="1" a="1"/>
  <c r="Y211" i="1" a="1"/>
  <c r="J205" i="1" a="1"/>
  <c r="X203" i="1" a="1"/>
  <c r="I202" i="1" a="1"/>
  <c r="V200" i="1" a="1"/>
  <c r="AD199" i="1" a="1"/>
  <c r="J199" i="1" a="1"/>
  <c r="R198" i="1" a="1"/>
  <c r="M196" i="1" a="1"/>
  <c r="V195" i="1" a="1"/>
  <c r="AA192" i="1" a="1"/>
  <c r="G192" i="1" a="1"/>
  <c r="P191" i="1" a="1"/>
  <c r="M189" i="1" a="1"/>
  <c r="W188" i="1" a="1"/>
  <c r="L187" i="1" a="1"/>
  <c r="AE185" i="1" a="1"/>
  <c r="K185" i="1" a="1"/>
  <c r="AC183" i="1" a="1"/>
  <c r="AD181" i="1" a="1"/>
  <c r="J181" i="1" a="1"/>
  <c r="U180" i="1" a="1"/>
  <c r="U178" i="1" a="1"/>
  <c r="V176" i="1" a="1"/>
  <c r="X174" i="1" a="1"/>
  <c r="O270" i="1" a="1"/>
  <c r="G269" i="1" a="1"/>
  <c r="AD267" i="1" a="1"/>
  <c r="R264" i="1" a="1"/>
  <c r="J262" i="1" a="1"/>
  <c r="K260" i="1" a="1"/>
  <c r="AE256" i="1" a="1"/>
  <c r="Z254" i="1" a="1"/>
  <c r="AA252" i="1" a="1"/>
  <c r="AB247" i="1" a="1"/>
  <c r="AD246" i="1" a="1"/>
  <c r="AD245" i="1" a="1"/>
  <c r="AE241" i="1" a="1"/>
  <c r="G235" i="1" a="1"/>
  <c r="J234" i="1" a="1"/>
  <c r="U230" i="1" a="1"/>
  <c r="W229" i="1" a="1"/>
  <c r="AC227" i="1" a="1"/>
  <c r="AB219" i="1" a="1"/>
  <c r="M217" i="1" a="1"/>
  <c r="R216" i="1" a="1"/>
  <c r="AC213" i="1" a="1"/>
  <c r="G213" i="1" a="1"/>
  <c r="K212" i="1" a="1"/>
  <c r="Q211" i="1" a="1"/>
  <c r="W210" i="1" a="1"/>
  <c r="J208" i="1" a="1"/>
  <c r="O207" i="1" a="1"/>
  <c r="AE204" i="1" a="1"/>
  <c r="H204" i="1" a="1"/>
  <c r="X202" i="1" a="1"/>
  <c r="AE201" i="1" a="1"/>
  <c r="X199" i="1" a="1"/>
  <c r="J198" i="1" a="1"/>
  <c r="S197" i="1" a="1"/>
  <c r="AB196" i="1" a="1"/>
  <c r="P195" i="1" a="1"/>
  <c r="R190" i="1" a="1"/>
  <c r="AA189" i="1" a="1"/>
  <c r="F187" i="1" a="1"/>
  <c r="Y185" i="1" a="1"/>
  <c r="M184" i="1" a="1"/>
  <c r="W183" i="1" a="1"/>
  <c r="Y179" i="1" a="1"/>
  <c r="F179" i="1" a="1"/>
  <c r="Y177" i="1" a="1"/>
  <c r="F177" i="1" a="1"/>
  <c r="P176" i="1" a="1"/>
  <c r="Z175" i="1" a="1"/>
  <c r="J173" i="1" a="1"/>
  <c r="T172" i="1" a="1"/>
  <c r="AE171" i="1" a="1"/>
  <c r="M171" i="1" a="1"/>
  <c r="W170" i="1" a="1"/>
  <c r="H168" i="1" a="1"/>
  <c r="AC166" i="1" a="1"/>
  <c r="N164" i="1" a="1"/>
  <c r="G163" i="1" a="1"/>
  <c r="AB161" i="1" a="1"/>
  <c r="I161" i="1" a="1"/>
  <c r="O157" i="1" a="1"/>
  <c r="Z156" i="1" a="1"/>
  <c r="G156" i="1" a="1"/>
  <c r="AB154" i="1" a="1"/>
  <c r="U153" i="1" a="1"/>
  <c r="P152" i="1" a="1"/>
  <c r="AB151" i="1" a="1"/>
  <c r="G150" i="1" a="1"/>
  <c r="T149" i="1" a="1"/>
  <c r="P148" i="1" a="1"/>
  <c r="AC147" i="1" a="1"/>
  <c r="M147" i="1" a="1"/>
  <c r="K146" i="1" a="1"/>
  <c r="H145" i="1" a="1"/>
  <c r="AE142" i="1" a="1"/>
  <c r="O142" i="1" a="1"/>
  <c r="M141" i="1" a="1"/>
  <c r="K140" i="1" a="1"/>
  <c r="H139" i="1" a="1"/>
  <c r="F138" i="1" a="1"/>
  <c r="S137" i="1" a="1"/>
  <c r="P136" i="1" a="1"/>
  <c r="N135" i="1" a="1"/>
  <c r="L134" i="1" a="1"/>
  <c r="I133" i="1" a="1"/>
  <c r="V132" i="1" a="1"/>
  <c r="T271" i="1" a="1"/>
  <c r="J270" i="1" a="1"/>
  <c r="AB267" i="1" a="1"/>
  <c r="Q265" i="1" a="1"/>
  <c r="P264" i="1" a="1"/>
  <c r="H261" i="1" a="1"/>
  <c r="AE258" i="1" a="1"/>
  <c r="AD257" i="1" a="1"/>
  <c r="W254" i="1" a="1"/>
  <c r="X253" i="1" a="1"/>
  <c r="Y251" i="1" a="1"/>
  <c r="X245" i="1" a="1"/>
  <c r="AC243" i="1" a="1"/>
  <c r="AA240" i="1" a="1"/>
  <c r="AC239" i="1" a="1"/>
  <c r="M232" i="1" a="1"/>
  <c r="R230" i="1" a="1"/>
  <c r="S229" i="1" a="1"/>
  <c r="W228" i="1" a="1"/>
  <c r="Z227" i="1" a="1"/>
  <c r="AA226" i="1" a="1"/>
  <c r="AC225" i="1" a="1"/>
  <c r="J223" i="1" a="1"/>
  <c r="M222" i="1" a="1"/>
  <c r="Z219" i="1" a="1"/>
  <c r="J217" i="1" a="1"/>
  <c r="P216" i="1" a="1"/>
  <c r="W214" i="1" a="1"/>
  <c r="AA213" i="1" a="1"/>
  <c r="N211" i="1" a="1"/>
  <c r="AD208" i="1" a="1"/>
  <c r="G208" i="1" a="1"/>
  <c r="AC204" i="1" a="1"/>
  <c r="F204" i="1" a="1"/>
  <c r="N203" i="1" a="1"/>
  <c r="AC201" i="1" a="1"/>
  <c r="G201" i="1" a="1"/>
  <c r="N200" i="1" a="1"/>
  <c r="V199" i="1" a="1"/>
  <c r="M195" i="1" a="1"/>
  <c r="W194" i="1" a="1"/>
  <c r="AD193" i="1" a="1"/>
  <c r="J193" i="1" a="1"/>
  <c r="AA191" i="1" a="1"/>
  <c r="G191" i="1" a="1"/>
  <c r="P190" i="1" a="1"/>
  <c r="N188" i="1" a="1"/>
  <c r="X187" i="1" a="1"/>
  <c r="M186" i="1" a="1"/>
  <c r="AD184" i="1" a="1"/>
  <c r="AE182" i="1" a="1"/>
  <c r="U181" i="1" a="1"/>
  <c r="AE180" i="1" a="1"/>
  <c r="M180" i="1" a="1"/>
  <c r="W179" i="1" a="1"/>
  <c r="W177" i="1" a="1"/>
  <c r="N176" i="1" a="1"/>
  <c r="AA173" i="1" a="1"/>
  <c r="H173" i="1" a="1"/>
  <c r="AC171" i="1" a="1"/>
  <c r="J171" i="1" a="1"/>
  <c r="M169" i="1" a="1"/>
  <c r="X168" i="1" a="1"/>
  <c r="R167" i="1" a="1"/>
  <c r="S165" i="1" a="1"/>
  <c r="AD164" i="1" a="1"/>
  <c r="L164" i="1" a="1"/>
  <c r="W163" i="1" a="1"/>
  <c r="O162" i="1" a="1"/>
  <c r="U158" i="1" a="1"/>
  <c r="AE157" i="1" a="1"/>
  <c r="M157" i="1" a="1"/>
  <c r="P155" i="1" a="1"/>
  <c r="AE152" i="1" a="1"/>
  <c r="R149" i="1" a="1"/>
  <c r="AA147" i="1" a="1"/>
  <c r="Y146" i="1" a="1"/>
  <c r="S144" i="1" a="1"/>
  <c r="Q143" i="1" a="1"/>
  <c r="AC142" i="1" a="1"/>
  <c r="AA141" i="1" a="1"/>
  <c r="Y140" i="1" a="1"/>
  <c r="V139" i="1" a="1"/>
  <c r="T138" i="1" a="1"/>
  <c r="Q137" i="1" a="1"/>
  <c r="AD136" i="1" a="1"/>
  <c r="AB135" i="1" a="1"/>
  <c r="Z134" i="1" a="1"/>
  <c r="W133" i="1" a="1"/>
  <c r="G133" i="1" a="1"/>
  <c r="S131" i="1" a="1"/>
  <c r="G270" i="1" a="1"/>
  <c r="Y268" i="1" a="1"/>
  <c r="S264" i="1" a="1"/>
  <c r="G263" i="1" a="1"/>
  <c r="M259" i="1" a="1"/>
  <c r="W256" i="1" a="1"/>
  <c r="N255" i="1" a="1"/>
  <c r="AE252" i="1" a="1"/>
  <c r="X251" i="1" a="1"/>
  <c r="V245" i="1" a="1"/>
  <c r="P243" i="1" a="1"/>
  <c r="W238" i="1" a="1"/>
  <c r="J267" i="1" a="1"/>
  <c r="AB261" i="1" a="1"/>
  <c r="I259" i="1" a="1"/>
  <c r="AE257" i="1" a="1"/>
  <c r="F254" i="1" a="1"/>
  <c r="Q250" i="1" a="1"/>
  <c r="L249" i="1" a="1"/>
  <c r="AC246" i="1" a="1"/>
  <c r="T244" i="1" a="1"/>
  <c r="J243" i="1" a="1"/>
  <c r="V238" i="1" a="1"/>
  <c r="M237" i="1" a="1"/>
  <c r="K236" i="1" a="1"/>
  <c r="T230" i="1" a="1"/>
  <c r="Q229" i="1" a="1"/>
  <c r="O228" i="1" a="1"/>
  <c r="L227" i="1" a="1"/>
  <c r="AD222" i="1" a="1"/>
  <c r="AC221" i="1" a="1"/>
  <c r="AC220" i="1" a="1"/>
  <c r="AA219" i="1" a="1"/>
  <c r="Y216" i="1" a="1"/>
  <c r="Y215" i="1" a="1"/>
  <c r="W213" i="1" a="1"/>
  <c r="Y212" i="1" a="1"/>
  <c r="V211" i="1" a="1"/>
  <c r="W209" i="1" a="1"/>
  <c r="Y208" i="1" a="1"/>
  <c r="Z207" i="1" a="1"/>
  <c r="H201" i="1" a="1"/>
  <c r="L200" i="1" a="1"/>
  <c r="Z196" i="1" a="1"/>
  <c r="I194" i="1" a="1"/>
  <c r="N193" i="1" a="1"/>
  <c r="S192" i="1" a="1"/>
  <c r="W191" i="1" a="1"/>
  <c r="Y186" i="1" a="1"/>
  <c r="AB185" i="1" a="1"/>
  <c r="F185" i="1" a="1"/>
  <c r="J184" i="1" a="1"/>
  <c r="P183" i="1" a="1"/>
  <c r="V182" i="1" a="1"/>
  <c r="Z181" i="1" a="1"/>
  <c r="P179" i="1" a="1"/>
  <c r="T178" i="1" a="1"/>
  <c r="K176" i="1" a="1"/>
  <c r="R175" i="1" a="1"/>
  <c r="W174" i="1" a="1"/>
  <c r="AD173" i="1" a="1"/>
  <c r="J170" i="1" a="1"/>
  <c r="Y168" i="1" a="1"/>
  <c r="Z165" i="1" a="1"/>
  <c r="F165" i="1" a="1"/>
  <c r="M164" i="1" a="1"/>
  <c r="U163" i="1" a="1"/>
  <c r="O161" i="1" a="1"/>
  <c r="AE159" i="1" a="1"/>
  <c r="K156" i="1" a="1"/>
  <c r="S155" i="1" a="1"/>
  <c r="L151" i="1" a="1"/>
  <c r="AE149" i="1" a="1"/>
  <c r="L149" i="1" a="1"/>
  <c r="W148" i="1" a="1"/>
  <c r="F146" i="1" a="1"/>
  <c r="I144" i="1" a="1"/>
  <c r="T143" i="1" a="1"/>
  <c r="K142" i="1" a="1"/>
  <c r="N140" i="1" a="1"/>
  <c r="F139" i="1" a="1"/>
  <c r="AB137" i="1" a="1"/>
  <c r="J137" i="1" a="1"/>
  <c r="T136" i="1" a="1"/>
  <c r="AE135" i="1" a="1"/>
  <c r="M135" i="1" a="1"/>
  <c r="X134" i="1" a="1"/>
  <c r="Z132" i="1" a="1"/>
  <c r="H132" i="1" a="1"/>
  <c r="AB129" i="1" a="1"/>
  <c r="J128" i="1" a="1"/>
  <c r="G127" i="1" a="1"/>
  <c r="AE124" i="1" a="1"/>
  <c r="N123" i="1" a="1"/>
  <c r="AB122" i="1" a="1"/>
  <c r="M122" i="1" a="1"/>
  <c r="Z121" i="1" a="1"/>
  <c r="K121" i="1" a="1"/>
  <c r="Y120" i="1" a="1"/>
  <c r="J120" i="1" a="1"/>
  <c r="X119" i="1" a="1"/>
  <c r="I119" i="1" a="1"/>
  <c r="R115" i="1" a="1"/>
  <c r="Q114" i="1" a="1"/>
  <c r="AE113" i="1" a="1"/>
  <c r="P113" i="1" a="1"/>
  <c r="AC112" i="1" a="1"/>
  <c r="N112" i="1" a="1"/>
  <c r="AB111" i="1" a="1"/>
  <c r="M111" i="1" a="1"/>
  <c r="AA110" i="1" a="1"/>
  <c r="Y265" i="1" a="1"/>
  <c r="F263" i="1" a="1"/>
  <c r="Z261" i="1" a="1"/>
  <c r="H259" i="1" a="1"/>
  <c r="AC257" i="1" a="1"/>
  <c r="T256" i="1" a="1"/>
  <c r="L255" i="1" a="1"/>
  <c r="V251" i="1" a="1"/>
  <c r="P250" i="1" a="1"/>
  <c r="U239" i="1" a="1"/>
  <c r="AE234" i="1" a="1"/>
  <c r="AB233" i="1" a="1"/>
  <c r="AA232" i="1" a="1"/>
  <c r="W231" i="1" a="1"/>
  <c r="S230" i="1" a="1"/>
  <c r="I227" i="1" a="1"/>
  <c r="AD223" i="1" a="1"/>
  <c r="AA217" i="1" a="1"/>
  <c r="X215" i="1" a="1"/>
  <c r="U214" i="1" a="1"/>
  <c r="X212" i="1" a="1"/>
  <c r="V210" i="1" a="1"/>
  <c r="X207" i="1" a="1"/>
  <c r="X206" i="1" a="1"/>
  <c r="Y205" i="1" a="1"/>
  <c r="AC203" i="1" a="1"/>
  <c r="F202" i="1" a="1"/>
  <c r="K200" i="1" a="1"/>
  <c r="N199" i="1" a="1"/>
  <c r="AD195" i="1" a="1"/>
  <c r="M193" i="1" a="1"/>
  <c r="AB190" i="1" a="1"/>
  <c r="AD189" i="1" a="1"/>
  <c r="L188" i="1" a="1"/>
  <c r="R187" i="1" a="1"/>
  <c r="T182" i="1" a="1"/>
  <c r="I180" i="1" a="1"/>
  <c r="Z177" i="1" a="1"/>
  <c r="I176" i="1" a="1"/>
  <c r="Q175" i="1" a="1"/>
  <c r="O172" i="1" a="1"/>
  <c r="W171" i="1" a="1"/>
  <c r="R169" i="1" a="1"/>
  <c r="L167" i="1" a="1"/>
  <c r="S166" i="1" a="1"/>
  <c r="H162" i="1" a="1"/>
  <c r="AD159" i="1" a="1"/>
  <c r="H159" i="1" a="1"/>
  <c r="P158" i="1" a="1"/>
  <c r="X157" i="1" a="1"/>
  <c r="AE156" i="1" a="1"/>
  <c r="R155" i="1" a="1"/>
  <c r="Y154" i="1" a="1"/>
  <c r="M153" i="1" a="1"/>
  <c r="U152" i="1" a="1"/>
  <c r="AD151" i="1" a="1"/>
  <c r="K151" i="1" a="1"/>
  <c r="U148" i="1" a="1"/>
  <c r="N147" i="1" a="1"/>
  <c r="P145" i="1" a="1"/>
  <c r="Z144" i="1" a="1"/>
  <c r="S143" i="1" a="1"/>
  <c r="AB142" i="1" a="1"/>
  <c r="V141" i="1" a="1"/>
  <c r="X139" i="1" a="1"/>
  <c r="P138" i="1" a="1"/>
  <c r="L135" i="1" a="1"/>
  <c r="O133" i="1" a="1"/>
  <c r="AD130" i="1" a="1"/>
  <c r="N130" i="1" a="1"/>
  <c r="L129" i="1" a="1"/>
  <c r="Y128" i="1" a="1"/>
  <c r="V127" i="1" a="1"/>
  <c r="T126" i="1" a="1"/>
  <c r="R125" i="1" a="1"/>
  <c r="AD124" i="1" a="1"/>
  <c r="O124" i="1" a="1"/>
  <c r="AC123" i="1" a="1"/>
  <c r="V118" i="1" a="1"/>
  <c r="G118" i="1" a="1"/>
  <c r="U117" i="1" a="1"/>
  <c r="F117" i="1" a="1"/>
  <c r="T116" i="1" a="1"/>
  <c r="Z110" i="1" a="1"/>
  <c r="K110" i="1" a="1"/>
  <c r="X109" i="1" a="1"/>
  <c r="N102" i="1" a="1"/>
  <c r="AB101" i="1" a="1"/>
  <c r="M101" i="1" a="1"/>
  <c r="Z100" i="1" a="1"/>
  <c r="K100" i="1" a="1"/>
  <c r="Y99" i="1" a="1"/>
  <c r="J99" i="1" a="1"/>
  <c r="X98" i="1" a="1"/>
  <c r="I98" i="1" a="1"/>
  <c r="U96" i="1" a="1"/>
  <c r="F96" i="1" a="1"/>
  <c r="T95" i="1" a="1"/>
  <c r="I88" i="1" a="1"/>
  <c r="W87" i="1" a="1"/>
  <c r="H87" i="1" a="1"/>
  <c r="V86" i="1" a="1"/>
  <c r="G86" i="1" a="1"/>
  <c r="AD81" i="1" a="1"/>
  <c r="O81" i="1" a="1"/>
  <c r="W76" i="1" a="1"/>
  <c r="H76" i="1" a="1"/>
  <c r="V75" i="1" a="1"/>
  <c r="G75" i="1" a="1"/>
  <c r="U74" i="1" a="1"/>
  <c r="F74" i="1" a="1"/>
  <c r="R72" i="1" a="1"/>
  <c r="R71" i="1" a="1"/>
  <c r="Q70" i="1" a="1"/>
  <c r="Q69" i="1" a="1"/>
  <c r="Q68" i="1" a="1"/>
  <c r="P67" i="1" a="1"/>
  <c r="AE66" i="1" a="1"/>
  <c r="X261" i="1" a="1"/>
  <c r="O250" i="1" a="1"/>
  <c r="H249" i="1" a="1"/>
  <c r="AD247" i="1" a="1"/>
  <c r="Y246" i="1" a="1"/>
  <c r="S245" i="1" a="1"/>
  <c r="S244" i="1" a="1"/>
  <c r="I243" i="1" a="1"/>
  <c r="T238" i="1" a="1"/>
  <c r="L237" i="1" a="1"/>
  <c r="F236" i="1" a="1"/>
  <c r="W232" i="1" a="1"/>
  <c r="V231" i="1" a="1"/>
  <c r="P230" i="1" a="1"/>
  <c r="P229" i="1" a="1"/>
  <c r="L228" i="1" a="1"/>
  <c r="H227" i="1" a="1"/>
  <c r="AB223" i="1" a="1"/>
  <c r="AB222" i="1" a="1"/>
  <c r="X221" i="1" a="1"/>
  <c r="Y218" i="1" a="1"/>
  <c r="T211" i="1" a="1"/>
  <c r="T209" i="1" a="1"/>
  <c r="U207" i="1" a="1"/>
  <c r="X205" i="1" a="1"/>
  <c r="Y204" i="1" a="1"/>
  <c r="AB203" i="1" a="1"/>
  <c r="AD202" i="1" a="1"/>
  <c r="T197" i="1" a="1"/>
  <c r="X196" i="1" a="1"/>
  <c r="AC195" i="1" a="1"/>
  <c r="H194" i="1" a="1"/>
  <c r="L193" i="1" a="1"/>
  <c r="R192" i="1" a="1"/>
  <c r="V191" i="1" a="1"/>
  <c r="AA185" i="1" a="1"/>
  <c r="O183" i="1" a="1"/>
  <c r="AD180" i="1" a="1"/>
  <c r="S178" i="1" a="1"/>
  <c r="AE176" i="1" a="1"/>
  <c r="H176" i="1" a="1"/>
  <c r="V174" i="1" a="1"/>
  <c r="AC173" i="1" a="1"/>
  <c r="G173" i="1" a="1"/>
  <c r="AC170" i="1" a="1"/>
  <c r="H170" i="1" a="1"/>
  <c r="Y165" i="1" a="1"/>
  <c r="AB162" i="1" a="1"/>
  <c r="N161" i="1" a="1"/>
  <c r="U160" i="1" a="1"/>
  <c r="AC159" i="1" a="1"/>
  <c r="I156" i="1" a="1"/>
  <c r="L153" i="1" a="1"/>
  <c r="J151" i="1" a="1"/>
  <c r="S150" i="1" a="1"/>
  <c r="AD149" i="1" a="1"/>
  <c r="K149" i="1" a="1"/>
  <c r="W146" i="1" a="1"/>
  <c r="H144" i="1" a="1"/>
  <c r="R143" i="1" a="1"/>
  <c r="J142" i="1" a="1"/>
  <c r="AE140" i="1" a="1"/>
  <c r="M140" i="1" a="1"/>
  <c r="W139" i="1" a="1"/>
  <c r="AA137" i="1" a="1"/>
  <c r="H137" i="1" a="1"/>
  <c r="S136" i="1" a="1"/>
  <c r="AD135" i="1" a="1"/>
  <c r="W134" i="1" a="1"/>
  <c r="Y132" i="1" a="1"/>
  <c r="G132" i="1" a="1"/>
  <c r="R131" i="1" a="1"/>
  <c r="AC130" i="1" a="1"/>
  <c r="AA129" i="1" a="1"/>
  <c r="K129" i="1" a="1"/>
  <c r="I128" i="1" a="1"/>
  <c r="F127" i="1" a="1"/>
  <c r="Q125" i="1" a="1"/>
  <c r="AB123" i="1" a="1"/>
  <c r="M123" i="1" a="1"/>
  <c r="AA122" i="1" a="1"/>
  <c r="L122" i="1" a="1"/>
  <c r="Y121" i="1" a="1"/>
  <c r="J121" i="1" a="1"/>
  <c r="X120" i="1" a="1"/>
  <c r="I120" i="1" a="1"/>
  <c r="W119" i="1" a="1"/>
  <c r="H119" i="1" a="1"/>
  <c r="S116" i="1" a="1"/>
  <c r="Q115" i="1" a="1"/>
  <c r="AE114" i="1" a="1"/>
  <c r="P114" i="1" a="1"/>
  <c r="AD113" i="1" a="1"/>
  <c r="O113" i="1" a="1"/>
  <c r="AB112" i="1" a="1"/>
  <c r="M112" i="1" a="1"/>
  <c r="AA111" i="1" a="1"/>
  <c r="W109" i="1" a="1"/>
  <c r="H109" i="1" a="1"/>
  <c r="V108" i="1" a="1"/>
  <c r="G108" i="1" a="1"/>
  <c r="U107" i="1" a="1"/>
  <c r="F107" i="1" a="1"/>
  <c r="S106" i="1" a="1"/>
  <c r="R105" i="1" a="1"/>
  <c r="Q104" i="1" a="1"/>
  <c r="AD103" i="1" a="1"/>
  <c r="T266" i="1" a="1"/>
  <c r="AD263" i="1" a="1"/>
  <c r="S262" i="1" a="1"/>
  <c r="K261" i="1" a="1"/>
  <c r="AD259" i="1" a="1"/>
  <c r="X270" i="1" a="1"/>
  <c r="H265" i="1" a="1"/>
  <c r="N262" i="1" a="1"/>
  <c r="AB259" i="1" a="1"/>
  <c r="V258" i="1" a="1"/>
  <c r="J257" i="1" a="1"/>
  <c r="AA249" i="1" a="1"/>
  <c r="G246" i="1" a="1"/>
  <c r="AA243" i="1" a="1"/>
  <c r="Q241" i="1" a="1"/>
  <c r="I240" i="1" a="1"/>
  <c r="U235" i="1" a="1"/>
  <c r="J233" i="1" a="1"/>
  <c r="F231" i="1" a="1"/>
  <c r="AA227" i="1" a="1"/>
  <c r="W226" i="1" a="1"/>
  <c r="V225" i="1" a="1"/>
  <c r="N223" i="1" a="1"/>
  <c r="M221" i="1" a="1"/>
  <c r="M220" i="1" a="1"/>
  <c r="J219" i="1" a="1"/>
  <c r="K216" i="1" a="1"/>
  <c r="J215" i="1" a="1"/>
  <c r="G214" i="1" a="1"/>
  <c r="H213" i="1" a="1"/>
  <c r="H212" i="1" a="1"/>
  <c r="H210" i="1" a="1"/>
  <c r="H209" i="1" a="1"/>
  <c r="I208" i="1" a="1"/>
  <c r="I207" i="1" a="1"/>
  <c r="J206" i="1" a="1"/>
  <c r="L205" i="1" a="1"/>
  <c r="L204" i="1" a="1"/>
  <c r="O203" i="1" a="1"/>
  <c r="AD198" i="1" a="1"/>
  <c r="L196" i="1" a="1"/>
  <c r="R195" i="1" a="1"/>
  <c r="T194" i="1" a="1"/>
  <c r="Z193" i="1" a="1"/>
  <c r="AD192" i="1" a="1"/>
  <c r="J191" i="1" a="1"/>
  <c r="N190" i="1" a="1"/>
  <c r="S189" i="1" a="1"/>
  <c r="Y188" i="1" a="1"/>
  <c r="P185" i="1" a="1"/>
  <c r="V184" i="1" a="1"/>
  <c r="O181" i="1" a="1"/>
  <c r="S180" i="1" a="1"/>
  <c r="Z179" i="1" a="1"/>
  <c r="AE178" i="1" a="1"/>
  <c r="P177" i="1" a="1"/>
  <c r="L174" i="1" a="1"/>
  <c r="T170" i="1" a="1"/>
  <c r="V167" i="1" a="1"/>
  <c r="G166" i="1" a="1"/>
  <c r="P165" i="1" a="1"/>
  <c r="J163" i="1" a="1"/>
  <c r="R162" i="1" a="1"/>
  <c r="K160" i="1" a="1"/>
  <c r="S159" i="1" a="1"/>
  <c r="AA158" i="1" a="1"/>
  <c r="AC155" i="1" a="1"/>
  <c r="G155" i="1" a="1"/>
  <c r="L152" i="1" a="1"/>
  <c r="AA266" i="1" a="1"/>
  <c r="G265" i="1" a="1"/>
  <c r="R263" i="1" a="1"/>
  <c r="U261" i="1" a="1"/>
  <c r="AC256" i="1" a="1"/>
  <c r="Q252" i="1" a="1"/>
  <c r="S249" i="1" a="1"/>
  <c r="T246" i="1" a="1"/>
  <c r="AD243" i="1" a="1"/>
  <c r="F241" i="1" a="1"/>
  <c r="H238" i="1" a="1"/>
  <c r="AA236" i="1" a="1"/>
  <c r="AC232" i="1" a="1"/>
  <c r="P231" i="1" a="1"/>
  <c r="Y227" i="1" a="1"/>
  <c r="Q226" i="1" a="1"/>
  <c r="AA223" i="1" a="1"/>
  <c r="O215" i="1" a="1"/>
  <c r="R209" i="1" a="1"/>
  <c r="N208" i="1" a="1"/>
  <c r="L207" i="1" a="1"/>
  <c r="I206" i="1" a="1"/>
  <c r="AD201" i="1" a="1"/>
  <c r="AB199" i="1" a="1"/>
  <c r="AA197" i="1" a="1"/>
  <c r="AA196" i="1" a="1"/>
  <c r="AC190" i="1" a="1"/>
  <c r="AC188" i="1" a="1"/>
  <c r="AD187" i="1" a="1"/>
  <c r="AE186" i="1" a="1"/>
  <c r="G185" i="1" a="1"/>
  <c r="H183" i="1" a="1"/>
  <c r="N181" i="1" a="1"/>
  <c r="O180" i="1" a="1"/>
  <c r="R178" i="1" a="1"/>
  <c r="X176" i="1" a="1"/>
  <c r="F173" i="1" a="1"/>
  <c r="J172" i="1" a="1"/>
  <c r="X169" i="1" a="1"/>
  <c r="AE167" i="1" a="1"/>
  <c r="F167" i="1" a="1"/>
  <c r="J166" i="1" a="1"/>
  <c r="Y163" i="1" a="1"/>
  <c r="AE161" i="1" a="1"/>
  <c r="G161" i="1" a="1"/>
  <c r="R270" i="1" a="1"/>
  <c r="V268" i="1" a="1"/>
  <c r="U268" i="1" a="1"/>
  <c r="X266" i="1" a="1"/>
  <c r="K263" i="1" a="1"/>
  <c r="Q261" i="1" a="1"/>
  <c r="K258" i="1" a="1"/>
  <c r="F255" i="1" a="1"/>
  <c r="P249" i="1" a="1"/>
  <c r="R246" i="1" a="1"/>
  <c r="G245" i="1" a="1"/>
  <c r="Y243" i="1" a="1"/>
  <c r="F238" i="1" a="1"/>
  <c r="X236" i="1" a="1"/>
  <c r="N235" i="1" a="1"/>
  <c r="M231" i="1" a="1"/>
  <c r="T227" i="1" a="1"/>
  <c r="G225" i="1" a="1"/>
  <c r="Y223" i="1" a="1"/>
  <c r="AB217" i="1" a="1"/>
  <c r="S216" i="1" a="1"/>
  <c r="N215" i="1" a="1"/>
  <c r="H214" i="1" a="1"/>
  <c r="AE212" i="1" a="1"/>
  <c r="AB211" i="1" a="1"/>
  <c r="AC202" i="1" a="1"/>
  <c r="Y199" i="1" a="1"/>
  <c r="X197" i="1" a="1"/>
  <c r="V196" i="1" a="1"/>
  <c r="X195" i="1" a="1"/>
  <c r="X194" i="1" a="1"/>
  <c r="Y193" i="1" a="1"/>
  <c r="X192" i="1" a="1"/>
  <c r="W189" i="1" a="1"/>
  <c r="AB187" i="1" a="1"/>
  <c r="AD186" i="1" a="1"/>
  <c r="G183" i="1" a="1"/>
  <c r="I182" i="1" a="1"/>
  <c r="P178" i="1" a="1"/>
  <c r="U176" i="1" a="1"/>
  <c r="Y175" i="1" a="1"/>
  <c r="AB174" i="1" a="1"/>
  <c r="H172" i="1" a="1"/>
  <c r="Q170" i="1" a="1"/>
  <c r="V169" i="1" a="1"/>
  <c r="Z168" i="1" a="1"/>
  <c r="AD167" i="1" a="1"/>
  <c r="H166" i="1" a="1"/>
  <c r="M165" i="1" a="1"/>
  <c r="Q164" i="1" a="1"/>
  <c r="AD161" i="1" a="1"/>
  <c r="F161" i="1" a="1"/>
  <c r="N159" i="1" a="1"/>
  <c r="R158" i="1" a="1"/>
  <c r="AD155" i="1" a="1"/>
  <c r="I154" i="1" a="1"/>
  <c r="R152" i="1" a="1"/>
  <c r="Y151" i="1" a="1"/>
  <c r="O147" i="1" a="1"/>
  <c r="U146" i="1" a="1"/>
  <c r="AD145" i="1" a="1"/>
  <c r="AA143" i="1" a="1"/>
  <c r="G143" i="1" a="1"/>
  <c r="N142" i="1" a="1"/>
  <c r="J140" i="1" a="1"/>
  <c r="Z138" i="1" a="1"/>
  <c r="G138" i="1" a="1"/>
  <c r="O137" i="1" a="1"/>
  <c r="Y136" i="1" a="1"/>
  <c r="K135" i="1" a="1"/>
  <c r="T134" i="1" a="1"/>
  <c r="Q130" i="1" a="1"/>
  <c r="U128" i="1" a="1"/>
  <c r="O127" i="1" a="1"/>
  <c r="Z126" i="1" a="1"/>
  <c r="I126" i="1" a="1"/>
  <c r="U125" i="1" a="1"/>
  <c r="M124" i="1" a="1"/>
  <c r="I123" i="1" a="1"/>
  <c r="AB120" i="1" a="1"/>
  <c r="F119" i="1" a="1"/>
  <c r="R118" i="1" a="1"/>
  <c r="AD117" i="1" a="1"/>
  <c r="M117" i="1" a="1"/>
  <c r="I116" i="1" a="1"/>
  <c r="U115" i="1" a="1"/>
  <c r="O114" i="1" a="1"/>
  <c r="AA113" i="1" a="1"/>
  <c r="V112" i="1" a="1"/>
  <c r="AD110" i="1" a="1"/>
  <c r="G109" i="1" a="1"/>
  <c r="T108" i="1" a="1"/>
  <c r="Q107" i="1" a="1"/>
  <c r="AC106" i="1" a="1"/>
  <c r="M106" i="1" a="1"/>
  <c r="I105" i="1" a="1"/>
  <c r="V104" i="1" a="1"/>
  <c r="F104" i="1" a="1"/>
  <c r="R103" i="1" a="1"/>
  <c r="P102" i="1" a="1"/>
  <c r="AC101" i="1" a="1"/>
  <c r="J100" i="1" a="1"/>
  <c r="H99" i="1" a="1"/>
  <c r="U98" i="1" a="1"/>
  <c r="P96" i="1" a="1"/>
  <c r="N95" i="1" a="1"/>
  <c r="K94" i="1" a="1"/>
  <c r="I93" i="1" a="1"/>
  <c r="AD89" i="1" a="1"/>
  <c r="AA88" i="1" a="1"/>
  <c r="Y87" i="1" a="1"/>
  <c r="I87" i="1" a="1"/>
  <c r="O83" i="1" a="1"/>
  <c r="AB82" i="1" a="1"/>
  <c r="L82" i="1" a="1"/>
  <c r="J81" i="1" a="1"/>
  <c r="H80" i="1" a="1"/>
  <c r="P77" i="1" a="1"/>
  <c r="AC76" i="1" a="1"/>
  <c r="M76" i="1" a="1"/>
  <c r="K75" i="1" a="1"/>
  <c r="I74" i="1" a="1"/>
  <c r="F73" i="1" a="1"/>
  <c r="AA66" i="1" a="1"/>
  <c r="M66" i="1" a="1"/>
  <c r="AB65" i="1" a="1"/>
  <c r="N65" i="1" a="1"/>
  <c r="AB64" i="1" a="1"/>
  <c r="N64" i="1" a="1"/>
  <c r="AC63" i="1" a="1"/>
  <c r="O63" i="1" a="1"/>
  <c r="AD62" i="1" a="1"/>
  <c r="P62" i="1" a="1"/>
  <c r="AD61" i="1" a="1"/>
  <c r="P61" i="1" a="1"/>
  <c r="AE60" i="1" a="1"/>
  <c r="Q60" i="1" a="1"/>
  <c r="R59" i="1" a="1"/>
  <c r="R58" i="1" a="1"/>
  <c r="S57" i="1" a="1"/>
  <c r="T56" i="1" a="1"/>
  <c r="F56" i="1" a="1"/>
  <c r="T55" i="1" a="1"/>
  <c r="F55" i="1" a="1"/>
  <c r="U54" i="1" a="1"/>
  <c r="G54" i="1" a="1"/>
  <c r="V53" i="1" a="1"/>
  <c r="H53" i="1" a="1"/>
  <c r="V52" i="1" a="1"/>
  <c r="H52" i="1" a="1"/>
  <c r="W51" i="1" a="1"/>
  <c r="I51" i="1" a="1"/>
  <c r="X50" i="1" a="1"/>
  <c r="J50" i="1" a="1"/>
  <c r="X49" i="1" a="1"/>
  <c r="J49" i="1" a="1"/>
  <c r="Y48" i="1" a="1"/>
  <c r="K48" i="1" a="1"/>
  <c r="Z47" i="1" a="1"/>
  <c r="L47" i="1" a="1"/>
  <c r="Z46" i="1" a="1"/>
  <c r="L46" i="1" a="1"/>
  <c r="AA45" i="1" a="1"/>
  <c r="M45" i="1" a="1"/>
  <c r="AB44" i="1" a="1"/>
  <c r="N44" i="1" a="1"/>
  <c r="AB43" i="1" a="1"/>
  <c r="N43" i="1" a="1"/>
  <c r="AC42" i="1" a="1"/>
  <c r="O42" i="1" a="1"/>
  <c r="AD41" i="1" a="1"/>
  <c r="P41" i="1" a="1"/>
  <c r="AD40" i="1" a="1"/>
  <c r="P40" i="1" a="1"/>
  <c r="AE39" i="1" a="1"/>
  <c r="Q39" i="1" a="1"/>
  <c r="R38" i="1" a="1"/>
  <c r="R37" i="1" a="1"/>
  <c r="S36" i="1" a="1"/>
  <c r="T35" i="1" a="1"/>
  <c r="F35" i="1" a="1"/>
  <c r="T34" i="1" a="1"/>
  <c r="F34" i="1" a="1"/>
  <c r="U33" i="1" a="1"/>
  <c r="G33" i="1" a="1"/>
  <c r="V32" i="1" a="1"/>
  <c r="H32" i="1" a="1"/>
  <c r="V31" i="1" a="1"/>
  <c r="H31" i="1" a="1"/>
  <c r="W30" i="1" a="1"/>
  <c r="I30" i="1" a="1"/>
  <c r="X29" i="1" a="1"/>
  <c r="J29" i="1" a="1"/>
  <c r="X28" i="1" a="1"/>
  <c r="J28" i="1" a="1"/>
  <c r="Y27" i="1" a="1"/>
  <c r="K27" i="1" a="1"/>
  <c r="Z26" i="1" a="1"/>
  <c r="L26" i="1" a="1"/>
  <c r="Z25" i="1" a="1"/>
  <c r="L25" i="1" a="1"/>
  <c r="AA24" i="1" a="1"/>
  <c r="M24" i="1" a="1"/>
  <c r="AB23" i="1" a="1"/>
  <c r="N23" i="1" a="1"/>
  <c r="AB22" i="1" a="1"/>
  <c r="N22" i="1" a="1"/>
  <c r="AC21" i="1" a="1"/>
  <c r="O21" i="1" a="1"/>
  <c r="AD20" i="1" a="1"/>
  <c r="P20" i="1" a="1"/>
  <c r="AD19" i="1" a="1"/>
  <c r="P19" i="1" a="1"/>
  <c r="AE18" i="1" a="1"/>
  <c r="Q18" i="1" a="1"/>
  <c r="R17" i="1" a="1"/>
  <c r="R16" i="1" a="1"/>
  <c r="S15" i="1" a="1"/>
  <c r="T14" i="1" a="1"/>
  <c r="F14" i="1" a="1"/>
  <c r="T13" i="1" a="1"/>
  <c r="F13" i="1" a="1"/>
  <c r="U12" i="1" a="1"/>
  <c r="G12" i="1" a="1"/>
  <c r="V11" i="1" a="1"/>
  <c r="H11" i="1" a="1"/>
  <c r="V10" i="1" a="1"/>
  <c r="H10" i="1" a="1"/>
  <c r="W9" i="1" a="1"/>
  <c r="I9" i="1" a="1"/>
  <c r="X8" i="1" a="1"/>
  <c r="J8" i="1" a="1"/>
  <c r="N270" i="1" a="1"/>
  <c r="U266" i="1" a="1"/>
  <c r="AE264" i="1" a="1"/>
  <c r="H263" i="1" a="1"/>
  <c r="P261" i="1" a="1"/>
  <c r="AC259" i="1" a="1"/>
  <c r="Z256" i="1" a="1"/>
  <c r="W253" i="1" a="1"/>
  <c r="K252" i="1" a="1"/>
  <c r="AB250" i="1" a="1"/>
  <c r="K242" i="1" a="1"/>
  <c r="R239" i="1" a="1"/>
  <c r="L235" i="1" a="1"/>
  <c r="AE233" i="1" a="1"/>
  <c r="U232" i="1" a="1"/>
  <c r="G230" i="1" a="1"/>
  <c r="O226" i="1" a="1"/>
  <c r="AE224" i="1" a="1"/>
  <c r="X223" i="1" a="1"/>
  <c r="L221" i="1" a="1"/>
  <c r="AE218" i="1" a="1"/>
  <c r="M215" i="1" a="1"/>
  <c r="R210" i="1" a="1"/>
  <c r="P209" i="1" a="1"/>
  <c r="L208" i="1" a="1"/>
  <c r="AA201" i="1" a="1"/>
  <c r="X198" i="1" a="1"/>
  <c r="U196" i="1" a="1"/>
  <c r="U195" i="1" a="1"/>
  <c r="X191" i="1" a="1"/>
  <c r="Z188" i="1" a="1"/>
  <c r="AC186" i="1" a="1"/>
  <c r="AD185" i="1" a="1"/>
  <c r="I181" i="1" a="1"/>
  <c r="N179" i="1" a="1"/>
  <c r="R177" i="1" a="1"/>
  <c r="S176" i="1" a="1"/>
  <c r="X175" i="1" a="1"/>
  <c r="AB173" i="1" a="1"/>
  <c r="G172" i="1" a="1"/>
  <c r="L171" i="1" a="1"/>
  <c r="W168" i="1" a="1"/>
  <c r="AC167" i="1" a="1"/>
  <c r="P164" i="1" a="1"/>
  <c r="Y162" i="1" a="1"/>
  <c r="I160" i="1" a="1"/>
  <c r="Q158" i="1" a="1"/>
  <c r="S157" i="1" a="1"/>
  <c r="X156" i="1" a="1"/>
  <c r="G154" i="1" a="1"/>
  <c r="N153" i="1" a="1"/>
  <c r="X151" i="1" a="1"/>
  <c r="J150" i="1" a="1"/>
  <c r="AA148" i="1" a="1"/>
  <c r="L147" i="1" a="1"/>
  <c r="AB145" i="1" a="1"/>
  <c r="I145" i="1" a="1"/>
  <c r="Q144" i="1" a="1"/>
  <c r="M142" i="1" a="1"/>
  <c r="W141" i="1" a="1"/>
  <c r="AC140" i="1" a="1"/>
  <c r="I140" i="1" a="1"/>
  <c r="Q139" i="1" a="1"/>
  <c r="X136" i="1" a="1"/>
  <c r="AA133" i="1" a="1"/>
  <c r="Y131" i="1" a="1"/>
  <c r="F131" i="1" a="1"/>
  <c r="I129" i="1" a="1"/>
  <c r="Y123" i="1" a="1"/>
  <c r="U122" i="1" a="1"/>
  <c r="P121" i="1" a="1"/>
  <c r="K120" i="1" a="1"/>
  <c r="V119" i="1" a="1"/>
  <c r="Q118" i="1" a="1"/>
  <c r="Y116" i="1" a="1"/>
  <c r="J113" i="1" a="1"/>
  <c r="U112" i="1" a="1"/>
  <c r="Q111" i="1" a="1"/>
  <c r="M110" i="1" a="1"/>
  <c r="Y105" i="1" a="1"/>
  <c r="AE102" i="1" a="1"/>
  <c r="Y100" i="1" a="1"/>
  <c r="W99" i="1" a="1"/>
  <c r="G99" i="1" a="1"/>
  <c r="R97" i="1" a="1"/>
  <c r="AE96" i="1" a="1"/>
  <c r="AC95" i="1" a="1"/>
  <c r="Z94" i="1" a="1"/>
  <c r="X93" i="1" a="1"/>
  <c r="V92" i="1" a="1"/>
  <c r="F92" i="1" a="1"/>
  <c r="R91" i="1" a="1"/>
  <c r="P90" i="1" a="1"/>
  <c r="N89" i="1" a="1"/>
  <c r="K88" i="1" a="1"/>
  <c r="X87" i="1" a="1"/>
  <c r="F86" i="1" a="1"/>
  <c r="S85" i="1" a="1"/>
  <c r="AD83" i="1" a="1"/>
  <c r="AA82" i="1" a="1"/>
  <c r="Y81" i="1" a="1"/>
  <c r="W80" i="1" a="1"/>
  <c r="T79" i="1" a="1"/>
  <c r="R78" i="1" a="1"/>
  <c r="AE77" i="1" a="1"/>
  <c r="AB76" i="1" a="1"/>
  <c r="Z75" i="1" a="1"/>
  <c r="X74" i="1" a="1"/>
  <c r="U73" i="1" a="1"/>
  <c r="S72" i="1" a="1"/>
  <c r="AE70" i="1" a="1"/>
  <c r="P70" i="1" a="1"/>
  <c r="AD69" i="1" a="1"/>
  <c r="O69" i="1" a="1"/>
  <c r="AC68" i="1" a="1"/>
  <c r="N68" i="1" a="1"/>
  <c r="AA67" i="1" a="1"/>
  <c r="L67" i="1" a="1"/>
  <c r="K270" i="1" a="1"/>
  <c r="J268" i="1" a="1"/>
  <c r="S266" i="1" a="1"/>
  <c r="AA259" i="1" a="1"/>
  <c r="I258" i="1" a="1"/>
  <c r="AE254" i="1" a="1"/>
  <c r="J252" i="1" a="1"/>
  <c r="AA250" i="1" a="1"/>
  <c r="Q246" i="1" a="1"/>
  <c r="W243" i="1" a="1"/>
  <c r="J242" i="1" a="1"/>
  <c r="X240" i="1" a="1"/>
  <c r="M239" i="1" a="1"/>
  <c r="W236" i="1" a="1"/>
  <c r="J235" i="1" a="1"/>
  <c r="AD233" i="1" a="1"/>
  <c r="L231" i="1" a="1"/>
  <c r="F230" i="1" a="1"/>
  <c r="M226" i="1" a="1"/>
  <c r="W223" i="1" a="1"/>
  <c r="F220" i="1" a="1"/>
  <c r="AD218" i="1" a="1"/>
  <c r="Y217" i="1" a="1"/>
  <c r="AA211" i="1" a="1"/>
  <c r="H207" i="1" a="1"/>
  <c r="AD204" i="1" a="1"/>
  <c r="AB202" i="1" a="1"/>
  <c r="AA200" i="1" a="1"/>
  <c r="V197" i="1" a="1"/>
  <c r="U194" i="1" a="1"/>
  <c r="X193" i="1" a="1"/>
  <c r="W192" i="1" a="1"/>
  <c r="V190" i="1" a="1"/>
  <c r="V189" i="1" a="1"/>
  <c r="AC184" i="1" a="1"/>
  <c r="F183" i="1" a="1"/>
  <c r="G182" i="1" a="1"/>
  <c r="K179" i="1" a="1"/>
  <c r="N178" i="1" a="1"/>
  <c r="O170" i="1" a="1"/>
  <c r="T169" i="1" a="1"/>
  <c r="AB167" i="1" a="1"/>
  <c r="L165" i="1" a="1"/>
  <c r="S163" i="1" a="1"/>
  <c r="AC161" i="1" a="1"/>
  <c r="G160" i="1" a="1"/>
  <c r="M159" i="1" a="1"/>
  <c r="O158" i="1" a="1"/>
  <c r="W156" i="1" a="1"/>
  <c r="Q152" i="1" a="1"/>
  <c r="AE150" i="1" a="1"/>
  <c r="Q149" i="1" a="1"/>
  <c r="K147" i="1" a="1"/>
  <c r="T146" i="1" a="1"/>
  <c r="Z143" i="1" a="1"/>
  <c r="U141" i="1" a="1"/>
  <c r="Y138" i="1" a="1"/>
  <c r="N137" i="1" a="1"/>
  <c r="J135" i="1" a="1"/>
  <c r="S134" i="1" a="1"/>
  <c r="F133" i="1" a="1"/>
  <c r="O132" i="1" a="1"/>
  <c r="X131" i="1" a="1"/>
  <c r="P130" i="1" a="1"/>
  <c r="Z129" i="1" a="1"/>
  <c r="T128" i="1" a="1"/>
  <c r="AE127" i="1" a="1"/>
  <c r="Y126" i="1" a="1"/>
  <c r="H126" i="1" a="1"/>
  <c r="T125" i="1" a="1"/>
  <c r="AC124" i="1" a="1"/>
  <c r="L124" i="1" a="1"/>
  <c r="H123" i="1" a="1"/>
  <c r="O121" i="1" a="1"/>
  <c r="AA120" i="1" a="1"/>
  <c r="AC117" i="1" a="1"/>
  <c r="L117" i="1" a="1"/>
  <c r="H116" i="1" a="1"/>
  <c r="M271" i="1" a="1"/>
  <c r="Z267" i="1" a="1"/>
  <c r="F266" i="1" a="1"/>
  <c r="L264" i="1" a="1"/>
  <c r="AD260" i="1" a="1"/>
  <c r="O259" i="1" a="1"/>
  <c r="F256" i="1" a="1"/>
  <c r="T254" i="1" a="1"/>
  <c r="Z251" i="1" a="1"/>
  <c r="X244" i="1" a="1"/>
  <c r="Z241" i="1" a="1"/>
  <c r="L236" i="1" a="1"/>
  <c r="AA234" i="1" a="1"/>
  <c r="F227" i="1" a="1"/>
  <c r="Z225" i="1" a="1"/>
  <c r="L223" i="1" a="1"/>
  <c r="AD220" i="1" a="1"/>
  <c r="V219" i="1" a="1"/>
  <c r="L217" i="1" a="1"/>
  <c r="F216" i="1" a="1"/>
  <c r="X213" i="1" a="1"/>
  <c r="Q212" i="1" a="1"/>
  <c r="M211" i="1" a="1"/>
  <c r="J210" i="1" a="1"/>
  <c r="Z206" i="1" a="1"/>
  <c r="S204" i="1" a="1"/>
  <c r="Q203" i="1" a="1"/>
  <c r="R202" i="1" a="1"/>
  <c r="P201" i="1" a="1"/>
  <c r="M199" i="1" a="1"/>
  <c r="M197" i="1" a="1"/>
  <c r="L195" i="1" a="1"/>
  <c r="N194" i="1" a="1"/>
  <c r="K193" i="1" a="1"/>
  <c r="L192" i="1" a="1"/>
  <c r="M191" i="1" a="1"/>
  <c r="P189" i="1" a="1"/>
  <c r="P188" i="1" a="1"/>
  <c r="Q187" i="1" a="1"/>
  <c r="R186" i="1" a="1"/>
  <c r="S185" i="1" a="1"/>
  <c r="AA182" i="1" a="1"/>
  <c r="AD179" i="1" a="1"/>
  <c r="F178" i="1" a="1"/>
  <c r="I177" i="1" a="1"/>
  <c r="L176" i="1" a="1"/>
  <c r="L175" i="1" a="1"/>
  <c r="P174" i="1" a="1"/>
  <c r="U173" i="1" a="1"/>
  <c r="AB171" i="1" a="1"/>
  <c r="Q168" i="1" a="1"/>
  <c r="AD165" i="1" a="1"/>
  <c r="AE164" i="1" a="1"/>
  <c r="P162" i="1" a="1"/>
  <c r="K157" i="1" a="1"/>
  <c r="U154" i="1" a="1"/>
  <c r="AA153" i="1" a="1"/>
  <c r="K152" i="1" a="1"/>
  <c r="I149" i="1" a="1"/>
  <c r="R148" i="1" a="1"/>
  <c r="N146" i="1" a="1"/>
  <c r="AE144" i="1" a="1"/>
  <c r="N141" i="1" a="1"/>
  <c r="W140" i="1" a="1"/>
  <c r="AE139" i="1" a="1"/>
  <c r="S138" i="1" a="1"/>
  <c r="F137" i="1" a="1"/>
  <c r="O136" i="1" a="1"/>
  <c r="M134" i="1" a="1"/>
  <c r="I132" i="1" a="1"/>
  <c r="Q131" i="1" a="1"/>
  <c r="I130" i="1" a="1"/>
  <c r="S126" i="1" a="1"/>
  <c r="X124" i="1" a="1"/>
  <c r="T123" i="1" a="1"/>
  <c r="O122" i="1" a="1"/>
  <c r="U120" i="1" a="1"/>
  <c r="AB118" i="1" a="1"/>
  <c r="X117" i="1" a="1"/>
  <c r="R116" i="1" a="1"/>
  <c r="AD115" i="1" a="1"/>
  <c r="I114" i="1" a="1"/>
  <c r="U113" i="1" a="1"/>
  <c r="P112" i="1" a="1"/>
  <c r="J111" i="1" a="1"/>
  <c r="V110" i="1" a="1"/>
  <c r="K107" i="1" a="1"/>
  <c r="AA103" i="1" a="1"/>
  <c r="Y102" i="1" a="1"/>
  <c r="G101" i="1" a="1"/>
  <c r="O98" i="1" a="1"/>
  <c r="AB97" i="1" a="1"/>
  <c r="Z96" i="1" a="1"/>
  <c r="X95" i="1" a="1"/>
  <c r="U94" i="1" a="1"/>
  <c r="R93" i="1" a="1"/>
  <c r="P92" i="1" a="1"/>
  <c r="AB91" i="1" a="1"/>
  <c r="Z90" i="1" a="1"/>
  <c r="X89" i="1" a="1"/>
  <c r="H89" i="1" a="1"/>
  <c r="P86" i="1" a="1"/>
  <c r="AC85" i="1" a="1"/>
  <c r="AA84" i="1" a="1"/>
  <c r="K84" i="1" a="1"/>
  <c r="I83" i="1" a="1"/>
  <c r="V82" i="1" a="1"/>
  <c r="T81" i="1" a="1"/>
  <c r="R80" i="1" a="1"/>
  <c r="N79" i="1" a="1"/>
  <c r="L78" i="1" a="1"/>
  <c r="J77" i="1" a="1"/>
  <c r="G76" i="1" a="1"/>
  <c r="R74" i="1" a="1"/>
  <c r="O73" i="1" a="1"/>
  <c r="Z70" i="1" a="1"/>
  <c r="K70" i="1" a="1"/>
  <c r="Y69" i="1" a="1"/>
  <c r="J69" i="1" a="1"/>
  <c r="X68" i="1" a="1"/>
  <c r="G67" i="1" a="1"/>
  <c r="K271" i="1" a="1"/>
  <c r="L269" i="1" a="1"/>
  <c r="AB265" i="1" a="1"/>
  <c r="F264" i="1" a="1"/>
  <c r="L262" i="1" a="1"/>
  <c r="U248" i="1" a="1"/>
  <c r="U244" i="1" a="1"/>
  <c r="AA238" i="1" a="1"/>
  <c r="W234" i="1" a="1"/>
  <c r="Z230" i="1" a="1"/>
  <c r="T229" i="1" a="1"/>
  <c r="K228" i="1" a="1"/>
  <c r="O224" i="1" a="1"/>
  <c r="T219" i="1" a="1"/>
  <c r="O218" i="1" a="1"/>
  <c r="AA214" i="1" a="1"/>
  <c r="AC207" i="1" a="1"/>
  <c r="S205" i="1" a="1"/>
  <c r="L203" i="1" a="1"/>
  <c r="P202" i="1" a="1"/>
  <c r="J197" i="1" a="1"/>
  <c r="I196" i="1" a="1"/>
  <c r="J195" i="1" a="1"/>
  <c r="I193" i="1" a="1"/>
  <c r="M188" i="1" a="1"/>
  <c r="O187" i="1" a="1"/>
  <c r="O186" i="1" a="1"/>
  <c r="Q185" i="1" a="1"/>
  <c r="U183" i="1" a="1"/>
  <c r="W181" i="1" a="1"/>
  <c r="AA180" i="1" a="1"/>
  <c r="AB179" i="1" a="1"/>
  <c r="G176" i="1" a="1"/>
  <c r="N174" i="1" a="1"/>
  <c r="U172" i="1" a="1"/>
  <c r="Y171" i="1" a="1"/>
  <c r="AB170" i="1" a="1"/>
  <c r="I169" i="1" a="1"/>
  <c r="U166" i="1" a="1"/>
  <c r="X165" i="1" a="1"/>
  <c r="N162" i="1" a="1"/>
  <c r="T161" i="1" a="1"/>
  <c r="I157" i="1" a="1"/>
  <c r="AD152" i="1" a="1"/>
  <c r="H152" i="1" a="1"/>
  <c r="V150" i="1" a="1"/>
  <c r="AC149" i="1" a="1"/>
  <c r="G149" i="1" a="1"/>
  <c r="AC144" i="1" a="1"/>
  <c r="O143" i="1" a="1"/>
  <c r="X142" i="1" a="1"/>
  <c r="L141" i="1" a="1"/>
  <c r="I139" i="1" a="1"/>
  <c r="Q138" i="1" a="1"/>
  <c r="X137" i="1" a="1"/>
  <c r="M136" i="1" a="1"/>
  <c r="K134" i="1" a="1"/>
  <c r="AA132" i="1" a="1"/>
  <c r="O131" i="1" a="1"/>
  <c r="Y130" i="1" a="1"/>
  <c r="G130" i="1" a="1"/>
  <c r="S129" i="1" a="1"/>
  <c r="AE128" i="1" a="1"/>
  <c r="X127" i="1" a="1"/>
  <c r="Q126" i="1" a="1"/>
  <c r="AC125" i="1" a="1"/>
  <c r="K125" i="1" a="1"/>
  <c r="F124" i="1" a="1"/>
  <c r="AE122" i="1" a="1"/>
  <c r="G121" i="1" a="1"/>
  <c r="O119" i="1" a="1"/>
  <c r="J118" i="1" a="1"/>
  <c r="X114" i="1" a="1"/>
  <c r="AE112" i="1" a="1"/>
  <c r="Y111" i="1" a="1"/>
  <c r="H111" i="1" a="1"/>
  <c r="P109" i="1" a="1"/>
  <c r="AC108" i="1" a="1"/>
  <c r="M108" i="1" a="1"/>
  <c r="Z107" i="1" a="1"/>
  <c r="I107" i="1" a="1"/>
  <c r="U106" i="1" a="1"/>
  <c r="Q105" i="1" a="1"/>
  <c r="AD104" i="1" a="1"/>
  <c r="N104" i="1" a="1"/>
  <c r="J103" i="1" a="1"/>
  <c r="U101" i="1" a="1"/>
  <c r="R100" i="1" a="1"/>
  <c r="AC98" i="1" a="1"/>
  <c r="K97" i="1" a="1"/>
  <c r="I96" i="1" a="1"/>
  <c r="P93" i="1" a="1"/>
  <c r="N92" i="1" a="1"/>
  <c r="K91" i="1" a="1"/>
  <c r="I90" i="1" a="1"/>
  <c r="V89" i="1" a="1"/>
  <c r="S88" i="1" a="1"/>
  <c r="AD86" i="1" a="1"/>
  <c r="L85" i="1" a="1"/>
  <c r="Y84" i="1" a="1"/>
  <c r="W83" i="1" a="1"/>
  <c r="AB79" i="1" a="1"/>
  <c r="Z78" i="1" a="1"/>
  <c r="J78" i="1" a="1"/>
  <c r="H77" i="1" a="1"/>
  <c r="U76" i="1" a="1"/>
  <c r="S75" i="1" a="1"/>
  <c r="AC73" i="1" a="1"/>
  <c r="AA72" i="1" a="1"/>
  <c r="L72" i="1" a="1"/>
  <c r="Z71" i="1" a="1"/>
  <c r="K71" i="1" a="1"/>
  <c r="H69" i="1" a="1"/>
  <c r="V68" i="1" a="1"/>
  <c r="G68" i="1" a="1"/>
  <c r="T67" i="1" a="1"/>
  <c r="T66" i="1" a="1"/>
  <c r="F66" i="1" a="1"/>
  <c r="U65" i="1" a="1"/>
  <c r="G65" i="1" a="1"/>
  <c r="U64" i="1" a="1"/>
  <c r="G64" i="1" a="1"/>
  <c r="V63" i="1" a="1"/>
  <c r="H63" i="1" a="1"/>
  <c r="W62" i="1" a="1"/>
  <c r="I62" i="1" a="1"/>
  <c r="W61" i="1" a="1"/>
  <c r="I61" i="1" a="1"/>
  <c r="X60" i="1" a="1"/>
  <c r="J60" i="1" a="1"/>
  <c r="Y59" i="1" a="1"/>
  <c r="K59" i="1" a="1"/>
  <c r="Y58" i="1" a="1"/>
  <c r="K58" i="1" a="1"/>
  <c r="Z57" i="1" a="1"/>
  <c r="L57" i="1" a="1"/>
  <c r="AA56" i="1" a="1"/>
  <c r="M56" i="1" a="1"/>
  <c r="AA55" i="1" a="1"/>
  <c r="M55" i="1" a="1"/>
  <c r="AB54" i="1" a="1"/>
  <c r="N54" i="1" a="1"/>
  <c r="AC53" i="1" a="1"/>
  <c r="O53" i="1" a="1"/>
  <c r="AC52" i="1" a="1"/>
  <c r="O52" i="1" a="1"/>
  <c r="AD51" i="1" a="1"/>
  <c r="P51" i="1" a="1"/>
  <c r="AE50" i="1" a="1"/>
  <c r="Q50" i="1" a="1"/>
  <c r="AE49" i="1" a="1"/>
  <c r="Q49" i="1" a="1"/>
  <c r="R48" i="1" a="1"/>
  <c r="S47" i="1" a="1"/>
  <c r="S46" i="1" a="1"/>
  <c r="T45" i="1" a="1"/>
  <c r="F45" i="1" a="1"/>
  <c r="U44" i="1" a="1"/>
  <c r="G44" i="1" a="1"/>
  <c r="U43" i="1" a="1"/>
  <c r="G43" i="1" a="1"/>
  <c r="V42" i="1" a="1"/>
  <c r="H42" i="1" a="1"/>
  <c r="W41" i="1" a="1"/>
  <c r="I41" i="1" a="1"/>
  <c r="W40" i="1" a="1"/>
  <c r="I40" i="1" a="1"/>
  <c r="X39" i="1" a="1"/>
  <c r="J39" i="1" a="1"/>
  <c r="Y38" i="1" a="1"/>
  <c r="K38" i="1" a="1"/>
  <c r="Y37" i="1" a="1"/>
  <c r="K37" i="1" a="1"/>
  <c r="Z36" i="1" a="1"/>
  <c r="L36" i="1" a="1"/>
  <c r="AA35" i="1" a="1"/>
  <c r="M35" i="1" a="1"/>
  <c r="AA34" i="1" a="1"/>
  <c r="M34" i="1" a="1"/>
  <c r="AB33" i="1" a="1"/>
  <c r="N33" i="1" a="1"/>
  <c r="AC32" i="1" a="1"/>
  <c r="O32" i="1" a="1"/>
  <c r="AC31" i="1" a="1"/>
  <c r="O31" i="1" a="1"/>
  <c r="AD30" i="1" a="1"/>
  <c r="Z268" i="1" a="1"/>
  <c r="AC263" i="1" a="1"/>
  <c r="Y253" i="1" a="1"/>
  <c r="AC251" i="1" a="1"/>
  <c r="P248" i="1" a="1"/>
  <c r="AA244" i="1" a="1"/>
  <c r="AB242" i="1" a="1"/>
  <c r="U237" i="1" a="1"/>
  <c r="K234" i="1" a="1"/>
  <c r="Q232" i="1" a="1"/>
  <c r="N229" i="1" a="1"/>
  <c r="P224" i="1" a="1"/>
  <c r="AE222" i="1" a="1"/>
  <c r="N221" i="1" a="1"/>
  <c r="K215" i="1" a="1"/>
  <c r="Y213" i="1" a="1"/>
  <c r="J212" i="1" a="1"/>
  <c r="K209" i="1" a="1"/>
  <c r="AE207" i="1" a="1"/>
  <c r="T203" i="1" a="1"/>
  <c r="I201" i="1" a="1"/>
  <c r="AC199" i="1" a="1"/>
  <c r="U198" i="1" a="1"/>
  <c r="Y194" i="1" a="1"/>
  <c r="U189" i="1" a="1"/>
  <c r="Q188" i="1" a="1"/>
  <c r="J187" i="1" a="1"/>
  <c r="F180" i="1" a="1"/>
  <c r="AD178" i="1" a="1"/>
  <c r="AA177" i="1" a="1"/>
  <c r="L173" i="1" a="1"/>
  <c r="AA167" i="1" a="1"/>
  <c r="Y166" i="1" a="1"/>
  <c r="V165" i="1" a="1"/>
  <c r="M161" i="1" a="1"/>
  <c r="J159" i="1" a="1"/>
  <c r="H157" i="1" a="1"/>
  <c r="F156" i="1" a="1"/>
  <c r="G152" i="1" a="1"/>
  <c r="L150" i="1" a="1"/>
  <c r="O149" i="1" a="1"/>
  <c r="U147" i="1" a="1"/>
  <c r="AA146" i="1" a="1"/>
  <c r="AA145" i="1" a="1"/>
  <c r="G144" i="1" a="1"/>
  <c r="L143" i="1" a="1"/>
  <c r="P142" i="1" a="1"/>
  <c r="R141" i="1" a="1"/>
  <c r="AE132" i="1" a="1"/>
  <c r="J131" i="1" a="1"/>
  <c r="R130" i="1" a="1"/>
  <c r="K128" i="1" a="1"/>
  <c r="AA126" i="1" a="1"/>
  <c r="F126" i="1" a="1"/>
  <c r="L125" i="1" a="1"/>
  <c r="J123" i="1" a="1"/>
  <c r="AA121" i="1" a="1"/>
  <c r="O120" i="1" a="1"/>
  <c r="R117" i="1" a="1"/>
  <c r="G116" i="1" a="1"/>
  <c r="O115" i="1" a="1"/>
  <c r="N113" i="1" a="1"/>
  <c r="W112" i="1" a="1"/>
  <c r="U110" i="1" a="1"/>
  <c r="V106" i="1" a="1"/>
  <c r="N103" i="1" a="1"/>
  <c r="F102" i="1" a="1"/>
  <c r="AD98" i="1" a="1"/>
  <c r="L98" i="1" a="1"/>
  <c r="W97" i="1" a="1"/>
  <c r="Z95" i="1" a="1"/>
  <c r="H95" i="1" a="1"/>
  <c r="AB93" i="1" a="1"/>
  <c r="L91" i="1" a="1"/>
  <c r="W90" i="1" a="1"/>
  <c r="P89" i="1" a="1"/>
  <c r="G88" i="1" a="1"/>
  <c r="AE84" i="1" a="1"/>
  <c r="X83" i="1" a="1"/>
  <c r="F83" i="1" a="1"/>
  <c r="Q82" i="1" a="1"/>
  <c r="AA81" i="1" a="1"/>
  <c r="T80" i="1" a="1"/>
  <c r="AD79" i="1" a="1"/>
  <c r="V78" i="1" a="1"/>
  <c r="N77" i="1" a="1"/>
  <c r="Y76" i="1" a="1"/>
  <c r="Q75" i="1" a="1"/>
  <c r="AB74" i="1" a="1"/>
  <c r="T73" i="1" a="1"/>
  <c r="M72" i="1" a="1"/>
  <c r="G71" i="1" a="1"/>
  <c r="S70" i="1" a="1"/>
  <c r="I268" i="1" a="1"/>
  <c r="I266" i="1" a="1"/>
  <c r="U259" i="1" a="1"/>
  <c r="AB251" i="1" a="1"/>
  <c r="O248" i="1" a="1"/>
  <c r="Z244" i="1" a="1"/>
  <c r="AA242" i="1" a="1"/>
  <c r="T237" i="1" a="1"/>
  <c r="H234" i="1" a="1"/>
  <c r="J221" i="1" a="1"/>
  <c r="Y219" i="1" a="1"/>
  <c r="J218" i="1" a="1"/>
  <c r="AE216" i="1" a="1"/>
  <c r="I212" i="1" a="1"/>
  <c r="Z210" i="1" a="1"/>
  <c r="J209" i="1" a="1"/>
  <c r="O206" i="1" a="1"/>
  <c r="F205" i="1" a="1"/>
  <c r="F201" i="1" a="1"/>
  <c r="I197" i="1" a="1"/>
  <c r="S194" i="1" a="1"/>
  <c r="P193" i="1" a="1"/>
  <c r="AE190" i="1" a="1"/>
  <c r="O188" i="1" a="1"/>
  <c r="F186" i="1" a="1"/>
  <c r="AA184" i="1" a="1"/>
  <c r="V183" i="1" a="1"/>
  <c r="Q182" i="1" a="1"/>
  <c r="AC178" i="1" a="1"/>
  <c r="P175" i="1" a="1"/>
  <c r="K174" i="1" a="1"/>
  <c r="F171" i="1" a="1"/>
  <c r="AE169" i="1" a="1"/>
  <c r="AE168" i="1" a="1"/>
  <c r="X167" i="1" a="1"/>
  <c r="T164" i="1" a="1"/>
  <c r="Q163" i="1" a="1"/>
  <c r="L161" i="1" a="1"/>
  <c r="L160" i="1" a="1"/>
  <c r="I159" i="1" a="1"/>
  <c r="H158" i="1" a="1"/>
  <c r="G151" i="1" a="1"/>
  <c r="K150" i="1" a="1"/>
  <c r="Z146" i="1" a="1"/>
  <c r="Q141" i="1" a="1"/>
  <c r="Z139" i="1" a="1"/>
  <c r="AD138" i="1" a="1"/>
  <c r="R135" i="1" a="1"/>
  <c r="Y133" i="1" a="1"/>
  <c r="AD132" i="1" a="1"/>
  <c r="W129" i="1" a="1"/>
  <c r="R127" i="1" a="1"/>
  <c r="U124" i="1" a="1"/>
  <c r="AE123" i="1" a="1"/>
  <c r="R122" i="1" a="1"/>
  <c r="N120" i="1" a="1"/>
  <c r="U119" i="1" a="1"/>
  <c r="AD118" i="1" a="1"/>
  <c r="AA116" i="1" a="1"/>
  <c r="K111" i="1" a="1"/>
  <c r="T110" i="1" a="1"/>
  <c r="AD109" i="1" a="1"/>
  <c r="L109" i="1" a="1"/>
  <c r="U108" i="1" a="1"/>
  <c r="AE107" i="1" a="1"/>
  <c r="M107" i="1" a="1"/>
  <c r="AE105" i="1" a="1"/>
  <c r="M105" i="1" a="1"/>
  <c r="W104" i="1" a="1"/>
  <c r="M103" i="1" a="1"/>
  <c r="X102" i="1" a="1"/>
  <c r="Q101" i="1" a="1"/>
  <c r="AA100" i="1" a="1"/>
  <c r="H100" i="1" a="1"/>
  <c r="S99" i="1" a="1"/>
  <c r="V97" i="1" a="1"/>
  <c r="N96" i="1" a="1"/>
  <c r="P94" i="1" a="1"/>
  <c r="J93" i="1" a="1"/>
  <c r="AD91" i="1" a="1"/>
  <c r="W263" i="1" a="1"/>
  <c r="N261" i="1" a="1"/>
  <c r="O257" i="1" a="1"/>
  <c r="T255" i="1" a="1"/>
  <c r="T253" i="1" a="1"/>
  <c r="O246" i="1" a="1"/>
  <c r="G241" i="1" a="1"/>
  <c r="G239" i="1" a="1"/>
  <c r="S237" i="1" a="1"/>
  <c r="G234" i="1" a="1"/>
  <c r="O232" i="1" a="1"/>
  <c r="L229" i="1" a="1"/>
  <c r="R227" i="1" a="1"/>
  <c r="AD225" i="1" a="1"/>
  <c r="M224" i="1" a="1"/>
  <c r="AA222" i="1" a="1"/>
  <c r="I221" i="1" a="1"/>
  <c r="H218" i="1" a="1"/>
  <c r="AA216" i="1" a="1"/>
  <c r="T213" i="1" a="1"/>
  <c r="Y210" i="1" a="1"/>
  <c r="S203" i="1" a="1"/>
  <c r="AA199" i="1" a="1"/>
  <c r="N198" i="1" a="1"/>
  <c r="AE195" i="1" a="1"/>
  <c r="O193" i="1" a="1"/>
  <c r="I187" i="1" a="1"/>
  <c r="H181" i="1" a="1"/>
  <c r="X177" i="1" a="1"/>
  <c r="Q176" i="1" a="1"/>
  <c r="T165" i="1" a="1"/>
  <c r="P163" i="1" a="1"/>
  <c r="M162" i="1" a="1"/>
  <c r="G159" i="1" a="1"/>
  <c r="G158" i="1" a="1"/>
  <c r="G157" i="1" a="1"/>
  <c r="AE153" i="1" a="1"/>
  <c r="F151" i="1" a="1"/>
  <c r="I150" i="1" a="1"/>
  <c r="N149" i="1" a="1"/>
  <c r="O148" i="1" a="1"/>
  <c r="T147" i="1" a="1"/>
  <c r="Z145" i="1" a="1"/>
  <c r="K143" i="1" a="1"/>
  <c r="V140" i="1" a="1"/>
  <c r="L136" i="1" a="1"/>
  <c r="U134" i="1" a="1"/>
  <c r="X133" i="1" a="1"/>
  <c r="AC132" i="1" a="1"/>
  <c r="I131" i="1" a="1"/>
  <c r="V129" i="1" a="1"/>
  <c r="AD123" i="1" a="1"/>
  <c r="X121" i="1" a="1"/>
  <c r="I118" i="1" a="1"/>
  <c r="Q117" i="1" a="1"/>
  <c r="F116" i="1" a="1"/>
  <c r="N115" i="1" a="1"/>
  <c r="W114" i="1" a="1"/>
  <c r="AE111" i="1" a="1"/>
  <c r="L105" i="1" a="1"/>
  <c r="G100" i="1" a="1"/>
  <c r="K98" i="1" a="1"/>
  <c r="U97" i="1" a="1"/>
  <c r="Y95" i="1" a="1"/>
  <c r="F95" i="1" a="1"/>
  <c r="AA93" i="1" a="1"/>
  <c r="S92" i="1" a="1"/>
  <c r="O89" i="1" a="1"/>
  <c r="X88" i="1" a="1"/>
  <c r="F88" i="1" a="1"/>
  <c r="P87" i="1" a="1"/>
  <c r="T85" i="1" a="1"/>
  <c r="AD84" i="1" a="1"/>
  <c r="L84" i="1" a="1"/>
  <c r="O82" i="1" a="1"/>
  <c r="Z81" i="1" a="1"/>
  <c r="S80" i="1" a="1"/>
  <c r="U78" i="1" a="1"/>
  <c r="M77" i="1" a="1"/>
  <c r="X76" i="1" a="1"/>
  <c r="P75" i="1" a="1"/>
  <c r="AA74" i="1" a="1"/>
  <c r="R73" i="1" a="1"/>
  <c r="F71" i="1" a="1"/>
  <c r="R70" i="1" a="1"/>
  <c r="AB66" i="1" a="1"/>
  <c r="K66" i="1" a="1"/>
  <c r="X65" i="1" a="1"/>
  <c r="S64" i="1" a="1"/>
  <c r="P63" i="1" a="1"/>
  <c r="AB62" i="1" a="1"/>
  <c r="L62" i="1" a="1"/>
  <c r="G61" i="1" a="1"/>
  <c r="T60" i="1" a="1"/>
  <c r="P59" i="1" a="1"/>
  <c r="AC58" i="1" a="1"/>
  <c r="M58" i="1" a="1"/>
  <c r="Y57" i="1" a="1"/>
  <c r="I57" i="1" a="1"/>
  <c r="V56" i="1" a="1"/>
  <c r="Q55" i="1" a="1"/>
  <c r="AD54" i="1" a="1"/>
  <c r="M54" i="1" a="1"/>
  <c r="Z53" i="1" a="1"/>
  <c r="J53" i="1" a="1"/>
  <c r="U52" i="1" a="1"/>
  <c r="R51" i="1" a="1"/>
  <c r="AD50" i="1" a="1"/>
  <c r="N50" i="1" a="1"/>
  <c r="Z49" i="1" a="1"/>
  <c r="I49" i="1" a="1"/>
  <c r="V48" i="1" a="1"/>
  <c r="F48" i="1" a="1"/>
  <c r="R47" i="1" a="1"/>
  <c r="AD46" i="1" a="1"/>
  <c r="N46" i="1" a="1"/>
  <c r="Z45" i="1" a="1"/>
  <c r="J45" i="1" a="1"/>
  <c r="W44" i="1" a="1"/>
  <c r="F44" i="1" a="1"/>
  <c r="R43" i="1" a="1"/>
  <c r="AE42" i="1" a="1"/>
  <c r="N42" i="1" a="1"/>
  <c r="AA41" i="1" a="1"/>
  <c r="K41" i="1" a="1"/>
  <c r="V40" i="1" a="1"/>
  <c r="F40" i="1" a="1"/>
  <c r="S39" i="1" a="1"/>
  <c r="AE38" i="1" a="1"/>
  <c r="O38" i="1" a="1"/>
  <c r="AB37" i="1" a="1"/>
  <c r="X36" i="1" a="1"/>
  <c r="H36" i="1" a="1"/>
  <c r="U35" i="1" a="1"/>
  <c r="P34" i="1" a="1"/>
  <c r="L33" i="1" a="1"/>
  <c r="Y32" i="1" a="1"/>
  <c r="I32" i="1" a="1"/>
  <c r="T31" i="1" a="1"/>
  <c r="AD29" i="1" a="1"/>
  <c r="AA28" i="1" a="1"/>
  <c r="X27" i="1" a="1"/>
  <c r="V26" i="1" a="1"/>
  <c r="F26" i="1" a="1"/>
  <c r="AD23" i="1" a="1"/>
  <c r="Z22" i="1" a="1"/>
  <c r="X21" i="1" a="1"/>
  <c r="H21" i="1" a="1"/>
  <c r="F20" i="1" a="1"/>
  <c r="AC17" i="1" a="1"/>
  <c r="AA16" i="1" a="1"/>
  <c r="K16" i="1" a="1"/>
  <c r="I15" i="1" a="1"/>
  <c r="G14" i="1" a="1"/>
  <c r="N11" i="1" a="1"/>
  <c r="K10" i="1" a="1"/>
  <c r="H9" i="1" a="1"/>
  <c r="F8" i="1" a="1"/>
  <c r="S7" i="1" a="1"/>
  <c r="AB2" i="1" a="1"/>
  <c r="N2" i="1" a="1"/>
  <c r="AD270" i="1" a="1"/>
  <c r="M261" i="1" a="1"/>
  <c r="S259" i="1" a="1"/>
  <c r="S255" i="1" a="1"/>
  <c r="R253" i="1" a="1"/>
  <c r="M248" i="1" a="1"/>
  <c r="W244" i="1" a="1"/>
  <c r="Y242" i="1" a="1"/>
  <c r="X235" i="1" a="1"/>
  <c r="Q227" i="1" a="1"/>
  <c r="AB225" i="1" a="1"/>
  <c r="S213" i="1" a="1"/>
  <c r="Q210" i="1" a="1"/>
  <c r="AA207" i="1" a="1"/>
  <c r="O202" i="1" a="1"/>
  <c r="W199" i="1" a="1"/>
  <c r="G197" i="1" a="1"/>
  <c r="AB195" i="1" a="1"/>
  <c r="R194" i="1" a="1"/>
  <c r="R189" i="1" a="1"/>
  <c r="J188" i="1" a="1"/>
  <c r="Z184" i="1" a="1"/>
  <c r="S183" i="1" a="1"/>
  <c r="O182" i="1" a="1"/>
  <c r="AB178" i="1" a="1"/>
  <c r="J174" i="1" a="1"/>
  <c r="AC169" i="1" a="1"/>
  <c r="AD168" i="1" a="1"/>
  <c r="W167" i="1" a="1"/>
  <c r="V166" i="1" a="1"/>
  <c r="R164" i="1" a="1"/>
  <c r="O163" i="1" a="1"/>
  <c r="L162" i="1" a="1"/>
  <c r="J160" i="1" a="1"/>
  <c r="F158" i="1" a="1"/>
  <c r="M149" i="1" a="1"/>
  <c r="N148" i="1" a="1"/>
  <c r="L142" i="1" a="1"/>
  <c r="U140" i="1" a="1"/>
  <c r="Y139" i="1" a="1"/>
  <c r="AC138" i="1" a="1"/>
  <c r="G137" i="1" a="1"/>
  <c r="M130" i="1" a="1"/>
  <c r="AD128" i="1" a="1"/>
  <c r="H128" i="1" a="1"/>
  <c r="Q127" i="1" a="1"/>
  <c r="X126" i="1" a="1"/>
  <c r="J125" i="1" a="1"/>
  <c r="T124" i="1" a="1"/>
  <c r="G123" i="1" a="1"/>
  <c r="Q122" i="1" a="1"/>
  <c r="W121" i="1" a="1"/>
  <c r="M120" i="1" a="1"/>
  <c r="T119" i="1" a="1"/>
  <c r="AC118" i="1" a="1"/>
  <c r="Z116" i="1" a="1"/>
  <c r="L113" i="1" a="1"/>
  <c r="T112" i="1" a="1"/>
  <c r="S110" i="1" a="1"/>
  <c r="AC109" i="1" a="1"/>
  <c r="S108" i="1" a="1"/>
  <c r="AD107" i="1" a="1"/>
  <c r="L107" i="1" a="1"/>
  <c r="T106" i="1" a="1"/>
  <c r="AD105" i="1" a="1"/>
  <c r="U104" i="1" a="1"/>
  <c r="AE103" i="1" a="1"/>
  <c r="L103" i="1" a="1"/>
  <c r="V102" i="1" a="1"/>
  <c r="P101" i="1" a="1"/>
  <c r="R99" i="1" a="1"/>
  <c r="AB98" i="1" a="1"/>
  <c r="M96" i="1" a="1"/>
  <c r="O94" i="1" a="1"/>
  <c r="H93" i="1" a="1"/>
  <c r="AC91" i="1" a="1"/>
  <c r="J91" i="1" a="1"/>
  <c r="U90" i="1" a="1"/>
  <c r="W88" i="1" a="1"/>
  <c r="AA86" i="1" a="1"/>
  <c r="I86" i="1" a="1"/>
  <c r="V83" i="1" a="1"/>
  <c r="G81" i="1" a="1"/>
  <c r="AA79" i="1" a="1"/>
  <c r="I79" i="1" a="1"/>
  <c r="H74" i="1" a="1"/>
  <c r="AC72" i="1" a="1"/>
  <c r="K72" i="1" a="1"/>
  <c r="W71" i="1" a="1"/>
  <c r="AB69" i="1" a="1"/>
  <c r="K69" i="1" a="1"/>
  <c r="O67" i="1" a="1"/>
  <c r="L58" i="1" a="1"/>
  <c r="AC54" i="1" a="1"/>
  <c r="Q51" i="1" a="1"/>
  <c r="V44" i="1" a="1"/>
  <c r="J41" i="1" a="1"/>
  <c r="P30" i="1" a="1"/>
  <c r="N29" i="1" a="1"/>
  <c r="K28" i="1" a="1"/>
  <c r="H27" i="1" a="1"/>
  <c r="R25" i="1" a="1"/>
  <c r="P24" i="1" a="1"/>
  <c r="M23" i="1" a="1"/>
  <c r="J22" i="1" a="1"/>
  <c r="W21" i="1" a="1"/>
  <c r="U20" i="1" a="1"/>
  <c r="R19" i="1" a="1"/>
  <c r="O18" i="1" a="1"/>
  <c r="M17" i="1" a="1"/>
  <c r="Z16" i="1" a="1"/>
  <c r="X15" i="1" a="1"/>
  <c r="V14" i="1" a="1"/>
  <c r="R13" i="1" a="1"/>
  <c r="P12" i="1" a="1"/>
  <c r="AC11" i="1" a="1"/>
  <c r="Z10" i="1" a="1"/>
  <c r="X9" i="1" a="1"/>
  <c r="U8" i="1" a="1"/>
  <c r="R7" i="1" a="1"/>
  <c r="Q6" i="1" a="1"/>
  <c r="AE5" i="1" a="1"/>
  <c r="P5" i="1" a="1"/>
  <c r="AC4" i="1" a="1"/>
  <c r="N4" i="1" a="1"/>
  <c r="AB3" i="1" a="1"/>
  <c r="M3" i="1" a="1"/>
  <c r="G268" i="1" a="1"/>
  <c r="V263" i="1" a="1"/>
  <c r="L261" i="1" a="1"/>
  <c r="N257" i="1" a="1"/>
  <c r="Q253" i="1" a="1"/>
  <c r="U251" i="1" a="1"/>
  <c r="AE249" i="1" a="1"/>
  <c r="X242" i="1" a="1"/>
  <c r="K237" i="1" a="1"/>
  <c r="W235" i="1" a="1"/>
  <c r="AC233" i="1" a="1"/>
  <c r="W230" i="1" a="1"/>
  <c r="K229" i="1" a="1"/>
  <c r="P227" i="1" a="1"/>
  <c r="J224" i="1" a="1"/>
  <c r="V222" i="1" a="1"/>
  <c r="F218" i="1" a="1"/>
  <c r="T216" i="1" a="1"/>
  <c r="F212" i="1" a="1"/>
  <c r="K206" i="1" a="1"/>
  <c r="R203" i="1" a="1"/>
  <c r="M198" i="1" a="1"/>
  <c r="AA195" i="1" a="1"/>
  <c r="X190" i="1" a="1"/>
  <c r="H187" i="1" a="1"/>
  <c r="Z185" i="1" a="1"/>
  <c r="N182" i="1" a="1"/>
  <c r="AC179" i="1" a="1"/>
  <c r="U177" i="1" a="1"/>
  <c r="K175" i="1" a="1"/>
  <c r="I174" i="1" a="1"/>
  <c r="AB169" i="1" a="1"/>
  <c r="AB168" i="1" a="1"/>
  <c r="R165" i="1" a="1"/>
  <c r="O164" i="1" a="1"/>
  <c r="K162" i="1" a="1"/>
  <c r="J161" i="1" a="1"/>
  <c r="F160" i="1" a="1"/>
  <c r="AE154" i="1" a="1"/>
  <c r="AD153" i="1" a="1"/>
  <c r="R147" i="1" a="1"/>
  <c r="V146" i="1" a="1"/>
  <c r="Y145" i="1" a="1"/>
  <c r="AD144" i="1" a="1"/>
  <c r="J143" i="1" a="1"/>
  <c r="O141" i="1" a="1"/>
  <c r="AE137" i="1" a="1"/>
  <c r="K136" i="1" a="1"/>
  <c r="P135" i="1" a="1"/>
  <c r="V133" i="1" a="1"/>
  <c r="AE131" i="1" a="1"/>
  <c r="H131" i="1" a="1"/>
  <c r="U129" i="1" a="1"/>
  <c r="AC128" i="1" a="1"/>
  <c r="AE125" i="1" a="1"/>
  <c r="AA123" i="1" a="1"/>
  <c r="Y269" i="1" a="1"/>
  <c r="S267" i="1" a="1"/>
  <c r="AC262" i="1" a="1"/>
  <c r="Y258" i="1" a="1"/>
  <c r="R256" i="1" a="1"/>
  <c r="V254" i="1" a="1"/>
  <c r="G249" i="1" a="1"/>
  <c r="J240" i="1" a="1"/>
  <c r="F235" i="1" a="1"/>
  <c r="N233" i="1" a="1"/>
  <c r="T228" i="1" a="1"/>
  <c r="H222" i="1" a="1"/>
  <c r="H219" i="1" a="1"/>
  <c r="R217" i="1" a="1"/>
  <c r="P214" i="1" a="1"/>
  <c r="P204" i="1" a="1"/>
  <c r="H203" i="1" a="1"/>
  <c r="S200" i="1" a="1"/>
  <c r="I199" i="1" a="1"/>
  <c r="T196" i="1" a="1"/>
  <c r="L190" i="1" a="1"/>
  <c r="AE187" i="1" a="1"/>
  <c r="U186" i="1" a="1"/>
  <c r="T179" i="1" a="1"/>
  <c r="J177" i="1" a="1"/>
  <c r="AE174" i="1" a="1"/>
  <c r="X173" i="1" a="1"/>
  <c r="Y172" i="1" a="1"/>
  <c r="V171" i="1" a="1"/>
  <c r="U170" i="1" a="1"/>
  <c r="Q169" i="1" a="1"/>
  <c r="AB160" i="1" a="1"/>
  <c r="Y159" i="1" a="1"/>
  <c r="Z157" i="1" a="1"/>
  <c r="V156" i="1" a="1"/>
  <c r="T154" i="1" a="1"/>
  <c r="T153" i="1" a="1"/>
  <c r="X152" i="1" a="1"/>
  <c r="Z150" i="1" a="1"/>
  <c r="H148" i="1" a="1"/>
  <c r="V144" i="1" a="1"/>
  <c r="AA142" i="1" a="1"/>
  <c r="L140" i="1" a="1"/>
  <c r="O139" i="1" a="1"/>
  <c r="AB136" i="1" a="1"/>
  <c r="M133" i="1" a="1"/>
  <c r="W131" i="1" a="1"/>
  <c r="F130" i="1" a="1"/>
  <c r="AD127" i="1" a="1"/>
  <c r="P126" i="1" a="1"/>
  <c r="K124" i="1" a="1"/>
  <c r="U123" i="1" a="1"/>
  <c r="AC122" i="1" a="1"/>
  <c r="R121" i="1" a="1"/>
  <c r="M119" i="1" a="1"/>
  <c r="U118" i="1" a="1"/>
  <c r="Q116" i="1" a="1"/>
  <c r="G115" i="1" a="1"/>
  <c r="V111" i="1" a="1"/>
  <c r="N110" i="1" a="1"/>
  <c r="U109" i="1" a="1"/>
  <c r="W107" i="1" a="1"/>
  <c r="N106" i="1" a="1"/>
  <c r="W105" i="1" a="1"/>
  <c r="Q102" i="1" a="1"/>
  <c r="I101" i="1" a="1"/>
  <c r="AC99" i="1" a="1"/>
  <c r="N97" i="1" a="1"/>
  <c r="Y96" i="1" a="1"/>
  <c r="Q95" i="1" a="1"/>
  <c r="I94" i="1" a="1"/>
  <c r="AD92" i="1" a="1"/>
  <c r="L92" i="1" a="1"/>
  <c r="G89" i="1" a="1"/>
  <c r="AB87" i="1" a="1"/>
  <c r="J87" i="1" a="1"/>
  <c r="T86" i="1" a="1"/>
  <c r="W84" i="1" a="1"/>
  <c r="P83" i="1" a="1"/>
  <c r="H82" i="1" a="1"/>
  <c r="S81" i="1" a="1"/>
  <c r="AC80" i="1" a="1"/>
  <c r="K80" i="1" a="1"/>
  <c r="X77" i="1" a="1"/>
  <c r="F77" i="1" a="1"/>
  <c r="I75" i="1" a="1"/>
  <c r="T74" i="1" a="1"/>
  <c r="K73" i="1" a="1"/>
  <c r="W72" i="1" a="1"/>
  <c r="P71" i="1" a="1"/>
  <c r="AB70" i="1" a="1"/>
  <c r="P68" i="1" a="1"/>
  <c r="Z67" i="1" a="1"/>
  <c r="I67" i="1" a="1"/>
  <c r="U66" i="1" a="1"/>
  <c r="I63" i="1" a="1"/>
  <c r="Z59" i="1" a="1"/>
  <c r="N35" i="1" a="1"/>
  <c r="AD31" i="1" a="1"/>
  <c r="K30" i="1" a="1"/>
  <c r="H29" i="1" a="1"/>
  <c r="R27" i="1" a="1"/>
  <c r="P26" i="1" a="1"/>
  <c r="M25" i="1" a="1"/>
  <c r="J24" i="1" a="1"/>
  <c r="T22" i="1" a="1"/>
  <c r="R21" i="1" a="1"/>
  <c r="O20" i="1" a="1"/>
  <c r="L19" i="1" a="1"/>
  <c r="Y18" i="1" a="1"/>
  <c r="W17" i="1" a="1"/>
  <c r="U16" i="1" a="1"/>
  <c r="R15" i="1" a="1"/>
  <c r="P14" i="1" a="1"/>
  <c r="AB13" i="1" a="1"/>
  <c r="Z12" i="1" a="1"/>
  <c r="X11" i="1" a="1"/>
  <c r="T10" i="1" a="1"/>
  <c r="R9" i="1" a="1"/>
  <c r="AE8" i="1" a="1"/>
  <c r="AB7" i="1" a="1"/>
  <c r="M7" i="1" a="1"/>
  <c r="AA6" i="1" a="1"/>
  <c r="L6" i="1" a="1"/>
  <c r="Z5" i="1" a="1"/>
  <c r="T269" i="1" a="1"/>
  <c r="N267" i="1" a="1"/>
  <c r="Q262" i="1" a="1"/>
  <c r="O256" i="1" a="1"/>
  <c r="U252" i="1" a="1"/>
  <c r="AE248" i="1" a="1"/>
  <c r="Z243" i="1" a="1"/>
  <c r="AD241" i="1" a="1"/>
  <c r="F240" i="1" a="1"/>
  <c r="K238" i="1" a="1"/>
  <c r="U236" i="1" a="1"/>
  <c r="H233" i="1" a="1"/>
  <c r="X231" i="1" a="1"/>
  <c r="J225" i="1" a="1"/>
  <c r="Q223" i="1" a="1"/>
  <c r="F219" i="1" a="1"/>
  <c r="AC215" i="1" a="1"/>
  <c r="AB212" i="1" a="1"/>
  <c r="AE209" i="1" a="1"/>
  <c r="V208" i="1" a="1"/>
  <c r="X201" i="1" a="1"/>
  <c r="P200" i="1" a="1"/>
  <c r="F199" i="1" a="1"/>
  <c r="AC197" i="1" a="1"/>
  <c r="R196" i="1" a="1"/>
  <c r="K195" i="1" a="1"/>
  <c r="Y192" i="1" a="1"/>
  <c r="I190" i="1" a="1"/>
  <c r="AE188" i="1" a="1"/>
  <c r="Y187" i="1" a="1"/>
  <c r="N185" i="1" a="1"/>
  <c r="K184" i="1" a="1"/>
  <c r="AA181" i="1" a="1"/>
  <c r="K178" i="1" a="1"/>
  <c r="H177" i="1" a="1"/>
  <c r="AE175" i="1" a="1"/>
  <c r="AC174" i="1" a="1"/>
  <c r="V172" i="1" a="1"/>
  <c r="R170" i="1" a="1"/>
  <c r="L169" i="1" a="1"/>
  <c r="AE162" i="1" a="1"/>
  <c r="Z161" i="1" a="1"/>
  <c r="Y160" i="1" a="1"/>
  <c r="W159" i="1" a="1"/>
  <c r="W158" i="1" a="1"/>
  <c r="T157" i="1" a="1"/>
  <c r="R154" i="1" a="1"/>
  <c r="T151" i="1" a="1"/>
  <c r="W150" i="1" a="1"/>
  <c r="N145" i="1" a="1"/>
  <c r="W143" i="1" a="1"/>
  <c r="Y142" i="1" a="1"/>
  <c r="G141" i="1" a="1"/>
  <c r="H140" i="1" a="1"/>
  <c r="L139" i="1" a="1"/>
  <c r="O138" i="1" a="1"/>
  <c r="U137" i="1" a="1"/>
  <c r="I134" i="1" a="1"/>
  <c r="Q132" i="1" a="1"/>
  <c r="S128" i="1" a="1"/>
  <c r="AB127" i="1" a="1"/>
  <c r="W125" i="1" a="1"/>
  <c r="S123" i="1" a="1"/>
  <c r="Z122" i="1" a="1"/>
  <c r="G122" i="1" a="1"/>
  <c r="N121" i="1" a="1"/>
  <c r="AE119" i="1" a="1"/>
  <c r="AA117" i="1" a="1"/>
  <c r="H117" i="1" a="1"/>
  <c r="O116" i="1" a="1"/>
  <c r="X115" i="1" a="1"/>
  <c r="W113" i="1" a="1"/>
  <c r="AE110" i="1" a="1"/>
  <c r="I110" i="1" a="1"/>
  <c r="AD108" i="1" a="1"/>
  <c r="K106" i="1" a="1"/>
  <c r="AE104" i="1" a="1"/>
  <c r="L104" i="1" a="1"/>
  <c r="Y101" i="1" a="1"/>
  <c r="AD97" i="1" a="1"/>
  <c r="L97" i="1" a="1"/>
  <c r="W96" i="1" a="1"/>
  <c r="Y94" i="1" a="1"/>
  <c r="AB92" i="1" a="1"/>
  <c r="M90" i="1" a="1"/>
  <c r="W89" i="1" a="1"/>
  <c r="O88" i="1" a="1"/>
  <c r="G87" i="1" a="1"/>
  <c r="J85" i="1" a="1"/>
  <c r="M83" i="1" a="1"/>
  <c r="X82" i="1" a="1"/>
  <c r="F82" i="1" a="1"/>
  <c r="Q81" i="1" a="1"/>
  <c r="AA80" i="1" a="1"/>
  <c r="S79" i="1" a="1"/>
  <c r="AD78" i="1" a="1"/>
  <c r="V77" i="1" a="1"/>
  <c r="O76" i="1" a="1"/>
  <c r="Y75" i="1" a="1"/>
  <c r="AA73" i="1" a="1"/>
  <c r="T69" i="1" a="1"/>
  <c r="S66" i="1" a="1"/>
  <c r="P65" i="1" a="1"/>
  <c r="AA64" i="1" a="1"/>
  <c r="K64" i="1" a="1"/>
  <c r="X63" i="1" a="1"/>
  <c r="G63" i="1" a="1"/>
  <c r="T62" i="1" a="1"/>
  <c r="O61" i="1" a="1"/>
  <c r="AB60" i="1" a="1"/>
  <c r="L60" i="1" a="1"/>
  <c r="X59" i="1" a="1"/>
  <c r="H59" i="1" a="1"/>
  <c r="U58" i="1" a="1"/>
  <c r="Q57" i="1" a="1"/>
  <c r="AD56" i="1" a="1"/>
  <c r="Y55" i="1" a="1"/>
  <c r="I55" i="1" a="1"/>
  <c r="V54" i="1" a="1"/>
  <c r="R53" i="1" a="1"/>
  <c r="M52" i="1" a="1"/>
  <c r="Z51" i="1" a="1"/>
  <c r="J51" i="1" a="1"/>
  <c r="V50" i="1" a="1"/>
  <c r="F50" i="1" a="1"/>
  <c r="AD48" i="1" a="1"/>
  <c r="N48" i="1" a="1"/>
  <c r="AA47" i="1" a="1"/>
  <c r="J47" i="1" a="1"/>
  <c r="V46" i="1" a="1"/>
  <c r="R45" i="1" a="1"/>
  <c r="AE44" i="1" a="1"/>
  <c r="O44" i="1" a="1"/>
  <c r="Z43" i="1" a="1"/>
  <c r="J43" i="1" a="1"/>
  <c r="F42" i="1" a="1"/>
  <c r="S41" i="1" a="1"/>
  <c r="AE40" i="1" a="1"/>
  <c r="N40" i="1" a="1"/>
  <c r="AA39" i="1" a="1"/>
  <c r="W38" i="1" a="1"/>
  <c r="G38" i="1" a="1"/>
  <c r="T37" i="1" a="1"/>
  <c r="P36" i="1" a="1"/>
  <c r="AC35" i="1" a="1"/>
  <c r="L35" i="1" a="1"/>
  <c r="X34" i="1" a="1"/>
  <c r="H34" i="1" a="1"/>
  <c r="T33" i="1" a="1"/>
  <c r="Q32" i="1" a="1"/>
  <c r="AB31" i="1" a="1"/>
  <c r="L31" i="1" a="1"/>
  <c r="Y30" i="1" a="1"/>
  <c r="V29" i="1" a="1"/>
  <c r="S28" i="1" a="1"/>
  <c r="AD26" i="1" a="1"/>
  <c r="AA25" i="1" a="1"/>
  <c r="X24" i="1" a="1"/>
  <c r="F23" i="1" a="1"/>
  <c r="AC20" i="1" a="1"/>
  <c r="Z19" i="1" a="1"/>
  <c r="J19" i="1" a="1"/>
  <c r="H18" i="1" a="1"/>
  <c r="F17" i="1" a="1"/>
  <c r="AD14" i="1" a="1"/>
  <c r="N14" i="1" a="1"/>
  <c r="K13" i="1" a="1"/>
  <c r="I12" i="1" a="1"/>
  <c r="F11" i="1" a="1"/>
  <c r="P9" i="1" a="1"/>
  <c r="N8" i="1" a="1"/>
  <c r="J6" i="1" a="1"/>
  <c r="X5" i="1" a="1"/>
  <c r="I5" i="1" a="1"/>
  <c r="V4" i="1" a="1"/>
  <c r="G4" i="1" a="1"/>
  <c r="F3" i="1" a="1"/>
  <c r="U2" i="1" a="1"/>
  <c r="G2" i="1" a="1"/>
  <c r="F269" i="1" a="1"/>
  <c r="X257" i="1" a="1"/>
  <c r="R252" i="1" a="1"/>
  <c r="X247" i="1" a="1"/>
  <c r="R240" i="1" a="1"/>
  <c r="S233" i="1" a="1"/>
  <c r="F223" i="1" a="1"/>
  <c r="G219" i="1" a="1"/>
  <c r="F217" i="1" a="1"/>
  <c r="AE214" i="1" a="1"/>
  <c r="G211" i="1" a="1"/>
  <c r="M207" i="1" a="1"/>
  <c r="G200" i="1" a="1"/>
  <c r="Q193" i="1" a="1"/>
  <c r="R188" i="1" a="1"/>
  <c r="AA186" i="1" a="1"/>
  <c r="J185" i="1" a="1"/>
  <c r="Y183" i="1" a="1"/>
  <c r="O174" i="1" a="1"/>
  <c r="F170" i="1" a="1"/>
  <c r="J164" i="1" a="1"/>
  <c r="N157" i="1" a="1"/>
  <c r="W154" i="1" a="1"/>
  <c r="AB150" i="1" a="1"/>
  <c r="T148" i="1" a="1"/>
  <c r="P147" i="1" a="1"/>
  <c r="AE136" i="1" a="1"/>
  <c r="AA135" i="1" a="1"/>
  <c r="AA134" i="1" a="1"/>
  <c r="S133" i="1" a="1"/>
  <c r="J130" i="1" a="1"/>
  <c r="M129" i="1" a="1"/>
  <c r="N128" i="1" a="1"/>
  <c r="L127" i="1" a="1"/>
  <c r="M126" i="1" a="1"/>
  <c r="R124" i="1" a="1"/>
  <c r="Z120" i="1" a="1"/>
  <c r="S114" i="1" a="1"/>
  <c r="Z112" i="1" a="1"/>
  <c r="AD111" i="1" a="1"/>
  <c r="H110" i="1" a="1"/>
  <c r="AB106" i="1" a="1"/>
  <c r="H105" i="1" a="1"/>
  <c r="M104" i="1" a="1"/>
  <c r="T103" i="1" a="1"/>
  <c r="H101" i="1" a="1"/>
  <c r="T99" i="1" a="1"/>
  <c r="Y98" i="1" a="1"/>
  <c r="X94" i="1" a="1"/>
  <c r="AD93" i="1" a="1"/>
  <c r="F93" i="1" a="1"/>
  <c r="Q91" i="1" a="1"/>
  <c r="Y90" i="1" a="1"/>
  <c r="AE89" i="1" a="1"/>
  <c r="I89" i="1" a="1"/>
  <c r="AC86" i="1" a="1"/>
  <c r="M85" i="1" a="1"/>
  <c r="T84" i="1" a="1"/>
  <c r="J82" i="1" a="1"/>
  <c r="O78" i="1" a="1"/>
  <c r="U77" i="1" a="1"/>
  <c r="F76" i="1" a="1"/>
  <c r="S74" i="1" a="1"/>
  <c r="Y73" i="1" a="1"/>
  <c r="J72" i="1" a="1"/>
  <c r="S71" i="1" a="1"/>
  <c r="M69" i="1" a="1"/>
  <c r="AB67" i="1" a="1"/>
  <c r="H65" i="1" a="1"/>
  <c r="AA61" i="1" a="1"/>
  <c r="H61" i="1" a="1"/>
  <c r="R60" i="1" a="1"/>
  <c r="AB59" i="1" a="1"/>
  <c r="S58" i="1" a="1"/>
  <c r="AC57" i="1" a="1"/>
  <c r="J57" i="1" a="1"/>
  <c r="S56" i="1" a="1"/>
  <c r="AC55" i="1" a="1"/>
  <c r="S54" i="1" a="1"/>
  <c r="K53" i="1" a="1"/>
  <c r="K51" i="1" a="1"/>
  <c r="K47" i="1" a="1"/>
  <c r="T46" i="1" a="1"/>
  <c r="K43" i="1" a="1"/>
  <c r="L39" i="1" a="1"/>
  <c r="O33" i="1" a="1"/>
  <c r="F30" i="1" a="1"/>
  <c r="Q29" i="1" a="1"/>
  <c r="H28" i="1" a="1"/>
  <c r="S27" i="1" a="1"/>
  <c r="K26" i="1" a="1"/>
  <c r="N24" i="1" a="1"/>
  <c r="P22" i="1" a="1"/>
  <c r="S20" i="1" a="1"/>
  <c r="U18" i="1" a="1"/>
  <c r="N17" i="1" a="1"/>
  <c r="X16" i="1" a="1"/>
  <c r="P15" i="1" a="1"/>
  <c r="AA14" i="1" a="1"/>
  <c r="S13" i="1" a="1"/>
  <c r="AC12" i="1" a="1"/>
  <c r="U11" i="1" a="1"/>
  <c r="Y9" i="1" a="1"/>
  <c r="Z7" i="1" a="1"/>
  <c r="N5" i="1" a="1"/>
  <c r="F4" i="1" a="1"/>
  <c r="R3" i="1" a="1"/>
  <c r="W67" i="1" a="1"/>
  <c r="AB45" i="1" a="1"/>
  <c r="U30" i="1" a="1"/>
  <c r="J10" i="1" a="1"/>
  <c r="Y224" i="1" a="1"/>
  <c r="T214" i="1" a="1"/>
  <c r="I203" i="1" a="1"/>
  <c r="W265" i="1" a="1"/>
  <c r="AD262" i="1" a="1"/>
  <c r="K257" i="1" a="1"/>
  <c r="F250" i="1" a="1"/>
  <c r="N245" i="1" a="1"/>
  <c r="Q240" i="1" a="1"/>
  <c r="AE235" i="1" a="1"/>
  <c r="R233" i="1" a="1"/>
  <c r="O231" i="1" a="1"/>
  <c r="R229" i="1" a="1"/>
  <c r="G227" i="1" a="1"/>
  <c r="I225" i="1" a="1"/>
  <c r="F211" i="1" a="1"/>
  <c r="G207" i="1" a="1"/>
  <c r="Q205" i="1" a="1"/>
  <c r="I198" i="1" a="1"/>
  <c r="AE194" i="1" a="1"/>
  <c r="T191" i="1" a="1"/>
  <c r="G190" i="1" a="1"/>
  <c r="O177" i="1" a="1"/>
  <c r="AB172" i="1" a="1"/>
  <c r="T168" i="1" a="1"/>
  <c r="H167" i="1" a="1"/>
  <c r="V158" i="1" a="1"/>
  <c r="AB155" i="1" a="1"/>
  <c r="O153" i="1" a="1"/>
  <c r="W149" i="1" a="1"/>
  <c r="J146" i="1" a="1"/>
  <c r="AC143" i="1" a="1"/>
  <c r="X141" i="1" a="1"/>
  <c r="P140" i="1" a="1"/>
  <c r="K139" i="1" a="1"/>
  <c r="I138" i="1" a="1"/>
  <c r="R133" i="1" a="1"/>
  <c r="N132" i="1" a="1"/>
  <c r="M131" i="1" a="1"/>
  <c r="M128" i="1" a="1"/>
  <c r="O125" i="1" a="1"/>
  <c r="R123" i="1" a="1"/>
  <c r="V122" i="1" a="1"/>
  <c r="U121" i="1" a="1"/>
  <c r="AB119" i="1" a="1"/>
  <c r="AE118" i="1" a="1"/>
  <c r="G117" i="1" a="1"/>
  <c r="K116" i="1" a="1"/>
  <c r="L115" i="1" a="1"/>
  <c r="V113" i="1" a="1"/>
  <c r="N109" i="1" a="1"/>
  <c r="Q108" i="1" a="1"/>
  <c r="Z102" i="1" a="1"/>
  <c r="AE101" i="1" a="1"/>
  <c r="M100" i="1" a="1"/>
  <c r="Q99" i="1" a="1"/>
  <c r="H97" i="1" a="1"/>
  <c r="L96" i="1" a="1"/>
  <c r="R95" i="1" a="1"/>
  <c r="X90" i="1" a="1"/>
  <c r="N88" i="1" a="1"/>
  <c r="U87" i="1" a="1"/>
  <c r="AB86" i="1" a="1"/>
  <c r="K85" i="1" a="1"/>
  <c r="S84" i="1" a="1"/>
  <c r="Z83" i="1" a="1"/>
  <c r="X80" i="1" a="1"/>
  <c r="AE79" i="1" a="1"/>
  <c r="G79" i="1" a="1"/>
  <c r="N78" i="1" a="1"/>
  <c r="AA76" i="1" a="1"/>
  <c r="L75" i="1" a="1"/>
  <c r="Q71" i="1" a="1"/>
  <c r="Y70" i="1" a="1"/>
  <c r="L69" i="1" a="1"/>
  <c r="S68" i="1" a="1"/>
  <c r="F67" i="1" a="1"/>
  <c r="P66" i="1" a="1"/>
  <c r="Z65" i="1" a="1"/>
  <c r="F65" i="1" a="1"/>
  <c r="P64" i="1" a="1"/>
  <c r="Z63" i="1" a="1"/>
  <c r="F63" i="1" a="1"/>
  <c r="Q62" i="1" a="1"/>
  <c r="AB55" i="1" a="1"/>
  <c r="S52" i="1" a="1"/>
  <c r="AC51" i="1" a="1"/>
  <c r="T50" i="1" a="1"/>
  <c r="AC49" i="1" a="1"/>
  <c r="K49" i="1" a="1"/>
  <c r="T48" i="1" a="1"/>
  <c r="AD47" i="1" a="1"/>
  <c r="AD45" i="1" a="1"/>
  <c r="K45" i="1" a="1"/>
  <c r="T44" i="1" a="1"/>
  <c r="AD43" i="1" a="1"/>
  <c r="T42" i="1" a="1"/>
  <c r="AE41" i="1" a="1"/>
  <c r="L41" i="1" a="1"/>
  <c r="T40" i="1" a="1"/>
  <c r="AD39" i="1" a="1"/>
  <c r="K39" i="1" a="1"/>
  <c r="U38" i="1" a="1"/>
  <c r="AE37" i="1" a="1"/>
  <c r="M37" i="1" a="1"/>
  <c r="V36" i="1" a="1"/>
  <c r="W34" i="1" a="1"/>
  <c r="X32" i="1" a="1"/>
  <c r="N31" i="1" a="1"/>
  <c r="X30" i="1" a="1"/>
  <c r="Z28" i="1" a="1"/>
  <c r="AC26" i="1" a="1"/>
  <c r="U25" i="1" a="1"/>
  <c r="AE24" i="1" a="1"/>
  <c r="X23" i="1" a="1"/>
  <c r="Z21" i="1" a="1"/>
  <c r="G21" i="1" a="1"/>
  <c r="AB19" i="1" a="1"/>
  <c r="I19" i="1" a="1"/>
  <c r="AE17" i="1" a="1"/>
  <c r="L17" i="1" a="1"/>
  <c r="F16" i="1" a="1"/>
  <c r="I14" i="1" a="1"/>
  <c r="K12" i="1" a="1"/>
  <c r="AE10" i="1" a="1"/>
  <c r="M10" i="1" a="1"/>
  <c r="P8" i="1" a="1"/>
  <c r="H7" i="1" a="1"/>
  <c r="T6" i="1" a="1"/>
  <c r="X4" i="1" a="1"/>
  <c r="AD2" i="1" a="1"/>
  <c r="M2" i="1" a="1"/>
  <c r="U249" i="1" a="1"/>
  <c r="AC237" i="1" a="1"/>
  <c r="U222" i="1" a="1"/>
  <c r="V220" i="1" a="1"/>
  <c r="U218" i="1" a="1"/>
  <c r="Z212" i="1" a="1"/>
  <c r="AB210" i="1" a="1"/>
  <c r="AE206" i="1" a="1"/>
  <c r="H205" i="1" a="1"/>
  <c r="U201" i="1" a="1"/>
  <c r="P196" i="1" a="1"/>
  <c r="AA194" i="1" a="1"/>
  <c r="N191" i="1" a="1"/>
  <c r="F188" i="1" a="1"/>
  <c r="N183" i="1" a="1"/>
  <c r="AC181" i="1" a="1"/>
  <c r="N180" i="1" a="1"/>
  <c r="V175" i="1" a="1"/>
  <c r="Z169" i="1" a="1"/>
  <c r="N168" i="1" a="1"/>
  <c r="W155" i="1" a="1"/>
  <c r="X150" i="1" a="1"/>
  <c r="H147" i="1" a="1"/>
  <c r="AB144" i="1" a="1"/>
  <c r="P134" i="1" a="1"/>
  <c r="K132" i="1" a="1"/>
  <c r="F128" i="1" a="1"/>
  <c r="I127" i="1" a="1"/>
  <c r="S121" i="1" a="1"/>
  <c r="Z119" i="1" a="1"/>
  <c r="AB117" i="1" a="1"/>
  <c r="I109" i="1" a="1"/>
  <c r="O108" i="1" a="1"/>
  <c r="S107" i="1" a="1"/>
  <c r="J104" i="1" a="1"/>
  <c r="AA101" i="1" a="1"/>
  <c r="N99" i="1" a="1"/>
  <c r="AA97" i="1" a="1"/>
  <c r="O95" i="1" a="1"/>
  <c r="I92" i="1" a="1"/>
  <c r="L88" i="1" a="1"/>
  <c r="AE85" i="1" a="1"/>
  <c r="AC82" i="1" a="1"/>
  <c r="G82" i="1" a="1"/>
  <c r="U80" i="1" a="1"/>
  <c r="Y79" i="1" a="1"/>
  <c r="O74" i="1" a="1"/>
  <c r="AE69" i="1" a="1"/>
  <c r="N66" i="1" a="1"/>
  <c r="M64" i="1" a="1"/>
  <c r="N62" i="1" a="1"/>
  <c r="X61" i="1" a="1"/>
  <c r="G51" i="1" a="1"/>
  <c r="G49" i="1" a="1"/>
  <c r="H47" i="1" a="1"/>
  <c r="R44" i="1" a="1"/>
  <c r="AB41" i="1" a="1"/>
  <c r="H39" i="1" a="1"/>
  <c r="I37" i="1" a="1"/>
  <c r="J35" i="1" a="1"/>
  <c r="K33" i="1" a="1"/>
  <c r="K31" i="1" a="1"/>
  <c r="W28" i="1" a="1"/>
  <c r="AA26" i="1" a="1"/>
  <c r="Y19" i="1" a="1"/>
  <c r="J17" i="1" a="1"/>
  <c r="M8" i="1" a="1"/>
  <c r="K2" i="1" a="1"/>
  <c r="O265" i="1" a="1"/>
  <c r="AE251" i="1" a="1"/>
  <c r="T220" i="1" a="1"/>
  <c r="AA210" i="1" a="1"/>
  <c r="AE271" i="1" a="1"/>
  <c r="V265" i="1" a="1"/>
  <c r="Y262" i="1" a="1"/>
  <c r="I257" i="1" a="1"/>
  <c r="U254" i="1" a="1"/>
  <c r="AB249" i="1" a="1"/>
  <c r="W247" i="1" a="1"/>
  <c r="G238" i="1" a="1"/>
  <c r="AD235" i="1" a="1"/>
  <c r="Q233" i="1" a="1"/>
  <c r="O229" i="1" a="1"/>
  <c r="H225" i="1" a="1"/>
  <c r="AB214" i="1" a="1"/>
  <c r="AE208" i="1" a="1"/>
  <c r="O205" i="1" a="1"/>
  <c r="M203" i="1" a="1"/>
  <c r="Y201" i="1" a="1"/>
  <c r="G198" i="1" a="1"/>
  <c r="H193" i="1" a="1"/>
  <c r="R183" i="1" a="1"/>
  <c r="Q180" i="1" a="1"/>
  <c r="K177" i="1" a="1"/>
  <c r="AB175" i="1" a="1"/>
  <c r="H164" i="1" a="1"/>
  <c r="AD162" i="1" a="1"/>
  <c r="S161" i="1" a="1"/>
  <c r="L157" i="1" a="1"/>
  <c r="AA155" i="1" a="1"/>
  <c r="S154" i="1" a="1"/>
  <c r="J153" i="1" a="1"/>
  <c r="AA150" i="1" a="1"/>
  <c r="V149" i="1" a="1"/>
  <c r="S148" i="1" a="1"/>
  <c r="W142" i="1" a="1"/>
  <c r="J139" i="1" a="1"/>
  <c r="Z135" i="1" a="1"/>
  <c r="H130" i="1" a="1"/>
  <c r="J129" i="1" a="1"/>
  <c r="L128" i="1" a="1"/>
  <c r="K127" i="1" a="1"/>
  <c r="L126" i="1" a="1"/>
  <c r="N125" i="1" a="1"/>
  <c r="Q124" i="1" a="1"/>
  <c r="T122" i="1" a="1"/>
  <c r="W120" i="1" a="1"/>
  <c r="K115" i="1" a="1"/>
  <c r="R114" i="1" a="1"/>
  <c r="Y112" i="1" a="1"/>
  <c r="AC111" i="1" a="1"/>
  <c r="G110" i="1" a="1"/>
  <c r="V107" i="1" a="1"/>
  <c r="AA106" i="1" a="1"/>
  <c r="G105" i="1" a="1"/>
  <c r="S103" i="1" a="1"/>
  <c r="F101" i="1" a="1"/>
  <c r="P99" i="1" a="1"/>
  <c r="AC97" i="1" a="1"/>
  <c r="W94" i="1" a="1"/>
  <c r="AC93" i="1" a="1"/>
  <c r="K92" i="1" a="1"/>
  <c r="P91" i="1" a="1"/>
  <c r="AC89" i="1" a="1"/>
  <c r="AE82" i="1" a="1"/>
  <c r="I82" i="1" a="1"/>
  <c r="M78" i="1" a="1"/>
  <c r="T77" i="1" a="1"/>
  <c r="Q74" i="1" a="1"/>
  <c r="X73" i="1" a="1"/>
  <c r="AE72" i="1" a="1"/>
  <c r="I72" i="1" a="1"/>
  <c r="X70" i="1" a="1"/>
  <c r="Y63" i="1" a="1"/>
  <c r="Z61" i="1" a="1"/>
  <c r="F61" i="1" a="1"/>
  <c r="P60" i="1" a="1"/>
  <c r="AA59" i="1" a="1"/>
  <c r="G59" i="1" a="1"/>
  <c r="Q58" i="1" a="1"/>
  <c r="AB57" i="1" a="1"/>
  <c r="H57" i="1" a="1"/>
  <c r="R56" i="1" a="1"/>
  <c r="H55" i="1" a="1"/>
  <c r="R54" i="1" a="1"/>
  <c r="AB53" i="1" a="1"/>
  <c r="I53" i="1" a="1"/>
  <c r="S48" i="1" a="1"/>
  <c r="L37" i="1" a="1"/>
  <c r="M31" i="1" a="1"/>
  <c r="P29" i="1" a="1"/>
  <c r="G28" i="1" a="1"/>
  <c r="J26" i="1" a="1"/>
  <c r="T25" i="1" a="1"/>
  <c r="L24" i="1" a="1"/>
  <c r="W23" i="1" a="1"/>
  <c r="O22" i="1" a="1"/>
  <c r="R20" i="1" a="1"/>
  <c r="AA19" i="1" a="1"/>
  <c r="T18" i="1" a="1"/>
  <c r="W16" i="1" a="1"/>
  <c r="O15" i="1" a="1"/>
  <c r="Z14" i="1" a="1"/>
  <c r="Q13" i="1" a="1"/>
  <c r="AB12" i="1" a="1"/>
  <c r="J12" i="1" a="1"/>
  <c r="T11" i="1" a="1"/>
  <c r="AD10" i="1" a="1"/>
  <c r="V9" i="1" a="1"/>
  <c r="O8" i="1" a="1"/>
  <c r="Y7" i="1" a="1"/>
  <c r="S6" i="1" a="1"/>
  <c r="AD5" i="1" a="1"/>
  <c r="M5" i="1" a="1"/>
  <c r="W4" i="1" a="1"/>
  <c r="E4" i="1" a="1"/>
  <c r="Q3" i="1" a="1"/>
  <c r="T90" i="1" a="1"/>
  <c r="M81" i="1" a="1"/>
  <c r="N71" i="1" a="1"/>
  <c r="AA49" i="1" a="1"/>
  <c r="Q46" i="1" a="1"/>
  <c r="R42" i="1" a="1"/>
  <c r="AC37" i="1" a="1"/>
  <c r="AE33" i="1" a="1"/>
  <c r="AE31" i="1" a="1"/>
  <c r="AE22" i="1" a="1"/>
  <c r="AB17" i="1" a="1"/>
  <c r="AE15" i="1" a="1"/>
  <c r="F7" i="1" a="1"/>
  <c r="K5" i="1" a="1"/>
  <c r="AA2" i="1" a="1"/>
  <c r="X259" i="1" a="1"/>
  <c r="R242" i="1" a="1"/>
  <c r="AB226" i="1" a="1"/>
  <c r="O216" i="1" a="1"/>
  <c r="AB268" i="1" a="1"/>
  <c r="R254" i="1" a="1"/>
  <c r="H252" i="1" a="1"/>
  <c r="T247" i="1" a="1"/>
  <c r="H245" i="1" a="1"/>
  <c r="V242" i="1" a="1"/>
  <c r="P240" i="1" a="1"/>
  <c r="V235" i="1" a="1"/>
  <c r="K231" i="1" a="1"/>
  <c r="AD224" i="1" a="1"/>
  <c r="Z220" i="1" a="1"/>
  <c r="AA212" i="1" a="1"/>
  <c r="N205" i="1" a="1"/>
  <c r="K203" i="1" a="1"/>
  <c r="AD194" i="1" a="1"/>
  <c r="R191" i="1" a="1"/>
  <c r="AE189" i="1" a="1"/>
  <c r="H188" i="1" a="1"/>
  <c r="T186" i="1" a="1"/>
  <c r="H185" i="1" a="1"/>
  <c r="Q183" i="1" a="1"/>
  <c r="P180" i="1" a="1"/>
  <c r="Z178" i="1" a="1"/>
  <c r="AA175" i="1" a="1"/>
  <c r="Z172" i="1" a="1"/>
  <c r="O171" i="1" a="1"/>
  <c r="R168" i="1" a="1"/>
  <c r="Z162" i="1" a="1"/>
  <c r="R161" i="1" a="1"/>
  <c r="T158" i="1" a="1"/>
  <c r="J157" i="1" a="1"/>
  <c r="AE151" i="1" a="1"/>
  <c r="H146" i="1" a="1"/>
  <c r="AB143" i="1" a="1"/>
  <c r="H138" i="1" a="1"/>
  <c r="AC136" i="1" a="1"/>
  <c r="Y134" i="1" a="1"/>
  <c r="Q133" i="1" a="1"/>
  <c r="M132" i="1" a="1"/>
  <c r="L131" i="1" a="1"/>
  <c r="H129" i="1" a="1"/>
  <c r="M125" i="1" a="1"/>
  <c r="Q123" i="1" a="1"/>
  <c r="T121" i="1" a="1"/>
  <c r="V120" i="1" a="1"/>
  <c r="AA119" i="1" a="1"/>
  <c r="AA118" i="1" a="1"/>
  <c r="J116" i="1" a="1"/>
  <c r="T113" i="1" a="1"/>
  <c r="Z111" i="1" a="1"/>
  <c r="M109" i="1" a="1"/>
  <c r="P108" i="1" a="1"/>
  <c r="T107" i="1" a="1"/>
  <c r="K104" i="1" a="1"/>
  <c r="AD101" i="1" a="1"/>
  <c r="L100" i="1" a="1"/>
  <c r="O99" i="1" a="1"/>
  <c r="W98" i="1" a="1"/>
  <c r="F97" i="1" a="1"/>
  <c r="K96" i="1" a="1"/>
  <c r="J92" i="1" a="1"/>
  <c r="V90" i="1" a="1"/>
  <c r="F89" i="1" a="1"/>
  <c r="M88" i="1" a="1"/>
  <c r="T87" i="1" a="1"/>
  <c r="Z86" i="1" a="1"/>
  <c r="R84" i="1" a="1"/>
  <c r="Y83" i="1" a="1"/>
  <c r="AD82" i="1" a="1"/>
  <c r="N81" i="1" a="1"/>
  <c r="V80" i="1" a="1"/>
  <c r="Z79" i="1" a="1"/>
  <c r="F79" i="1" a="1"/>
  <c r="Z76" i="1" a="1"/>
  <c r="J75" i="1" a="1"/>
  <c r="P74" i="1" a="1"/>
  <c r="AD72" i="1" a="1"/>
  <c r="R68" i="1" a="1"/>
  <c r="Y67" i="1" a="1"/>
  <c r="O66" i="1" a="1"/>
  <c r="Y65" i="1" a="1"/>
  <c r="O64" i="1" a="1"/>
  <c r="O62" i="1" a="1"/>
  <c r="AA57" i="1" a="1"/>
  <c r="Z55" i="1" a="1"/>
  <c r="R52" i="1" a="1"/>
  <c r="AB51" i="1" a="1"/>
  <c r="H51" i="1" a="1"/>
  <c r="S50" i="1" a="1"/>
  <c r="AB49" i="1" a="1"/>
  <c r="H49" i="1" a="1"/>
  <c r="AC47" i="1" a="1"/>
  <c r="I47" i="1" a="1"/>
  <c r="R46" i="1" a="1"/>
  <c r="AC45" i="1" a="1"/>
  <c r="I45" i="1" a="1"/>
  <c r="S44" i="1" a="1"/>
  <c r="AC43" i="1" a="1"/>
  <c r="I43" i="1" a="1"/>
  <c r="S42" i="1" a="1"/>
  <c r="AC41" i="1" a="1"/>
  <c r="S40" i="1" a="1"/>
  <c r="AC39" i="1" a="1"/>
  <c r="I39" i="1" a="1"/>
  <c r="T38" i="1" a="1"/>
  <c r="AD37" i="1" a="1"/>
  <c r="J37" i="1" a="1"/>
  <c r="U36" i="1" a="1"/>
  <c r="AE35" i="1" a="1"/>
  <c r="K35" i="1" a="1"/>
  <c r="V34" i="1" a="1"/>
  <c r="M33" i="1" a="1"/>
  <c r="W32" i="1" a="1"/>
  <c r="V30" i="1" a="1"/>
  <c r="Y28" i="1" a="1"/>
  <c r="Q27" i="1" a="1"/>
  <c r="AB26" i="1" a="1"/>
  <c r="AD24" i="1" a="1"/>
  <c r="V23" i="1" a="1"/>
  <c r="Y21" i="1" a="1"/>
  <c r="F21" i="1" a="1"/>
  <c r="H19" i="1" a="1"/>
  <c r="AD17" i="1" a="1"/>
  <c r="K17" i="1" a="1"/>
  <c r="H14" i="1" a="1"/>
  <c r="L10" i="1" a="1"/>
  <c r="G7" i="1" a="1"/>
  <c r="AC2" i="1" a="1"/>
  <c r="L2" i="1" a="1"/>
  <c r="X135" i="1" a="1"/>
  <c r="S87" i="1" a="1"/>
  <c r="W65" i="1" a="1"/>
  <c r="Q52" i="1" a="1"/>
  <c r="Q48" i="1" a="1"/>
  <c r="H45" i="1" a="1"/>
  <c r="R40" i="1" a="1"/>
  <c r="S38" i="1" a="1"/>
  <c r="T36" i="1" a="1"/>
  <c r="U34" i="1" a="1"/>
  <c r="U32" i="1" a="1"/>
  <c r="G19" i="1" a="1"/>
  <c r="M15" i="1" a="1"/>
  <c r="H12" i="1" a="1"/>
  <c r="W7" i="1" a="1"/>
  <c r="U4" i="1" a="1"/>
  <c r="AE228" i="1" a="1"/>
  <c r="T222" i="1" a="1"/>
  <c r="G205" i="1" a="1"/>
  <c r="L191" i="1" a="1"/>
  <c r="AA268" i="1" a="1"/>
  <c r="O262" i="1" a="1"/>
  <c r="AE259" i="1" a="1"/>
  <c r="G257" i="1" a="1"/>
  <c r="N254" i="1" a="1"/>
  <c r="V249" i="1" a="1"/>
  <c r="S247" i="1" a="1"/>
  <c r="AD237" i="1" a="1"/>
  <c r="J231" i="1" a="1"/>
  <c r="H229" i="1" a="1"/>
  <c r="V218" i="1" a="1"/>
  <c r="M205" i="1" a="1"/>
  <c r="J203" i="1" a="1"/>
  <c r="V201" i="1" a="1"/>
  <c r="F198" i="1" a="1"/>
  <c r="Q196" i="1" a="1"/>
  <c r="G193" i="1" a="1"/>
  <c r="O191" i="1" a="1"/>
  <c r="AC189" i="1" a="1"/>
  <c r="H174" i="1" a="1"/>
  <c r="X172" i="1" a="1"/>
  <c r="N171" i="1" a="1"/>
  <c r="AA169" i="1" a="1"/>
  <c r="F164" i="1" a="1"/>
  <c r="W162" i="1" a="1"/>
  <c r="AB159" i="1" a="1"/>
  <c r="H153" i="1" a="1"/>
  <c r="AC151" i="1" a="1"/>
  <c r="Y150" i="1" a="1"/>
  <c r="U149" i="1" a="1"/>
  <c r="M148" i="1" a="1"/>
  <c r="I147" i="1" a="1"/>
  <c r="U142" i="1" a="1"/>
  <c r="Y135" i="1" a="1"/>
  <c r="G129" i="1" a="1"/>
  <c r="G128" i="1" a="1"/>
  <c r="J127" i="1" a="1"/>
  <c r="K126" i="1" a="1"/>
  <c r="I125" i="1" a="1"/>
  <c r="N124" i="1" a="1"/>
  <c r="S122" i="1" a="1"/>
  <c r="Z118" i="1" a="1"/>
  <c r="AE117" i="1" a="1"/>
  <c r="J115" i="1" a="1"/>
  <c r="N114" i="1" a="1"/>
  <c r="S113" i="1" a="1"/>
  <c r="X112" i="1" a="1"/>
  <c r="F110" i="1" a="1"/>
  <c r="J109" i="1" a="1"/>
  <c r="Z106" i="1" a="1"/>
  <c r="AC105" i="1" a="1"/>
  <c r="F105" i="1" a="1"/>
  <c r="Q103" i="1" a="1"/>
  <c r="U102" i="1" a="1"/>
  <c r="J96" i="1" a="1"/>
  <c r="P95" i="1" a="1"/>
  <c r="V94" i="1" a="1"/>
  <c r="Z93" i="1" a="1"/>
  <c r="O91" i="1" a="1"/>
  <c r="AB89" i="1" a="1"/>
  <c r="Y86" i="1" a="1"/>
  <c r="I85" i="1" a="1"/>
  <c r="P84" i="1" a="1"/>
  <c r="K78" i="1" a="1"/>
  <c r="S77" i="1" a="1"/>
  <c r="AE75" i="1" a="1"/>
  <c r="W73" i="1" a="1"/>
  <c r="AB72" i="1" a="1"/>
  <c r="H72" i="1" a="1"/>
  <c r="O71" i="1" a="1"/>
  <c r="W70" i="1" a="1"/>
  <c r="I69" i="1" a="1"/>
  <c r="X67" i="1" a="1"/>
  <c r="W63" i="1" a="1"/>
  <c r="Y61" i="1" a="1"/>
  <c r="O60" i="1" a="1"/>
  <c r="F59" i="1" a="1"/>
  <c r="P58" i="1" a="1"/>
  <c r="G57" i="1" a="1"/>
  <c r="Q56" i="1" a="1"/>
  <c r="G55" i="1" a="1"/>
  <c r="Q54" i="1" a="1"/>
  <c r="AA53" i="1" a="1"/>
  <c r="G53" i="1" a="1"/>
  <c r="AA51" i="1" a="1"/>
  <c r="R50" i="1" a="1"/>
  <c r="AB47" i="1" a="1"/>
  <c r="AA43" i="1" a="1"/>
  <c r="H43" i="1" a="1"/>
  <c r="AB39" i="1" a="1"/>
  <c r="AD35" i="1" a="1"/>
  <c r="O29" i="1" a="1"/>
  <c r="F28" i="1" a="1"/>
  <c r="P27" i="1" a="1"/>
  <c r="I26" i="1" a="1"/>
  <c r="S25" i="1" a="1"/>
  <c r="K24" i="1" a="1"/>
  <c r="U23" i="1" a="1"/>
  <c r="M22" i="1" a="1"/>
  <c r="Q20" i="1" a="1"/>
  <c r="S18" i="1" a="1"/>
  <c r="V16" i="1" a="1"/>
  <c r="N15" i="1" a="1"/>
  <c r="Y14" i="1" a="1"/>
  <c r="P13" i="1" a="1"/>
  <c r="AA12" i="1" a="1"/>
  <c r="S11" i="1" a="1"/>
  <c r="AC10" i="1" a="1"/>
  <c r="U9" i="1" a="1"/>
  <c r="X7" i="1" a="1"/>
  <c r="R6" i="1" a="1"/>
  <c r="AC5" i="1" a="1"/>
  <c r="L5" i="1" a="1"/>
  <c r="P3" i="1" a="1"/>
  <c r="H240" i="1" a="1"/>
  <c r="I171" i="1" a="1"/>
  <c r="Q165" i="1" a="1"/>
  <c r="P154" i="1" a="1"/>
  <c r="L148" i="1" a="1"/>
  <c r="X143" i="1" a="1"/>
  <c r="AD137" i="1" a="1"/>
  <c r="G131" i="1" a="1"/>
  <c r="Y106" i="1" a="1"/>
  <c r="T98" i="1" a="1"/>
  <c r="H41" i="1" a="1"/>
  <c r="AC24" i="1" a="1"/>
  <c r="V264" i="1" a="1"/>
  <c r="AD248" i="1" a="1"/>
  <c r="AE246" i="1" a="1"/>
  <c r="G244" i="1" a="1"/>
  <c r="AB241" i="1" a="1"/>
  <c r="W239" i="1" a="1"/>
  <c r="F237" i="1" a="1"/>
  <c r="AB234" i="1" a="1"/>
  <c r="AD232" i="1" a="1"/>
  <c r="S228" i="1" a="1"/>
  <c r="H224" i="1" a="1"/>
  <c r="G222" i="1" a="1"/>
  <c r="K220" i="1" a="1"/>
  <c r="I214" i="1" a="1"/>
  <c r="I210" i="1" a="1"/>
  <c r="K208" i="1" a="1"/>
  <c r="P206" i="1" a="1"/>
  <c r="J201" i="1" a="1"/>
  <c r="U192" i="1" a="1"/>
  <c r="K189" i="1" a="1"/>
  <c r="I186" i="1" a="1"/>
  <c r="R184" i="1" a="1"/>
  <c r="Q181" i="1" a="1"/>
  <c r="J178" i="1" a="1"/>
  <c r="H175" i="1" a="1"/>
  <c r="V173" i="1" a="1"/>
  <c r="F168" i="1" a="1"/>
  <c r="J162" i="1" a="1"/>
  <c r="Q159" i="1" a="1"/>
  <c r="M155" i="1" a="1"/>
  <c r="J154" i="1" a="1"/>
  <c r="F149" i="1" a="1"/>
  <c r="AD146" i="1" a="1"/>
  <c r="W145" i="1" a="1"/>
  <c r="X138" i="1" a="1"/>
  <c r="R136" i="1" a="1"/>
  <c r="AC131" i="1" a="1"/>
  <c r="Z130" i="1" a="1"/>
  <c r="AD129" i="1" a="1"/>
  <c r="AC127" i="1" a="1"/>
  <c r="H122" i="1" a="1"/>
  <c r="P119" i="1" a="1"/>
  <c r="S118" i="1" a="1"/>
  <c r="W117" i="1" a="1"/>
  <c r="AA115" i="1" a="1"/>
  <c r="H114" i="1" a="1"/>
  <c r="S111" i="1" a="1"/>
  <c r="W110" i="1" a="1"/>
  <c r="AA109" i="1" a="1"/>
  <c r="H108" i="1" a="1"/>
  <c r="N107" i="1" a="1"/>
  <c r="V105" i="1" a="1"/>
  <c r="AA104" i="1" a="1"/>
  <c r="H103" i="1" a="1"/>
  <c r="O102" i="1" a="1"/>
  <c r="X100" i="1" a="1"/>
  <c r="AE99" i="1" a="1"/>
  <c r="J95" i="1" a="1"/>
  <c r="M94" i="1" a="1"/>
  <c r="S93" i="1" a="1"/>
  <c r="AE91" i="1" a="1"/>
  <c r="G91" i="1" a="1"/>
  <c r="N90" i="1" a="1"/>
  <c r="AB88" i="1" a="1"/>
  <c r="L87" i="1" a="1"/>
  <c r="M80" i="1" a="1"/>
  <c r="K77" i="1" a="1"/>
  <c r="R76" i="1" a="1"/>
  <c r="X75" i="1" a="1"/>
  <c r="AE74" i="1" a="1"/>
  <c r="J74" i="1" a="1"/>
  <c r="I71" i="1" a="1"/>
  <c r="O70" i="1" a="1"/>
  <c r="X69" i="1" a="1"/>
  <c r="AE68" i="1" a="1"/>
  <c r="R67" i="1" a="1"/>
  <c r="Z66" i="1" a="1"/>
  <c r="H66" i="1" a="1"/>
  <c r="R65" i="1" a="1"/>
  <c r="Z64" i="1" a="1"/>
  <c r="R63" i="1" a="1"/>
  <c r="AA62" i="1" a="1"/>
  <c r="H62" i="1" a="1"/>
  <c r="AD52" i="1" a="1"/>
  <c r="K52" i="1" a="1"/>
  <c r="U51" i="1" a="1"/>
  <c r="L50" i="1" a="1"/>
  <c r="U49" i="1" a="1"/>
  <c r="L48" i="1" a="1"/>
  <c r="V47" i="1" a="1"/>
  <c r="AE46" i="1" a="1"/>
  <c r="K46" i="1" a="1"/>
  <c r="V45" i="1" a="1"/>
  <c r="L44" i="1" a="1"/>
  <c r="L42" i="1" a="1"/>
  <c r="V41" i="1" a="1"/>
  <c r="L40" i="1" a="1"/>
  <c r="V39" i="1" a="1"/>
  <c r="M38" i="1" a="1"/>
  <c r="W37" i="1" a="1"/>
  <c r="N36" i="1" a="1"/>
  <c r="X35" i="1" a="1"/>
  <c r="O34" i="1" a="1"/>
  <c r="Y33" i="1" a="1"/>
  <c r="F33" i="1" a="1"/>
  <c r="Y31" i="1" a="1"/>
  <c r="F31" i="1" a="1"/>
  <c r="AA29" i="1" a="1"/>
  <c r="AC27" i="1" a="1"/>
  <c r="U26" i="1" a="1"/>
  <c r="AE25" i="1" a="1"/>
  <c r="W24" i="1" a="1"/>
  <c r="Y22" i="1" a="1"/>
  <c r="G22" i="1" a="1"/>
  <c r="AB20" i="1" a="1"/>
  <c r="J20" i="1" a="1"/>
  <c r="AD18" i="1" a="1"/>
  <c r="H15" i="1" a="1"/>
  <c r="AC13" i="1" a="1"/>
  <c r="J13" i="1" a="1"/>
  <c r="M11" i="1" a="1"/>
  <c r="O9" i="1" a="1"/>
  <c r="H8" i="1" a="1"/>
  <c r="W5" i="1" a="1"/>
  <c r="J3" i="1" a="1"/>
  <c r="W2" i="1" a="1"/>
  <c r="F2" i="1" a="1"/>
  <c r="R267" i="1" a="1"/>
  <c r="Z258" i="1" a="1"/>
  <c r="AA253" i="1" a="1"/>
  <c r="K251" i="1" a="1"/>
  <c r="AC248" i="1" a="1"/>
  <c r="F244" i="1" a="1"/>
  <c r="AA241" i="1" a="1"/>
  <c r="T239" i="1" a="1"/>
  <c r="AB232" i="1" a="1"/>
  <c r="R226" i="1" a="1"/>
  <c r="R204" i="1" a="1"/>
  <c r="AE200" i="1" a="1"/>
  <c r="L199" i="1" a="1"/>
  <c r="R197" i="1" a="1"/>
  <c r="F194" i="1" a="1"/>
  <c r="T192" i="1" a="1"/>
  <c r="W187" i="1" a="1"/>
  <c r="Q184" i="1" a="1"/>
  <c r="AC182" i="1" a="1"/>
  <c r="AA176" i="1" a="1"/>
  <c r="L172" i="1" a="1"/>
  <c r="Y170" i="1" a="1"/>
  <c r="P166" i="1" a="1"/>
  <c r="Z163" i="1" a="1"/>
  <c r="AA160" i="1" a="1"/>
  <c r="U156" i="1" a="1"/>
  <c r="S151" i="1" a="1"/>
  <c r="O150" i="1" a="1"/>
  <c r="AD147" i="1" a="1"/>
  <c r="U145" i="1" a="1"/>
  <c r="R144" i="1" a="1"/>
  <c r="N143" i="1" a="1"/>
  <c r="H142" i="1" a="1"/>
  <c r="T137" i="1" a="1"/>
  <c r="H134" i="1" a="1"/>
  <c r="X130" i="1" a="1"/>
  <c r="AC129" i="1" a="1"/>
  <c r="AA128" i="1" a="1"/>
  <c r="AD126" i="1" a="1"/>
  <c r="AA125" i="1" a="1"/>
  <c r="V117" i="1" a="1"/>
  <c r="W116" i="1" a="1"/>
  <c r="AD114" i="1" a="1"/>
  <c r="G114" i="1" a="1"/>
  <c r="I113" i="1" a="1"/>
  <c r="O112" i="1" a="1"/>
  <c r="AE108" i="1" a="1"/>
  <c r="J107" i="1" a="1"/>
  <c r="P106" i="1" a="1"/>
  <c r="U105" i="1" a="1"/>
  <c r="M102" i="1" a="1"/>
  <c r="T101" i="1" a="1"/>
  <c r="AD99" i="1" a="1"/>
  <c r="N98" i="1" a="1"/>
  <c r="S97" i="1" a="1"/>
  <c r="AE95" i="1" a="1"/>
  <c r="Y92" i="1" a="1"/>
  <c r="T89" i="1" a="1"/>
  <c r="Q86" i="1" a="1"/>
  <c r="X85" i="1" a="1"/>
  <c r="H84" i="1" a="1"/>
  <c r="AC81" i="1" a="1"/>
  <c r="F81" i="1" a="1"/>
  <c r="Y78" i="1" a="1"/>
  <c r="Q76" i="1" a="1"/>
  <c r="N73" i="1" a="1"/>
  <c r="V72" i="1" a="1"/>
  <c r="AC71" i="1" a="1"/>
  <c r="W69" i="1" a="1"/>
  <c r="J68" i="1" a="1"/>
  <c r="G66" i="1" a="1"/>
  <c r="Q65" i="1" a="1"/>
  <c r="R61" i="1" a="1"/>
  <c r="AA60" i="1" a="1"/>
  <c r="H60" i="1" a="1"/>
  <c r="S59" i="1" a="1"/>
  <c r="AB58" i="1" a="1"/>
  <c r="I58" i="1" a="1"/>
  <c r="T57" i="1" a="1"/>
  <c r="AC56" i="1" a="1"/>
  <c r="J56" i="1" a="1"/>
  <c r="S55" i="1" a="1"/>
  <c r="J54" i="1" a="1"/>
  <c r="T53" i="1" a="1"/>
  <c r="U45" i="1" a="1"/>
  <c r="L38" i="1" a="1"/>
  <c r="M36" i="1" a="1"/>
  <c r="N34" i="1" a="1"/>
  <c r="O30" i="1" a="1"/>
  <c r="Q28" i="1" a="1"/>
  <c r="J27" i="1" a="1"/>
  <c r="T26" i="1" a="1"/>
  <c r="P23" i="1" a="1"/>
  <c r="T19" i="1" a="1"/>
  <c r="L18" i="1" a="1"/>
  <c r="O16" i="1" a="1"/>
  <c r="Z15" i="1" a="1"/>
  <c r="R14" i="1" a="1"/>
  <c r="T12" i="1" a="1"/>
  <c r="W10" i="1" a="1"/>
  <c r="Z8" i="1" a="1"/>
  <c r="Q7" i="1" a="1"/>
  <c r="AC6" i="1" a="1"/>
  <c r="P4" i="1" a="1"/>
  <c r="AA3" i="1" a="1"/>
  <c r="V2" i="1" a="1"/>
  <c r="S270" i="1" a="1"/>
  <c r="N264" i="1" a="1"/>
  <c r="I261" i="1" a="1"/>
  <c r="F251" i="1" a="1"/>
  <c r="X248" i="1" a="1"/>
  <c r="W241" i="1" a="1"/>
  <c r="S239" i="1" a="1"/>
  <c r="Z234" i="1" a="1"/>
  <c r="S232" i="1" a="1"/>
  <c r="K230" i="1" a="1"/>
  <c r="AE217" i="1" a="1"/>
  <c r="AB215" i="1" a="1"/>
  <c r="H208" i="1" a="1"/>
  <c r="O204" i="1" a="1"/>
  <c r="AA202" i="1" a="1"/>
  <c r="G199" i="1" a="1"/>
  <c r="Q197" i="1" a="1"/>
  <c r="Y195" i="1" a="1"/>
  <c r="G186" i="1" a="1"/>
  <c r="AB182" i="1" a="1"/>
  <c r="P181" i="1" a="1"/>
  <c r="H178" i="1" a="1"/>
  <c r="Y176" i="1" a="1"/>
  <c r="F175" i="1" a="1"/>
  <c r="K169" i="1" a="1"/>
  <c r="I162" i="1" a="1"/>
  <c r="X160" i="1" a="1"/>
  <c r="P159" i="1" a="1"/>
  <c r="T156" i="1" a="1"/>
  <c r="Y152" i="1" a="1"/>
  <c r="N150" i="1" a="1"/>
  <c r="AC146" i="1" a="1"/>
  <c r="T145" i="1" a="1"/>
  <c r="P144" i="1" a="1"/>
  <c r="F141" i="1" a="1"/>
  <c r="AD139" i="1" a="1"/>
  <c r="W138" i="1" a="1"/>
  <c r="AB131" i="1" a="1"/>
  <c r="W130" i="1" a="1"/>
  <c r="Y129" i="1" a="1"/>
  <c r="Z128" i="1" a="1"/>
  <c r="AA127" i="1" a="1"/>
  <c r="I121" i="1" a="1"/>
  <c r="L120" i="1" a="1"/>
  <c r="N119" i="1" a="1"/>
  <c r="P118" i="1" a="1"/>
  <c r="T117" i="1" a="1"/>
  <c r="Z115" i="1" a="1"/>
  <c r="F114" i="1" a="1"/>
  <c r="R111" i="1" a="1"/>
  <c r="Z109" i="1" a="1"/>
  <c r="F108" i="1" a="1"/>
  <c r="Z104" i="1" a="1"/>
  <c r="G103" i="1" a="1"/>
  <c r="W100" i="1" a="1"/>
  <c r="F99" i="1" a="1"/>
  <c r="M98" i="1" a="1"/>
  <c r="Q97" i="1" a="1"/>
  <c r="X96" i="1" a="1"/>
  <c r="I95" i="1" a="1"/>
  <c r="L94" i="1" a="1"/>
  <c r="Q93" i="1" a="1"/>
  <c r="AA91" i="1" a="1"/>
  <c r="F91" i="1" a="1"/>
  <c r="L90" i="1" a="1"/>
  <c r="Z88" i="1" a="1"/>
  <c r="AE87" i="1" a="1"/>
  <c r="K87" i="1" a="1"/>
  <c r="AC84" i="1" a="1"/>
  <c r="N83" i="1" a="1"/>
  <c r="U82" i="1" a="1"/>
  <c r="AB81" i="1" a="1"/>
  <c r="L80" i="1" a="1"/>
  <c r="R79" i="1" a="1"/>
  <c r="I77" i="1" a="1"/>
  <c r="P76" i="1" a="1"/>
  <c r="W75" i="1" a="1"/>
  <c r="AD74" i="1" a="1"/>
  <c r="G74" i="1" a="1"/>
  <c r="U72" i="1" a="1"/>
  <c r="H71" i="1" a="1"/>
  <c r="N70" i="1" a="1"/>
  <c r="V69" i="1" a="1"/>
  <c r="AD68" i="1" a="1"/>
  <c r="I68" i="1" a="1"/>
  <c r="Q67" i="1" a="1"/>
  <c r="Y66" i="1" a="1"/>
  <c r="Y64" i="1" a="1"/>
  <c r="F64" i="1" a="1"/>
  <c r="Q63" i="1" a="1"/>
  <c r="Z62" i="1" a="1"/>
  <c r="G62" i="1" a="1"/>
  <c r="Q61" i="1" a="1"/>
  <c r="R57" i="1" a="1"/>
  <c r="AB56" i="1" a="1"/>
  <c r="S53" i="1" a="1"/>
  <c r="AB52" i="1" a="1"/>
  <c r="I270" i="1" a="1"/>
  <c r="J239" i="1" a="1"/>
  <c r="R232" i="1" a="1"/>
  <c r="AE221" i="1" a="1"/>
  <c r="AD217" i="1" a="1"/>
  <c r="AE213" i="1" a="1"/>
  <c r="F208" i="1" a="1"/>
  <c r="H206" i="1" a="1"/>
  <c r="N204" i="1" a="1"/>
  <c r="Y202" i="1" a="1"/>
  <c r="AD200" i="1" a="1"/>
  <c r="T195" i="1" a="1"/>
  <c r="N192" i="1" a="1"/>
  <c r="H189" i="1" a="1"/>
  <c r="N184" i="1" a="1"/>
  <c r="S173" i="1" a="1"/>
  <c r="K172" i="1" a="1"/>
  <c r="J169" i="1" a="1"/>
  <c r="O166" i="1" a="1"/>
  <c r="AC164" i="1" a="1"/>
  <c r="X163" i="1" a="1"/>
  <c r="G162" i="1" a="1"/>
  <c r="W160" i="1" a="1"/>
  <c r="AC157" i="1" a="1"/>
  <c r="R156" i="1" a="1"/>
  <c r="K155" i="1" a="1"/>
  <c r="AC153" i="1" a="1"/>
  <c r="W152" i="1" a="1"/>
  <c r="AB146" i="1" a="1"/>
  <c r="S145" i="1" a="1"/>
  <c r="O144" i="1" a="1"/>
  <c r="M143" i="1" a="1"/>
  <c r="G142" i="1" a="1"/>
  <c r="I135" i="1" a="1"/>
  <c r="X128" i="1" a="1"/>
  <c r="Z127" i="1" a="1"/>
  <c r="AC126" i="1" a="1"/>
  <c r="Z125" i="1" a="1"/>
  <c r="AB124" i="1" a="1"/>
  <c r="F122" i="1" a="1"/>
  <c r="H121" i="1" a="1"/>
  <c r="V116" i="1" a="1"/>
  <c r="Y115" i="1" a="1"/>
  <c r="AC114" i="1" a="1"/>
  <c r="H113" i="1" a="1"/>
  <c r="K112" i="1" a="1"/>
  <c r="Y109" i="1" a="1"/>
  <c r="O106" i="1" a="1"/>
  <c r="T105" i="1" a="1"/>
  <c r="AC103" i="1" a="1"/>
  <c r="L102" i="1" a="1"/>
  <c r="S101" i="1" a="1"/>
  <c r="AD95" i="1" a="1"/>
  <c r="X92" i="1" a="1"/>
  <c r="Z91" i="1" a="1"/>
  <c r="Y88" i="1" a="1"/>
  <c r="W85" i="1" a="1"/>
  <c r="G84" i="1" a="1"/>
  <c r="T82" i="1" a="1"/>
  <c r="X78" i="1" a="1"/>
  <c r="AD77" i="1" a="1"/>
  <c r="L73" i="1" a="1"/>
  <c r="T72" i="1" a="1"/>
  <c r="AB71" i="1" a="1"/>
  <c r="U69" i="1" a="1"/>
  <c r="H68" i="1" a="1"/>
  <c r="Z60" i="1" a="1"/>
  <c r="G60" i="1" a="1"/>
  <c r="Q59" i="1" a="1"/>
  <c r="AA58" i="1" a="1"/>
  <c r="H58" i="1" a="1"/>
  <c r="I56" i="1" a="1"/>
  <c r="R55" i="1" a="1"/>
  <c r="AA54" i="1" a="1"/>
  <c r="I54" i="1" a="1"/>
  <c r="S49" i="1" a="1"/>
  <c r="T47" i="1" a="1"/>
  <c r="S45" i="1" a="1"/>
  <c r="T41" i="1" a="1"/>
  <c r="J40" i="1" a="1"/>
  <c r="U37" i="1" a="1"/>
  <c r="N30" i="1" a="1"/>
  <c r="F29" i="1" a="1"/>
  <c r="P28" i="1" a="1"/>
  <c r="I27" i="1" a="1"/>
  <c r="S26" i="1" a="1"/>
  <c r="J25" i="1" a="1"/>
  <c r="U24" i="1" a="1"/>
  <c r="O23" i="1" a="1"/>
  <c r="P21" i="1" a="1"/>
  <c r="S19" i="1" a="1"/>
  <c r="U17" i="1" a="1"/>
  <c r="N16" i="1" a="1"/>
  <c r="Y15" i="1" a="1"/>
  <c r="Q14" i="1" a="1"/>
  <c r="Z13" i="1" a="1"/>
  <c r="S12" i="1" a="1"/>
  <c r="AD11" i="1" a="1"/>
  <c r="U10" i="1" a="1"/>
  <c r="AE9" i="1" a="1"/>
  <c r="Y8" i="1" a="1"/>
  <c r="P7" i="1" a="1"/>
  <c r="AB6" i="1" a="1"/>
  <c r="O4" i="1" a="1"/>
  <c r="G264" i="1" a="1"/>
  <c r="F261" i="1" a="1"/>
  <c r="X258" i="1" a="1"/>
  <c r="AC255" i="1" a="1"/>
  <c r="T248" i="1" a="1"/>
  <c r="U241" i="1" a="1"/>
  <c r="AB236" i="1" a="1"/>
  <c r="L232" i="1" a="1"/>
  <c r="J230" i="1" a="1"/>
  <c r="K226" i="1" a="1"/>
  <c r="AD219" i="1" a="1"/>
  <c r="AC217" i="1" a="1"/>
  <c r="W202" i="1" a="1"/>
  <c r="AC200" i="1" a="1"/>
  <c r="M192" i="1" a="1"/>
  <c r="S187" i="1" a="1"/>
  <c r="F181" i="1" a="1"/>
  <c r="V179" i="1" a="1"/>
  <c r="V170" i="1" a="1"/>
  <c r="T160" i="1" a="1"/>
  <c r="O159" i="1" a="1"/>
  <c r="T152" i="1" a="1"/>
  <c r="O151" i="1" a="1"/>
  <c r="AB147" i="1" a="1"/>
  <c r="AA139" i="1" a="1"/>
  <c r="V138" i="1" a="1"/>
  <c r="N136" i="1" a="1"/>
  <c r="H135" i="1" a="1"/>
  <c r="F134" i="1" a="1"/>
  <c r="AA131" i="1" a="1"/>
  <c r="V130" i="1" a="1"/>
  <c r="X129" i="1" a="1"/>
  <c r="Y127" i="1" a="1"/>
  <c r="AB126" i="1" a="1"/>
  <c r="AA124" i="1" a="1"/>
  <c r="H120" i="1" a="1"/>
  <c r="O118" i="1" a="1"/>
  <c r="S117" i="1" a="1"/>
  <c r="G113" i="1" a="1"/>
  <c r="J112" i="1" a="1"/>
  <c r="P111" i="1" a="1"/>
  <c r="R110" i="1" a="1"/>
  <c r="V109" i="1" a="1"/>
  <c r="AB108" i="1" a="1"/>
  <c r="H107" i="1" a="1"/>
  <c r="S105" i="1" a="1"/>
  <c r="Y104" i="1" a="1"/>
  <c r="F103" i="1" a="1"/>
  <c r="AB99" i="1" a="1"/>
  <c r="J98" i="1" a="1"/>
  <c r="P97" i="1" a="1"/>
  <c r="J94" i="1" a="1"/>
  <c r="O93" i="1" a="1"/>
  <c r="K90" i="1" a="1"/>
  <c r="R89" i="1" a="1"/>
  <c r="AD87" i="1" a="1"/>
  <c r="O86" i="1" a="1"/>
  <c r="AB84" i="1" a="1"/>
  <c r="L83" i="1" a="1"/>
  <c r="Q79" i="1" a="1"/>
  <c r="AC74" i="1" a="1"/>
  <c r="AA71" i="1" a="1"/>
  <c r="M70" i="1" a="1"/>
  <c r="AB68" i="1" a="1"/>
  <c r="X66" i="1" a="1"/>
  <c r="O65" i="1" a="1"/>
  <c r="X64" i="1" a="1"/>
  <c r="N63" i="1" a="1"/>
  <c r="Y62" i="1" a="1"/>
  <c r="F62" i="1" a="1"/>
  <c r="Y60" i="1" a="1"/>
  <c r="Z58" i="1" a="1"/>
  <c r="AA52" i="1" a="1"/>
  <c r="I52" i="1" a="1"/>
  <c r="S51" i="1" a="1"/>
  <c r="AB50" i="1" a="1"/>
  <c r="I50" i="1" a="1"/>
  <c r="R49" i="1" a="1"/>
  <c r="AB48" i="1" a="1"/>
  <c r="I48" i="1" a="1"/>
  <c r="AB46" i="1" a="1"/>
  <c r="I46" i="1" a="1"/>
  <c r="AC44" i="1" a="1"/>
  <c r="J44" i="1" a="1"/>
  <c r="S43" i="1" a="1"/>
  <c r="AB42" i="1" a="1"/>
  <c r="J42" i="1" a="1"/>
  <c r="AB40" i="1" a="1"/>
  <c r="T39" i="1" a="1"/>
  <c r="AC38" i="1" a="1"/>
  <c r="J38" i="1" a="1"/>
  <c r="AD36" i="1" a="1"/>
  <c r="K36" i="1" a="1"/>
  <c r="V35" i="1" a="1"/>
  <c r="AE34" i="1" a="1"/>
  <c r="L34" i="1" a="1"/>
  <c r="W33" i="1" a="1"/>
  <c r="M32" i="1" a="1"/>
  <c r="W31" i="1" a="1"/>
  <c r="Y29" i="1" a="1"/>
  <c r="AA27" i="1" a="1"/>
  <c r="AC25" i="1" a="1"/>
  <c r="W22" i="1" a="1"/>
  <c r="Z20" i="1" a="1"/>
  <c r="H20" i="1" a="1"/>
  <c r="AB18" i="1" a="1"/>
  <c r="J18" i="1" a="1"/>
  <c r="AE16" i="1" a="1"/>
  <c r="F15" i="1" a="1"/>
  <c r="H13" i="1" a="1"/>
  <c r="K11" i="1" a="1"/>
  <c r="M9" i="1" a="1"/>
  <c r="I6" i="1" a="1"/>
  <c r="U5" i="1" a="1"/>
  <c r="Y3" i="1" a="1"/>
  <c r="H3" i="1" a="1"/>
  <c r="T2" i="1" a="1"/>
  <c r="T258" i="1" a="1"/>
  <c r="AB255" i="1" a="1"/>
  <c r="L253" i="1" a="1"/>
  <c r="T241" i="1" a="1"/>
  <c r="G232" i="1" a="1"/>
  <c r="W221" i="1" a="1"/>
  <c r="AC219" i="1" a="1"/>
  <c r="V217" i="1" a="1"/>
  <c r="X211" i="1" a="1"/>
  <c r="J204" i="1" a="1"/>
  <c r="U200" i="1" a="1"/>
  <c r="O197" i="1" a="1"/>
  <c r="S195" i="1" a="1"/>
  <c r="AE193" i="1" a="1"/>
  <c r="S190" i="1" a="1"/>
  <c r="X185" i="1" a="1"/>
  <c r="L184" i="1" a="1"/>
  <c r="O173" i="1" a="1"/>
  <c r="AD171" i="1" a="1"/>
  <c r="L166" i="1" a="1"/>
  <c r="AA164" i="1" a="1"/>
  <c r="R163" i="1" a="1"/>
  <c r="S160" i="1" a="1"/>
  <c r="AB157" i="1" a="1"/>
  <c r="Q156" i="1" a="1"/>
  <c r="H155" i="1" a="1"/>
  <c r="Z153" i="1" a="1"/>
  <c r="N151" i="1" a="1"/>
  <c r="F150" i="1" a="1"/>
  <c r="R145" i="1" a="1"/>
  <c r="N144" i="1" a="1"/>
  <c r="AB140" i="1" a="1"/>
  <c r="U138" i="1" a="1"/>
  <c r="G135" i="1" a="1"/>
  <c r="T129" i="1" a="1"/>
  <c r="W128" i="1" a="1"/>
  <c r="W126" i="1" a="1"/>
  <c r="Y125" i="1" a="1"/>
  <c r="L119" i="1" a="1"/>
  <c r="P117" i="1" a="1"/>
  <c r="U116" i="1" a="1"/>
  <c r="AB114" i="1" a="1"/>
  <c r="AB103" i="1" a="1"/>
  <c r="K102" i="1" a="1"/>
  <c r="R101" i="1" a="1"/>
  <c r="U100" i="1" a="1"/>
  <c r="AA99" i="1" a="1"/>
  <c r="V96" i="1" a="1"/>
  <c r="AB95" i="1" a="1"/>
  <c r="AE94" i="1" a="1"/>
  <c r="W92" i="1" a="1"/>
  <c r="Y91" i="1" a="1"/>
  <c r="M251" i="1" a="1"/>
  <c r="P223" i="1" a="1"/>
  <c r="L216" i="1" a="1"/>
  <c r="R212" i="1" a="1"/>
  <c r="Q209" i="1" a="1"/>
  <c r="AD196" i="1" a="1"/>
  <c r="AD182" i="1" a="1"/>
  <c r="K180" i="1" a="1"/>
  <c r="AC177" i="1" a="1"/>
  <c r="I175" i="1" a="1"/>
  <c r="S172" i="1" a="1"/>
  <c r="T167" i="1" a="1"/>
  <c r="N165" i="1" a="1"/>
  <c r="P160" i="1" a="1"/>
  <c r="U155" i="1" a="1"/>
  <c r="Q153" i="1" a="1"/>
  <c r="P143" i="1" a="1"/>
  <c r="K141" i="1" a="1"/>
  <c r="P139" i="1" a="1"/>
  <c r="S135" i="1" a="1"/>
  <c r="O126" i="1" a="1"/>
  <c r="Y124" i="1" a="1"/>
  <c r="P115" i="1" a="1"/>
  <c r="Z113" i="1" a="1"/>
  <c r="I112" i="1" a="1"/>
  <c r="O109" i="1" a="1"/>
  <c r="AB107" i="1" a="1"/>
  <c r="L106" i="1" a="1"/>
  <c r="V103" i="1" a="1"/>
  <c r="I102" i="1" a="1"/>
  <c r="AC100" i="1" a="1"/>
  <c r="T96" i="1" a="1"/>
  <c r="AE93" i="1" a="1"/>
  <c r="Q92" i="1" a="1"/>
  <c r="H91" i="1" a="1"/>
  <c r="AA89" i="1" a="1"/>
  <c r="T88" i="1" a="1"/>
  <c r="H86" i="1" a="1"/>
  <c r="O72" i="1" a="1"/>
  <c r="AC69" i="1" a="1"/>
  <c r="S67" i="1" a="1"/>
  <c r="Q66" i="1" a="1"/>
  <c r="L65" i="1" a="1"/>
  <c r="J64" i="1" a="1"/>
  <c r="J63" i="1" a="1"/>
  <c r="AD59" i="1" a="1"/>
  <c r="U55" i="1" a="1"/>
  <c r="P54" i="1" a="1"/>
  <c r="N53" i="1" a="1"/>
  <c r="L52" i="1" a="1"/>
  <c r="M51" i="1" a="1"/>
  <c r="K50" i="1" a="1"/>
  <c r="L49" i="1" a="1"/>
  <c r="H48" i="1" a="1"/>
  <c r="G47" i="1" a="1"/>
  <c r="F46" i="1" a="1"/>
  <c r="AC36" i="1" a="1"/>
  <c r="AC33" i="1" a="1"/>
  <c r="AE26" i="1" a="1"/>
  <c r="AB25" i="1" a="1"/>
  <c r="H16" i="1" a="1"/>
  <c r="G15" i="1" a="1"/>
  <c r="J14" i="1" a="1"/>
  <c r="G13" i="1" a="1"/>
  <c r="F12" i="1" a="1"/>
  <c r="I11" i="1" a="1"/>
  <c r="K7" i="1" a="1"/>
  <c r="M6" i="1" a="1"/>
  <c r="O5" i="1" a="1"/>
  <c r="Q4" i="1" a="1"/>
  <c r="S3" i="1" a="1"/>
  <c r="M234" i="1" a="1"/>
  <c r="H3" i="4" a="1"/>
  <c r="F242" i="1" a="1"/>
  <c r="O199" i="1" a="1"/>
  <c r="Z187" i="1" a="1"/>
  <c r="T174" i="1" a="1"/>
  <c r="AE134" i="1" a="1"/>
  <c r="P129" i="1" a="1"/>
  <c r="F118" i="1" a="1"/>
  <c r="K103" i="1" a="1"/>
  <c r="Y97" i="1" a="1"/>
  <c r="Q78" i="1" a="1"/>
  <c r="F72" i="1" a="1"/>
  <c r="I66" i="1" a="1"/>
  <c r="AE62" i="1" a="1"/>
  <c r="Y43" i="1" a="1"/>
  <c r="Y36" i="1" a="1"/>
  <c r="Z17" i="1" a="1"/>
  <c r="AD13" i="1" a="1"/>
  <c r="AC229" i="1" a="1"/>
  <c r="T205" i="1" a="1"/>
  <c r="R193" i="1" a="1"/>
  <c r="Q162" i="1" a="1"/>
  <c r="AD148" i="1" a="1"/>
  <c r="AA140" i="1" a="1"/>
  <c r="S119" i="1" a="1"/>
  <c r="Q113" i="1" a="1"/>
  <c r="Z101" i="1" a="1"/>
  <c r="AB90" i="1" a="1"/>
  <c r="V84" i="1" a="1"/>
  <c r="AB80" i="1" a="1"/>
  <c r="AB75" i="1" a="1"/>
  <c r="AE63" i="1" a="1"/>
  <c r="W60" i="1" a="1"/>
  <c r="N56" i="1" a="1"/>
  <c r="W39" i="1" a="1"/>
  <c r="T30" i="1" a="1"/>
  <c r="W26" i="1" a="1"/>
  <c r="Y23" i="1" a="1"/>
  <c r="Y20" i="1" a="1"/>
  <c r="J4" i="1" a="1"/>
  <c r="P2" i="1" a="1"/>
  <c r="AA254" i="1" a="1"/>
  <c r="L222" i="1" a="1"/>
  <c r="W211" i="1" a="1"/>
  <c r="AE198" i="1" a="1"/>
  <c r="P187" i="1" a="1"/>
  <c r="Q179" i="1" a="1"/>
  <c r="R174" i="1" a="1"/>
  <c r="X164" i="1" a="1"/>
  <c r="AE146" i="1" a="1"/>
  <c r="AE138" i="1" a="1"/>
  <c r="X132" i="1" a="1"/>
  <c r="N129" i="1" a="1"/>
  <c r="X125" i="1" a="1"/>
  <c r="X122" i="1" a="1"/>
  <c r="AA108" i="1" a="1"/>
  <c r="P100" i="1" a="1"/>
  <c r="AC94" i="1" a="1"/>
  <c r="G92" i="1" a="1"/>
  <c r="AA90" i="1" a="1"/>
  <c r="J88" i="1" a="1"/>
  <c r="U84" i="1" a="1"/>
  <c r="AA75" i="1" a="1"/>
  <c r="M68" i="1" a="1"/>
  <c r="AC62" i="1" a="1"/>
  <c r="T58" i="1" a="1"/>
  <c r="F54" i="1" a="1"/>
  <c r="AC48" i="1" a="1"/>
  <c r="AE47" i="1" a="1"/>
  <c r="Y45" i="1" a="1"/>
  <c r="X43" i="1" a="1"/>
  <c r="X40" i="1" a="1"/>
  <c r="V37" i="1" a="1"/>
  <c r="S35" i="1" a="1"/>
  <c r="T28" i="1" a="1"/>
  <c r="V22" i="1" a="1"/>
  <c r="X20" i="1" a="1"/>
  <c r="Y17" i="1" a="1"/>
  <c r="AA13" i="1" a="1"/>
  <c r="AC8" i="1" a="1"/>
  <c r="AE6" i="1" a="1"/>
  <c r="M260" i="1" a="1"/>
  <c r="W255" i="1" a="1"/>
  <c r="AC234" i="1" a="1"/>
  <c r="V230" i="1" a="1"/>
  <c r="S219" i="1" a="1"/>
  <c r="O209" i="1" a="1"/>
  <c r="AE205" i="1" a="1"/>
  <c r="U199" i="1" a="1"/>
  <c r="AC196" i="1" a="1"/>
  <c r="O185" i="1" a="1"/>
  <c r="W182" i="1" a="1"/>
  <c r="AD174" i="1" a="1"/>
  <c r="G170" i="1" a="1"/>
  <c r="S167" i="1" a="1"/>
  <c r="O160" i="1" a="1"/>
  <c r="T155" i="1" a="1"/>
  <c r="M151" i="1" a="1"/>
  <c r="Q147" i="1" a="1"/>
  <c r="L145" i="1" a="1"/>
  <c r="L133" i="1" a="1"/>
  <c r="J126" i="1" a="1"/>
  <c r="F123" i="1" a="1"/>
  <c r="M118" i="1" a="1"/>
  <c r="AC116" i="1" a="1"/>
  <c r="I115" i="1" a="1"/>
  <c r="Y110" i="1" a="1"/>
  <c r="AA107" i="1" a="1"/>
  <c r="AC104" i="1" a="1"/>
  <c r="U103" i="1" a="1"/>
  <c r="H102" i="1" a="1"/>
  <c r="M99" i="1" a="1"/>
  <c r="K95" i="1" a="1"/>
  <c r="Z89" i="1" a="1"/>
  <c r="M87" i="1" a="1"/>
  <c r="Z84" i="1" a="1"/>
  <c r="T83" i="1" a="1"/>
  <c r="I81" i="1" a="1"/>
  <c r="O77" i="1" a="1"/>
  <c r="I76" i="1" a="1"/>
  <c r="Z74" i="1" a="1"/>
  <c r="S73" i="1" a="1"/>
  <c r="Y68" i="1" a="1"/>
  <c r="W57" i="1" a="1"/>
  <c r="W56" i="1" a="1"/>
  <c r="P55" i="1" a="1"/>
  <c r="O54" i="1" a="1"/>
  <c r="F47" i="1" a="1"/>
  <c r="AC40" i="1" a="1"/>
  <c r="AB38" i="1" a="1"/>
  <c r="AC34" i="1" a="1"/>
  <c r="AA33" i="1" a="1"/>
  <c r="AB32" i="1" a="1"/>
  <c r="AA31" i="1" a="1"/>
  <c r="AB30" i="1" a="1"/>
  <c r="AB29" i="1" a="1"/>
  <c r="AC28" i="1" a="1"/>
  <c r="AB27" i="1" a="1"/>
  <c r="AB24" i="1" a="1"/>
  <c r="AC23" i="1" a="1"/>
  <c r="AD22" i="1" a="1"/>
  <c r="AE21" i="1" a="1"/>
  <c r="G11" i="1" a="1"/>
  <c r="G10" i="1" a="1"/>
  <c r="J9" i="1" a="1"/>
  <c r="I8" i="1" a="1"/>
  <c r="K6" i="1" a="1"/>
  <c r="S2" i="1" a="1"/>
  <c r="X79" i="1" a="1"/>
  <c r="W259" i="1" a="1"/>
  <c r="L238" i="1" a="1"/>
  <c r="I219" i="1" a="1"/>
  <c r="Z164" i="1" a="1"/>
  <c r="R157" i="1" a="1"/>
  <c r="AE148" i="1" a="1"/>
  <c r="H133" i="1" a="1"/>
  <c r="AD125" i="1" a="1"/>
  <c r="L121" i="1" a="1"/>
  <c r="P116" i="1" a="1"/>
  <c r="P110" i="1" a="1"/>
  <c r="I99" i="1" a="1"/>
  <c r="V93" i="1" a="1"/>
  <c r="AD80" i="1" a="1"/>
  <c r="AC75" i="1" a="1"/>
  <c r="O56" i="1" a="1"/>
  <c r="F52" i="1" a="1"/>
  <c r="AE45" i="1" a="1"/>
  <c r="Z42" i="1" a="1"/>
  <c r="X38" i="1" a="1"/>
  <c r="Y34" i="1" a="1"/>
  <c r="AC15" i="1" a="1"/>
  <c r="AC254" i="1" a="1"/>
  <c r="L202" i="1" a="1"/>
  <c r="S179" i="1" a="1"/>
  <c r="AB152" i="1" a="1"/>
  <c r="AD142" i="1" a="1"/>
  <c r="S104" i="1" a="1"/>
  <c r="K83" i="1" a="1"/>
  <c r="P78" i="1" a="1"/>
  <c r="J73" i="1" a="1"/>
  <c r="H54" i="1" a="1"/>
  <c r="Y40" i="1" a="1"/>
  <c r="T32" i="1" a="1"/>
  <c r="U29" i="1" a="1"/>
  <c r="V27" i="1" a="1"/>
  <c r="V24" i="1" a="1"/>
  <c r="AA21" i="1" a="1"/>
  <c r="Z18" i="1" a="1"/>
  <c r="AD8" i="1" a="1"/>
  <c r="G5" i="1" a="1"/>
  <c r="U250" i="1" a="1"/>
  <c r="F196" i="1" a="1"/>
  <c r="O190" i="1" a="1"/>
  <c r="AB184" i="1" a="1"/>
  <c r="Z171" i="1" a="1"/>
  <c r="Q157" i="1" a="1"/>
  <c r="AC148" i="1" a="1"/>
  <c r="AA136" i="1" a="1"/>
  <c r="AE130" i="1" a="1"/>
  <c r="T127" i="1" a="1"/>
  <c r="J124" i="1" a="1"/>
  <c r="AA114" i="1" a="1"/>
  <c r="O110" i="1" a="1"/>
  <c r="P107" i="1" a="1"/>
  <c r="X97" i="1" a="1"/>
  <c r="U93" i="1" a="1"/>
  <c r="Q89" i="1" a="1"/>
  <c r="I73" i="1" a="1"/>
  <c r="S69" i="1" a="1"/>
  <c r="J67" i="1" a="1"/>
  <c r="O57" i="1" a="1"/>
  <c r="AA46" i="1" a="1"/>
  <c r="Y42" i="1" a="1"/>
  <c r="W36" i="1" a="1"/>
  <c r="T24" i="1" a="1"/>
  <c r="V21" i="1" a="1"/>
  <c r="W19" i="1" a="1"/>
  <c r="AB16" i="1" a="1"/>
  <c r="AC14" i="1" a="1"/>
  <c r="AD12" i="1" a="1"/>
  <c r="AB10" i="1" a="1"/>
  <c r="AD7" i="1" a="1"/>
  <c r="G271" i="1" a="1"/>
  <c r="M265" i="1" a="1"/>
  <c r="V255" i="1" a="1"/>
  <c r="H243" i="1" a="1"/>
  <c r="P234" i="1" a="1"/>
  <c r="J216" i="1" a="1"/>
  <c r="N209" i="1" a="1"/>
  <c r="T199" i="1" a="1"/>
  <c r="AA193" i="1" a="1"/>
  <c r="G180" i="1" a="1"/>
  <c r="T177" i="1" a="1"/>
  <c r="Z174" i="1" a="1"/>
  <c r="Q172" i="1" a="1"/>
  <c r="I165" i="1" a="1"/>
  <c r="V162" i="1" a="1"/>
  <c r="O155" i="1" a="1"/>
  <c r="P153" i="1" a="1"/>
  <c r="H143" i="1" a="1"/>
  <c r="J141" i="1" a="1"/>
  <c r="M137" i="1" a="1"/>
  <c r="O135" i="1" a="1"/>
  <c r="K133" i="1" a="1"/>
  <c r="R129" i="1" a="1"/>
  <c r="AD122" i="1" a="1"/>
  <c r="Q121" i="1" a="1"/>
  <c r="AD119" i="1" a="1"/>
  <c r="AB116" i="1" a="1"/>
  <c r="Y113" i="1" a="1"/>
  <c r="H112" i="1" a="1"/>
  <c r="F109" i="1" a="1"/>
  <c r="J106" i="1" a="1"/>
  <c r="G102" i="1" a="1"/>
  <c r="AB100" i="1" a="1"/>
  <c r="S96" i="1" a="1"/>
  <c r="Y93" i="1" a="1"/>
  <c r="O92" i="1" a="1"/>
  <c r="AE90" i="1" a="1"/>
  <c r="Y89" i="1" a="1"/>
  <c r="N82" i="1" a="1"/>
  <c r="H81" i="1" a="1"/>
  <c r="T78" i="1" a="1"/>
  <c r="Q73" i="1" a="1"/>
  <c r="N72" i="1" a="1"/>
  <c r="AA69" i="1" a="1"/>
  <c r="W68" i="1" a="1"/>
  <c r="N67" i="1" a="1"/>
  <c r="L66" i="1" a="1"/>
  <c r="K65" i="1" a="1"/>
  <c r="I64" i="1" a="1"/>
  <c r="AD60" i="1" a="1"/>
  <c r="AC59" i="1" a="1"/>
  <c r="X58" i="1" a="1"/>
  <c r="M53" i="1" a="1"/>
  <c r="J52" i="1" a="1"/>
  <c r="L51" i="1" a="1"/>
  <c r="H50" i="1" a="1"/>
  <c r="F49" i="1" a="1"/>
  <c r="G48" i="1" a="1"/>
  <c r="AD42" i="1" a="1"/>
  <c r="AA37" i="1" a="1"/>
  <c r="AB36" i="1" a="1"/>
  <c r="Z35" i="1" a="1"/>
  <c r="AB34" i="1" a="1"/>
  <c r="AE20" i="1" a="1"/>
  <c r="G16" i="1" a="1"/>
  <c r="J7" i="1" a="1"/>
  <c r="J5" i="1" a="1"/>
  <c r="M4" i="1" a="1"/>
  <c r="O3" i="1" a="1"/>
  <c r="M121" i="1" a="1"/>
  <c r="G6" i="1" a="1"/>
  <c r="X269" i="1" a="1"/>
  <c r="V250" i="1" a="1"/>
  <c r="O222" i="1" a="1"/>
  <c r="Z208" i="1" a="1"/>
  <c r="H196" i="1" a="1"/>
  <c r="X159" i="1" a="1"/>
  <c r="Y122" i="1" a="1"/>
  <c r="F115" i="1" a="1"/>
  <c r="R107" i="1" a="1"/>
  <c r="AD94" i="1" a="1"/>
  <c r="U89" i="1" a="1"/>
  <c r="I65" i="1" a="1"/>
  <c r="V59" i="1" a="1"/>
  <c r="K54" i="1" a="1"/>
  <c r="AA44" i="1" a="1"/>
  <c r="W35" i="1" a="1"/>
  <c r="AC16" i="1" a="1"/>
  <c r="AE12" i="1" a="1"/>
  <c r="AD9" i="1" a="1"/>
  <c r="AA233" i="1" a="1"/>
  <c r="N222" i="1" a="1"/>
  <c r="W208" i="1" a="1"/>
  <c r="J167" i="1" a="1"/>
  <c r="Y144" i="1" a="1"/>
  <c r="AD134" i="1" a="1"/>
  <c r="F121" i="1" a="1"/>
  <c r="Q100" i="1" a="1"/>
  <c r="O96" i="1" a="1"/>
  <c r="H92" i="1" a="1"/>
  <c r="AA85" i="1" a="1"/>
  <c r="V74" i="1" a="1"/>
  <c r="AC70" i="1" a="1"/>
  <c r="O68" i="1" a="1"/>
  <c r="AB61" i="1" a="1"/>
  <c r="L55" i="1" a="1"/>
  <c r="AE48" i="1" a="1"/>
  <c r="X41" i="1" a="1"/>
  <c r="U31" i="1" a="1"/>
  <c r="U28" i="1" a="1"/>
  <c r="W25" i="1" a="1"/>
  <c r="X22" i="1" a="1"/>
  <c r="F6" i="1" a="1"/>
  <c r="K3" i="1" a="1"/>
  <c r="Z140" i="1" a="1"/>
  <c r="F106" i="1" a="1"/>
  <c r="V79" i="1" a="1"/>
  <c r="U59" i="1" a="1"/>
  <c r="Z44" i="1" a="1"/>
  <c r="T23" i="1" a="1"/>
  <c r="AB15" i="1" a="1"/>
  <c r="AC9" i="1" a="1"/>
  <c r="F5" i="1" a="1"/>
  <c r="L260" i="1" a="1"/>
  <c r="F243" i="1" a="1"/>
  <c r="Y238" i="1" a="1"/>
  <c r="Y226" i="1" a="1"/>
  <c r="M223" i="1" a="1"/>
  <c r="Q219" i="1" a="1"/>
  <c r="G216" i="1" a="1"/>
  <c r="P212" i="1" a="1"/>
  <c r="L209" i="1" a="1"/>
  <c r="AD205" i="1" a="1"/>
  <c r="U202" i="1" a="1"/>
  <c r="R199" i="1" a="1"/>
  <c r="S182" i="1" a="1"/>
  <c r="S177" i="1" a="1"/>
  <c r="P167" i="1" a="1"/>
  <c r="M160" i="1" a="1"/>
  <c r="AA157" i="1" a="1"/>
  <c r="G153" i="1" a="1"/>
  <c r="I151" i="1" a="1"/>
  <c r="K145" i="1" a="1"/>
  <c r="F135" i="1" a="1"/>
  <c r="W124" i="1" a="1"/>
  <c r="L118" i="1" a="1"/>
  <c r="X116" i="1" a="1"/>
  <c r="H115" i="1" a="1"/>
  <c r="X113" i="1" a="1"/>
  <c r="G112" i="1" a="1"/>
  <c r="X110" i="1" a="1"/>
  <c r="I106" i="1" a="1"/>
  <c r="AB104" i="1" a="1"/>
  <c r="P103" i="1" a="1"/>
  <c r="L99" i="1" a="1"/>
  <c r="AE97" i="1" a="1"/>
  <c r="R96" i="1" a="1"/>
  <c r="AD90" i="1" a="1"/>
  <c r="S83" i="1" a="1"/>
  <c r="M82" i="1" a="1"/>
  <c r="L77" i="1" a="1"/>
  <c r="Y74" i="1" a="1"/>
  <c r="U68" i="1" a="1"/>
  <c r="H64" i="1" a="1"/>
  <c r="AE61" i="1" a="1"/>
  <c r="AC60" i="1" a="1"/>
  <c r="V57" i="1" a="1"/>
  <c r="U56" i="1" a="1"/>
  <c r="O55" i="1" a="1"/>
  <c r="G50" i="1" a="1"/>
  <c r="AA40" i="1" a="1"/>
  <c r="Z39" i="1" a="1"/>
  <c r="AA38" i="1" a="1"/>
  <c r="Z37" i="1" a="1"/>
  <c r="AA36" i="1" a="1"/>
  <c r="Z33" i="1" a="1"/>
  <c r="AA32" i="1" a="1"/>
  <c r="Z31" i="1" a="1"/>
  <c r="AA30" i="1" a="1"/>
  <c r="Z29" i="1" a="1"/>
  <c r="AB28" i="1" a="1"/>
  <c r="Z27" i="1" a="1"/>
  <c r="Y26" i="1" a="1"/>
  <c r="Y25" i="1" a="1"/>
  <c r="Z24" i="1" a="1"/>
  <c r="AA23" i="1" a="1"/>
  <c r="AC22" i="1" a="1"/>
  <c r="AD21" i="1" a="1"/>
  <c r="AE19" i="1" a="1"/>
  <c r="AC18" i="1" a="1"/>
  <c r="F10" i="1" a="1"/>
  <c r="G9" i="1" a="1"/>
  <c r="G8" i="1" a="1"/>
  <c r="I7" i="1" a="1"/>
  <c r="H6" i="1" a="1"/>
  <c r="R2" i="1" a="1"/>
  <c r="AE13" i="1" a="1"/>
  <c r="L4" i="1" a="1"/>
  <c r="R113" i="1" a="1"/>
  <c r="M92" i="1" a="1"/>
  <c r="AC90" i="1" a="1"/>
  <c r="P88" i="1" a="1"/>
  <c r="K82" i="1" a="1"/>
  <c r="AE80" i="1" a="1"/>
  <c r="G77" i="1" a="1"/>
  <c r="W74" i="1" a="1"/>
  <c r="G72" i="1" a="1"/>
  <c r="AD70" i="1" a="1"/>
  <c r="T68" i="1" a="1"/>
  <c r="AC61" i="1" a="1"/>
  <c r="V58" i="1" a="1"/>
  <c r="U57" i="1" a="1"/>
  <c r="P56" i="1" a="1"/>
  <c r="Z40" i="1" a="1"/>
  <c r="Z34" i="1" a="1"/>
  <c r="X33" i="1" a="1"/>
  <c r="Z32" i="1" a="1"/>
  <c r="X31" i="1" a="1"/>
  <c r="V28" i="1" a="1"/>
  <c r="W27" i="1" a="1"/>
  <c r="X26" i="1" a="1"/>
  <c r="X25" i="1" a="1"/>
  <c r="Z23" i="1" a="1"/>
  <c r="AA22" i="1" a="1"/>
  <c r="AB21" i="1" a="1"/>
  <c r="AA20" i="1" a="1"/>
  <c r="AC19" i="1" a="1"/>
  <c r="AA18" i="1" a="1"/>
  <c r="AA17" i="1" a="1"/>
  <c r="AE14" i="1" a="1"/>
  <c r="F9" i="1" a="1"/>
  <c r="H5" i="1" a="1"/>
  <c r="K4" i="1" a="1"/>
  <c r="L3" i="1" a="1"/>
  <c r="Q2" i="1" a="1"/>
  <c r="S215" i="1" a="1"/>
  <c r="U205" i="1" a="1"/>
  <c r="U193" i="1" a="1"/>
  <c r="L182" i="1" a="1"/>
  <c r="M167" i="1" a="1"/>
  <c r="U127" i="1" a="1"/>
  <c r="AB85" i="1" a="1"/>
  <c r="W79" i="1" a="1"/>
  <c r="K67" i="1" a="1"/>
  <c r="P57" i="1" a="1"/>
  <c r="F53" i="1" a="1"/>
  <c r="AC46" i="1" a="1"/>
  <c r="Y41" i="1" a="1"/>
  <c r="X37" i="1" a="1"/>
  <c r="V33" i="1" a="1"/>
  <c r="X19" i="1" a="1"/>
  <c r="AE11" i="1" a="1"/>
  <c r="AE7" i="1" a="1"/>
  <c r="G106" i="1" a="1"/>
  <c r="AB11" i="1" a="1"/>
  <c r="Z269" i="1" a="1"/>
  <c r="G255" i="1" a="1"/>
  <c r="AD250" i="1" a="1"/>
  <c r="Q242" i="1" a="1"/>
  <c r="X238" i="1" a="1"/>
  <c r="N234" i="1" a="1"/>
  <c r="P219" i="1" a="1"/>
  <c r="V215" i="1" a="1"/>
  <c r="N212" i="1" a="1"/>
  <c r="T202" i="1" a="1"/>
  <c r="Q199" i="1" a="1"/>
  <c r="J196" i="1" a="1"/>
  <c r="R182" i="1" a="1"/>
  <c r="Q177" i="1" a="1"/>
  <c r="N172" i="1" a="1"/>
  <c r="G165" i="1" a="1"/>
  <c r="U162" i="1" a="1"/>
  <c r="N155" i="1" a="1"/>
  <c r="F147" i="1" a="1"/>
  <c r="I141" i="1" a="1"/>
  <c r="G139" i="1" a="1"/>
  <c r="L137" i="1" a="1"/>
  <c r="J133" i="1" a="1"/>
  <c r="N131" i="1" a="1"/>
  <c r="Q129" i="1" a="1"/>
  <c r="G126" i="1" a="1"/>
  <c r="V124" i="1" a="1"/>
  <c r="K118" i="1" a="1"/>
  <c r="Q110" i="1" a="1"/>
  <c r="X107" i="1" a="1"/>
  <c r="O103" i="1" a="1"/>
  <c r="T100" i="1" a="1"/>
  <c r="K99" i="1" a="1"/>
  <c r="Z97" i="1" a="1"/>
  <c r="W93" i="1" a="1"/>
  <c r="Q88" i="1" a="1"/>
  <c r="F87" i="1" a="1"/>
  <c r="AD85" i="1" a="1"/>
  <c r="X84" i="1" a="1"/>
  <c r="R83" i="1" a="1"/>
  <c r="S78" i="1" a="1"/>
  <c r="AD75" i="1" a="1"/>
  <c r="P73" i="1" a="1"/>
  <c r="Z69" i="1" a="1"/>
  <c r="M67" i="1" a="1"/>
  <c r="J66" i="1" a="1"/>
  <c r="J65" i="1" a="1"/>
  <c r="W59" i="1" a="1"/>
  <c r="W58" i="1" a="1"/>
  <c r="N55" i="1" a="1"/>
  <c r="L54" i="1" a="1"/>
  <c r="L53" i="1" a="1"/>
  <c r="G52" i="1" a="1"/>
  <c r="F51" i="1" a="1"/>
  <c r="AD44" i="1" a="1"/>
  <c r="AE43" i="1" a="1"/>
  <c r="AA42" i="1" a="1"/>
  <c r="Z41" i="1" a="1"/>
  <c r="Y39" i="1" a="1"/>
  <c r="Z38" i="1" a="1"/>
  <c r="Y35" i="1" a="1"/>
  <c r="Z30" i="1" a="1"/>
  <c r="W29" i="1" a="1"/>
  <c r="Y24" i="1" a="1"/>
  <c r="AD16" i="1" a="1"/>
  <c r="AD15" i="1" a="1"/>
  <c r="N3" i="1" a="1"/>
  <c r="AA264" i="1" a="1"/>
  <c r="G242" i="1" a="1"/>
  <c r="V226" i="1" a="1"/>
  <c r="G223" i="1" a="1"/>
  <c r="M219" i="1" a="1"/>
  <c r="U215" i="1" a="1"/>
  <c r="AB205" i="1" a="1"/>
  <c r="M202" i="1" a="1"/>
  <c r="W193" i="1" a="1"/>
  <c r="Q190" i="1" a="1"/>
  <c r="AC187" i="1" a="1"/>
  <c r="M182" i="1" a="1"/>
  <c r="Y169" i="1" a="1"/>
  <c r="N167" i="1" a="1"/>
  <c r="W157" i="1" a="1"/>
  <c r="AC152" i="1" a="1"/>
  <c r="J145" i="1" a="1"/>
  <c r="H141" i="1" a="1"/>
  <c r="W127" i="1" a="1"/>
  <c r="S124" i="1" a="1"/>
  <c r="Y119" i="1" a="1"/>
  <c r="H118" i="1" a="1"/>
  <c r="F112" i="1" a="1"/>
  <c r="H106" i="1" a="1"/>
  <c r="T104" i="1" a="1"/>
  <c r="S100" i="1" a="1"/>
  <c r="Q96" i="1" a="1"/>
  <c r="J269" i="1" a="1"/>
  <c r="T250" i="1" a="1"/>
  <c r="AB229" i="1" a="1"/>
  <c r="K222" i="1" a="1"/>
  <c r="R205" i="1" a="1"/>
  <c r="AB198" i="1" a="1"/>
  <c r="N187" i="1" a="1"/>
  <c r="F182" i="1" a="1"/>
  <c r="AD176" i="1" a="1"/>
  <c r="W164" i="1" a="1"/>
  <c r="V159" i="1" a="1"/>
  <c r="AA152" i="1" a="1"/>
  <c r="X144" i="1" a="1"/>
  <c r="K254" i="1" a="1"/>
  <c r="Y225" i="1" a="1"/>
  <c r="T218" i="1" a="1"/>
  <c r="H202" i="1" a="1"/>
  <c r="K190" i="1" a="1"/>
  <c r="Y184" i="1" a="1"/>
  <c r="S169" i="1" a="1"/>
  <c r="U150" i="1" a="1"/>
  <c r="AB138" i="1" a="1"/>
  <c r="I237" i="1" a="1"/>
  <c r="F233" i="1" a="1"/>
  <c r="Z228" i="1" a="1"/>
  <c r="V221" i="1" a="1"/>
  <c r="N218" i="1" a="1"/>
  <c r="S214" i="1" a="1"/>
  <c r="U204" i="1" a="1"/>
  <c r="S201" i="1" a="1"/>
  <c r="W198" i="1" a="1"/>
  <c r="AB189" i="1" a="1"/>
  <c r="V181" i="1" a="1"/>
  <c r="H179" i="1" a="1"/>
  <c r="M176" i="1" a="1"/>
  <c r="Z173" i="1" a="1"/>
  <c r="R171" i="1" a="1"/>
  <c r="Z166" i="1" a="1"/>
  <c r="AC156" i="1" a="1"/>
  <c r="AA154" i="1" a="1"/>
  <c r="Q150" i="1" a="1"/>
  <c r="X148" i="1" a="1"/>
  <c r="T144" i="1" a="1"/>
  <c r="S140" i="1" a="1"/>
  <c r="U136" i="1" a="1"/>
  <c r="O134" i="1" a="1"/>
  <c r="T132" i="1" a="1"/>
  <c r="H127" i="1" a="1"/>
  <c r="K122" i="1" a="1"/>
  <c r="J119" i="1" a="1"/>
  <c r="Y117" i="1" a="1"/>
  <c r="U111" i="1" a="1"/>
  <c r="I104" i="1" a="1"/>
  <c r="F100" i="1" a="1"/>
  <c r="L93" i="1" a="1"/>
  <c r="R90" i="1" a="1"/>
  <c r="L89" i="1" a="1"/>
  <c r="X86" i="1" a="1"/>
  <c r="R85" i="1" a="1"/>
  <c r="M84" i="1" a="1"/>
  <c r="G83" i="1" a="1"/>
  <c r="AE81" i="1" a="1"/>
  <c r="G78" i="1" a="1"/>
  <c r="AD76" i="1" a="1"/>
  <c r="P69" i="1" a="1"/>
  <c r="AD65" i="1" a="1"/>
  <c r="AA63" i="1" a="1"/>
  <c r="V62" i="1" a="1"/>
  <c r="T61" i="1" a="1"/>
  <c r="S60" i="1" a="1"/>
  <c r="N59" i="1" a="1"/>
  <c r="W46" i="1" a="1"/>
  <c r="Q40" i="1" a="1"/>
  <c r="P39" i="1" a="1"/>
  <c r="P38" i="1" a="1"/>
  <c r="Q34" i="1" a="1"/>
  <c r="Q33" i="1" a="1"/>
  <c r="N32" i="1" a="1"/>
  <c r="Q31" i="1" a="1"/>
  <c r="S22" i="1" a="1"/>
  <c r="V15" i="1" a="1"/>
  <c r="W14" i="1" a="1"/>
  <c r="W13" i="1" a="1"/>
  <c r="W12" i="1" a="1"/>
  <c r="Y11" i="1" a="1"/>
  <c r="AA7" i="1" a="1"/>
  <c r="Z6" i="1" a="1"/>
  <c r="E3" i="1" a="1"/>
  <c r="I2" i="1" a="1"/>
  <c r="H258" i="1" a="1"/>
  <c r="AD253" i="1" a="1"/>
  <c r="Q249" i="1" a="1"/>
  <c r="O245" i="1" a="1"/>
  <c r="V236" i="1" a="1"/>
  <c r="Y228" i="1" a="1"/>
  <c r="O214" i="1" a="1"/>
  <c r="L211" i="1" a="1"/>
  <c r="T207" i="1" a="1"/>
  <c r="V198" i="1" a="1"/>
  <c r="V192" i="1" a="1"/>
  <c r="H184" i="1" a="1"/>
  <c r="W161" i="1" a="1"/>
  <c r="Z154" i="1" a="1"/>
  <c r="M152" i="1" a="1"/>
  <c r="P146" i="1" a="1"/>
  <c r="R142" i="1" a="1"/>
  <c r="R140" i="1" a="1"/>
  <c r="N138" i="1" a="1"/>
  <c r="T130" i="1" a="1"/>
  <c r="S125" i="1" a="1"/>
  <c r="U114" i="1" a="1"/>
  <c r="T111" i="1" a="1"/>
  <c r="W108" i="1" a="1"/>
  <c r="AD102" i="1" a="1"/>
  <c r="O101" i="1" a="1"/>
  <c r="Z98" i="1" a="1"/>
  <c r="M97" i="1" a="1"/>
  <c r="T94" i="1" a="1"/>
  <c r="X91" i="1" a="1"/>
  <c r="K89" i="1" a="1"/>
  <c r="X81" i="1" a="1"/>
  <c r="M79" i="1" a="1"/>
  <c r="R75" i="1" a="1"/>
  <c r="L74" i="1" a="1"/>
  <c r="Y71" i="1" a="1"/>
  <c r="T70" i="1" a="1"/>
  <c r="F68" i="1" a="1"/>
  <c r="U62" i="1" a="1"/>
  <c r="K57" i="1" a="1"/>
  <c r="G56" i="1" a="1"/>
  <c r="Z52" i="1" a="1"/>
  <c r="Y51" i="1" a="1"/>
  <c r="Z50" i="1" a="1"/>
  <c r="W49" i="1" a="1"/>
  <c r="X48" i="1" a="1"/>
  <c r="W47" i="1" a="1"/>
  <c r="Q43" i="1" a="1"/>
  <c r="Q42" i="1" a="1"/>
  <c r="Q41" i="1" a="1"/>
  <c r="O40" i="1" a="1"/>
  <c r="P37" i="1" a="1"/>
  <c r="O36" i="1" a="1"/>
  <c r="P35" i="1" a="1"/>
  <c r="P31" i="1" a="1"/>
  <c r="M30" i="1" a="1"/>
  <c r="M29" i="1" a="1"/>
  <c r="N28" i="1" a="1"/>
  <c r="N27" i="1" a="1"/>
  <c r="O25" i="1" a="1"/>
  <c r="Q24" i="1" a="1"/>
  <c r="Q23" i="1" a="1"/>
  <c r="R22" i="1" a="1"/>
  <c r="S21" i="1" a="1"/>
  <c r="T20" i="1" a="1"/>
  <c r="Q19" i="1" a="1"/>
  <c r="R18" i="1" a="1"/>
  <c r="S17" i="1" a="1"/>
  <c r="T16" i="1" a="1"/>
  <c r="X10" i="1" a="1"/>
  <c r="Z9" i="1" a="1"/>
  <c r="W8" i="1" a="1"/>
  <c r="Y6" i="1" a="1"/>
  <c r="AA5" i="1" a="1"/>
  <c r="AD4" i="1" a="1"/>
  <c r="AE3" i="1" a="1"/>
  <c r="H2" i="1" a="1"/>
  <c r="AC267" i="1" a="1"/>
  <c r="G258" i="1" a="1"/>
  <c r="M249" i="1" a="1"/>
  <c r="T236" i="1" a="1"/>
  <c r="X228" i="1" a="1"/>
  <c r="R225" i="1" a="1"/>
  <c r="T221" i="1" a="1"/>
  <c r="N214" i="1" a="1"/>
  <c r="S207" i="1" a="1"/>
  <c r="T204" i="1" a="1"/>
  <c r="N201" i="1" a="1"/>
  <c r="H195" i="1" a="1"/>
  <c r="F184" i="1" a="1"/>
  <c r="G179" i="1" a="1"/>
  <c r="H171" i="1" a="1"/>
  <c r="T166" i="1" a="1"/>
  <c r="P150" i="1" a="1"/>
  <c r="M144" i="1" a="1"/>
  <c r="Q142" i="1" a="1"/>
  <c r="J136" i="1" a="1"/>
  <c r="N134" i="1" a="1"/>
  <c r="R132" i="1" a="1"/>
  <c r="AB128" i="1" a="1"/>
  <c r="Z123" i="1" a="1"/>
  <c r="J122" i="1" a="1"/>
  <c r="AE115" i="1" a="1"/>
  <c r="T114" i="1" a="1"/>
  <c r="H104" i="1" a="1"/>
  <c r="AC102" i="1" a="1"/>
  <c r="S94" i="1" a="1"/>
  <c r="K93" i="1" a="1"/>
  <c r="Q90" i="1" a="1"/>
  <c r="AC87" i="1" a="1"/>
  <c r="W86" i="1" a="1"/>
  <c r="J84" i="1" a="1"/>
  <c r="L79" i="1" a="1"/>
  <c r="F78" i="1" a="1"/>
  <c r="V76" i="1" a="1"/>
  <c r="X71" i="1" a="1"/>
  <c r="N69" i="1" a="1"/>
  <c r="AD66" i="1" a="1"/>
  <c r="AC65" i="1" a="1"/>
  <c r="U63" i="1" a="1"/>
  <c r="S61" i="1" a="1"/>
  <c r="N60" i="1" a="1"/>
  <c r="M59" i="1" a="1"/>
  <c r="AE53" i="1" a="1"/>
  <c r="O39" i="1" a="1"/>
  <c r="N38" i="1" a="1"/>
  <c r="P33" i="1" a="1"/>
  <c r="L32" i="1" a="1"/>
  <c r="O26" i="1" a="1"/>
  <c r="Q21" i="1" a="1"/>
  <c r="S16" i="1" a="1"/>
  <c r="U15" i="1" a="1"/>
  <c r="U14" i="1" a="1"/>
  <c r="V13" i="1" a="1"/>
  <c r="V12" i="1" a="1"/>
  <c r="V7" i="1" a="1"/>
  <c r="X6" i="1" a="1"/>
  <c r="AA267" i="1" a="1"/>
  <c r="Q236" i="1" a="1"/>
  <c r="K225" i="1" a="1"/>
  <c r="R221" i="1" a="1"/>
  <c r="M214" i="1" a="1"/>
  <c r="H211" i="1" a="1"/>
  <c r="K192" i="1" a="1"/>
  <c r="Q189" i="1" a="1"/>
  <c r="AB186" i="1" a="1"/>
  <c r="S181" i="1" a="1"/>
  <c r="W173" i="1" a="1"/>
  <c r="Q166" i="1" a="1"/>
  <c r="AD163" i="1" a="1"/>
  <c r="V161" i="1" a="1"/>
  <c r="AE158" i="1" a="1"/>
  <c r="AA156" i="1" a="1"/>
  <c r="O154" i="1" a="1"/>
  <c r="O146" i="1" a="1"/>
  <c r="M138" i="1" a="1"/>
  <c r="I136" i="1" a="1"/>
  <c r="S130" i="1" a="1"/>
  <c r="V128" i="1" a="1"/>
  <c r="P125" i="1" a="1"/>
  <c r="X123" i="1" a="1"/>
  <c r="T120" i="1" a="1"/>
  <c r="G119" i="1" a="1"/>
  <c r="O111" i="1" a="1"/>
  <c r="AE109" i="1" a="1"/>
  <c r="R108" i="1" a="1"/>
  <c r="AB102" i="1" a="1"/>
  <c r="N101" i="1" a="1"/>
  <c r="S98" i="1" a="1"/>
  <c r="AA95" i="1" a="1"/>
  <c r="R94" i="1" a="1"/>
  <c r="W91" i="1" a="1"/>
  <c r="J89" i="1" a="1"/>
  <c r="U86" i="1" a="1"/>
  <c r="P85" i="1" a="1"/>
  <c r="I84" i="1" a="1"/>
  <c r="W81" i="1" a="1"/>
  <c r="Q80" i="1" a="1"/>
  <c r="K79" i="1" a="1"/>
  <c r="K74" i="1" a="1"/>
  <c r="W64" i="1" a="1"/>
  <c r="N61" i="1" a="1"/>
  <c r="M60" i="1" a="1"/>
  <c r="L59" i="1" a="1"/>
  <c r="J58" i="1" a="1"/>
  <c r="F57" i="1" a="1"/>
  <c r="AD53" i="1" a="1"/>
  <c r="Y52" i="1" a="1"/>
  <c r="X51" i="1" a="1"/>
  <c r="Y50" i="1" a="1"/>
  <c r="V49" i="1" a="1"/>
  <c r="W48" i="1" a="1"/>
  <c r="U47" i="1" a="1"/>
  <c r="U46" i="1" a="1"/>
  <c r="Q45" i="1" a="1"/>
  <c r="Q44" i="1" a="1"/>
  <c r="P43" i="1" a="1"/>
  <c r="P42" i="1" a="1"/>
  <c r="O41" i="1" a="1"/>
  <c r="O37" i="1" a="1"/>
  <c r="O35" i="1" a="1"/>
  <c r="L30" i="1" a="1"/>
  <c r="L29" i="1" a="1"/>
  <c r="M28" i="1" a="1"/>
  <c r="M27" i="1" a="1"/>
  <c r="N26" i="1" a="1"/>
  <c r="N25" i="1" a="1"/>
  <c r="O24" i="1" a="1"/>
  <c r="L23" i="1" a="1"/>
  <c r="Q22" i="1" a="1"/>
  <c r="N21" i="1" a="1"/>
  <c r="O19" i="1" a="1"/>
  <c r="P18" i="1" a="1"/>
  <c r="Q17" i="1" a="1"/>
  <c r="W11" i="1" a="1"/>
  <c r="T9" i="1" a="1"/>
  <c r="V8" i="1" a="1"/>
  <c r="Y5" i="1" a="1"/>
  <c r="AB4" i="1" a="1"/>
  <c r="AD3" i="1" a="1"/>
  <c r="I262" i="1" a="1"/>
  <c r="AC244" i="1" a="1"/>
  <c r="T240" i="1" a="1"/>
  <c r="F232" i="1" a="1"/>
  <c r="P221" i="1" a="1"/>
  <c r="P210" i="1" a="1"/>
  <c r="L201" i="1" a="1"/>
  <c r="F195" i="1" a="1"/>
  <c r="J192" i="1" a="1"/>
  <c r="P186" i="1" a="1"/>
  <c r="R181" i="1" a="1"/>
  <c r="G171" i="1" a="1"/>
  <c r="V168" i="1" a="1"/>
  <c r="K166" i="1" a="1"/>
  <c r="AC163" i="1" a="1"/>
  <c r="U161" i="1" a="1"/>
  <c r="AC158" i="1" a="1"/>
  <c r="M154" i="1" a="1"/>
  <c r="J148" i="1" a="1"/>
  <c r="M146" i="1" a="1"/>
  <c r="L144" i="1" a="1"/>
  <c r="I142" i="1" a="1"/>
  <c r="G140" i="1" a="1"/>
  <c r="H125" i="1" a="1"/>
  <c r="I122" i="1" a="1"/>
  <c r="S120" i="1" a="1"/>
  <c r="O117" i="1" a="1"/>
  <c r="L114" i="1" a="1"/>
  <c r="AD112" i="1" a="1"/>
  <c r="N108" i="1" a="1"/>
  <c r="P105" i="1" a="1"/>
  <c r="G104" i="1" a="1"/>
  <c r="L101" i="1" a="1"/>
  <c r="J97" i="1" a="1"/>
  <c r="Q94" i="1" a="1"/>
  <c r="G93" i="1" a="1"/>
  <c r="V91" i="1" a="1"/>
  <c r="O90" i="1" a="1"/>
  <c r="F84" i="1" a="1"/>
  <c r="O80" i="1" a="1"/>
  <c r="J79" i="1" a="1"/>
  <c r="AB77" i="1" a="1"/>
  <c r="O75" i="1" a="1"/>
  <c r="Z72" i="1" a="1"/>
  <c r="V71" i="1" a="1"/>
  <c r="G69" i="1" a="1"/>
  <c r="AC66" i="1" a="1"/>
  <c r="AA65" i="1" a="1"/>
  <c r="V64" i="1" a="1"/>
  <c r="T63" i="1" a="1"/>
  <c r="S62" i="1" a="1"/>
  <c r="G58" i="1" a="1"/>
  <c r="AE54" i="1" a="1"/>
  <c r="Y53" i="1" a="1"/>
  <c r="W50" i="1" a="1"/>
  <c r="P44" i="1" a="1"/>
  <c r="M40" i="1" a="1"/>
  <c r="N39" i="1" a="1"/>
  <c r="K34" i="1" a="1"/>
  <c r="J33" i="1" a="1"/>
  <c r="K32" i="1" a="1"/>
  <c r="J31" i="1" a="1"/>
  <c r="K25" i="1" a="1"/>
  <c r="N20" i="1" a="1"/>
  <c r="Q16" i="1" a="1"/>
  <c r="T15" i="1" a="1"/>
  <c r="S14" i="1" a="1"/>
  <c r="U13" i="1" a="1"/>
  <c r="R12" i="1" a="1"/>
  <c r="R11" i="1" a="1"/>
  <c r="S10" i="1" a="1"/>
  <c r="U7" i="1" a="1"/>
  <c r="W6" i="1" a="1"/>
  <c r="E2" i="1" a="1"/>
  <c r="X267" i="1" a="1"/>
  <c r="H262" i="1" a="1"/>
  <c r="Z257" i="1" a="1"/>
  <c r="AB244" i="1" a="1"/>
  <c r="S240" i="1" a="1"/>
  <c r="W224" i="1" a="1"/>
  <c r="O221" i="1" a="1"/>
  <c r="L214" i="1" a="1"/>
  <c r="Q207" i="1" a="1"/>
  <c r="Z194" i="1" a="1"/>
  <c r="N186" i="1" a="1"/>
  <c r="X178" i="1" a="1"/>
  <c r="F176" i="1" a="1"/>
  <c r="N173" i="1" a="1"/>
  <c r="H161" i="1" a="1"/>
  <c r="AB158" i="1" a="1"/>
  <c r="P156" i="1" a="1"/>
  <c r="L146" i="1" a="1"/>
  <c r="J144" i="1" a="1"/>
  <c r="H136" i="1" a="1"/>
  <c r="J134" i="1" a="1"/>
  <c r="J132" i="1" a="1"/>
  <c r="L130" i="1" a="1"/>
  <c r="W123" i="1" a="1"/>
  <c r="AC115" i="1" a="1"/>
  <c r="N111" i="1" a="1"/>
  <c r="AB109" i="1" a="1"/>
  <c r="AE106" i="1" a="1"/>
  <c r="AA102" i="1" a="1"/>
  <c r="R98" i="1" a="1"/>
  <c r="AE92" i="1" a="1"/>
  <c r="U91" i="1" a="1"/>
  <c r="J90" i="1" a="1"/>
  <c r="AA87" i="1" a="1"/>
  <c r="O85" i="1" a="1"/>
  <c r="V81" i="1" a="1"/>
  <c r="T76" i="1" a="1"/>
  <c r="U71" i="1" a="1"/>
  <c r="AE67" i="1" a="1"/>
  <c r="V65" i="1" a="1"/>
  <c r="M61" i="1" a="1"/>
  <c r="K60" i="1" a="1"/>
  <c r="F58" i="1" a="1"/>
  <c r="AE55" i="1" a="1"/>
  <c r="Z54" i="1" a="1"/>
  <c r="X52" i="1" a="1"/>
  <c r="V51" i="1" a="1"/>
  <c r="T49" i="1" a="1"/>
  <c r="U48" i="1" a="1"/>
  <c r="Q47" i="1" a="1"/>
  <c r="P46" i="1" a="1"/>
  <c r="P45" i="1" a="1"/>
  <c r="O43" i="1" a="1"/>
  <c r="M42" i="1" a="1"/>
  <c r="N41" i="1" a="1"/>
  <c r="N37" i="1" a="1"/>
  <c r="J36" i="1" a="1"/>
  <c r="I35" i="1" a="1"/>
  <c r="K29" i="1" a="1"/>
  <c r="L28" i="1" a="1"/>
  <c r="L27" i="1" a="1"/>
  <c r="M26" i="1" a="1"/>
  <c r="I25" i="1" a="1"/>
  <c r="K23" i="1" a="1"/>
  <c r="L22" i="1" a="1"/>
  <c r="M21" i="1" a="1"/>
  <c r="M20" i="1" a="1"/>
  <c r="N19" i="1" a="1"/>
  <c r="N18" i="1" a="1"/>
  <c r="P17" i="1" a="1"/>
  <c r="R10" i="1" a="1"/>
  <c r="S9" i="1" a="1"/>
  <c r="T8" i="1" a="1"/>
  <c r="AA4" i="1" a="1"/>
  <c r="AC3" i="1" a="1"/>
  <c r="W252" i="1" a="1"/>
  <c r="R248" i="1" a="1"/>
  <c r="O244" i="1" a="1"/>
  <c r="M236" i="1" a="1"/>
  <c r="G221" i="1" a="1"/>
  <c r="O210" i="1" a="1"/>
  <c r="T200" i="1" a="1"/>
  <c r="AB197" i="1" a="1"/>
  <c r="Q194" i="1" a="1"/>
  <c r="L189" i="1" a="1"/>
  <c r="AA183" i="1" a="1"/>
  <c r="AA170" i="1" a="1"/>
  <c r="U168" i="1" a="1"/>
  <c r="AB163" i="1" a="1"/>
  <c r="L154" i="1" a="1"/>
  <c r="I148" i="1" a="1"/>
  <c r="AD141" i="1" a="1"/>
  <c r="F140" i="1" a="1"/>
  <c r="J138" i="1" a="1"/>
  <c r="R128" i="1" a="1"/>
  <c r="AE126" i="1" a="1"/>
  <c r="G125" i="1" a="1"/>
  <c r="R120" i="1" a="1"/>
  <c r="AB115" i="1" a="1"/>
  <c r="K114" i="1" a="1"/>
  <c r="I111" i="1" a="1"/>
  <c r="L108" i="1" a="1"/>
  <c r="AD106" i="1" a="1"/>
  <c r="O105" i="1" a="1"/>
  <c r="T102" i="1" a="1"/>
  <c r="K101" i="1" a="1"/>
  <c r="Q98" i="1" a="1"/>
  <c r="I97" i="1" a="1"/>
  <c r="W95" i="1" a="1"/>
  <c r="N94" i="1" a="1"/>
  <c r="AC92" i="1" a="1"/>
  <c r="T91" i="1" a="1"/>
  <c r="AE88" i="1" a="1"/>
  <c r="Z87" i="1" a="1"/>
  <c r="S86" i="1" a="1"/>
  <c r="N80" i="1" a="1"/>
  <c r="H79" i="1" a="1"/>
  <c r="AA77" i="1" a="1"/>
  <c r="Y72" i="1" a="1"/>
  <c r="L70" i="1" a="1"/>
  <c r="F69" i="1" a="1"/>
  <c r="AD67" i="1" a="1"/>
  <c r="S63" i="1" a="1"/>
  <c r="R62" i="1" a="1"/>
  <c r="J59" i="1" a="1"/>
  <c r="X53" i="1" a="1"/>
  <c r="K40" i="1" a="1"/>
  <c r="M39" i="1" a="1"/>
  <c r="I38" i="1" a="1"/>
  <c r="J34" i="1" a="1"/>
  <c r="I33" i="1" a="1"/>
  <c r="J32" i="1" a="1"/>
  <c r="I31" i="1" a="1"/>
  <c r="J30" i="1" a="1"/>
  <c r="I24" i="1" a="1"/>
  <c r="P16" i="1" a="1"/>
  <c r="O13" i="1" a="1"/>
  <c r="Q12" i="1" a="1"/>
  <c r="Q11" i="1" a="1"/>
  <c r="T7" i="1" a="1"/>
  <c r="V6" i="1" a="1"/>
  <c r="V5" i="1" a="1"/>
  <c r="Z3" i="1" a="1"/>
  <c r="AE2" i="1" a="1"/>
  <c r="O217" i="1" a="1"/>
  <c r="M210" i="1" a="1"/>
  <c r="N207" i="1" a="1"/>
  <c r="AE191" i="1" a="1"/>
  <c r="W178" i="1" a="1"/>
  <c r="M173" i="1" a="1"/>
  <c r="Z170" i="1" a="1"/>
  <c r="AC141" i="1" a="1"/>
  <c r="F132" i="1" a="1"/>
  <c r="K130" i="1" a="1"/>
  <c r="V123" i="1" a="1"/>
  <c r="W115" i="1" a="1"/>
  <c r="AA112" i="1" a="1"/>
  <c r="J108" i="1" a="1"/>
  <c r="AD96" i="1" a="1"/>
  <c r="V95" i="1" a="1"/>
  <c r="H90" i="1" a="1"/>
  <c r="N86" i="1" a="1"/>
  <c r="Z82" i="1" a="1"/>
  <c r="U81" i="1" a="1"/>
  <c r="S76" i="1" a="1"/>
  <c r="AE73" i="1" a="1"/>
  <c r="T71" i="1" a="1"/>
  <c r="T64" i="1" a="1"/>
  <c r="L61" i="1" a="1"/>
  <c r="I59" i="1" a="1"/>
  <c r="Y54" i="1" a="1"/>
  <c r="W52" i="1" a="1"/>
  <c r="U50" i="1" a="1"/>
  <c r="P48" i="1" a="1"/>
  <c r="O46" i="1" a="1"/>
  <c r="M44" i="1" a="1"/>
  <c r="K42" i="1" a="1"/>
  <c r="H37" i="1" a="1"/>
  <c r="I36" i="1" a="1"/>
  <c r="H35" i="1" a="1"/>
  <c r="H30" i="1" a="1"/>
  <c r="I28" i="1" a="1"/>
  <c r="G27" i="1" a="1"/>
  <c r="H25" i="1" a="1"/>
  <c r="J23" i="1" a="1"/>
  <c r="L21" i="1" a="1"/>
  <c r="M19" i="1" a="1"/>
  <c r="O17" i="1" a="1"/>
  <c r="Q15" i="1" a="1"/>
  <c r="N13" i="1" a="1"/>
  <c r="P11" i="1" a="1"/>
  <c r="Q9" i="1" a="1"/>
  <c r="T5" i="1" a="1"/>
  <c r="AE266" i="1" a="1"/>
  <c r="Y257" i="1" a="1"/>
  <c r="Y197" i="1" a="1"/>
  <c r="M156" i="1" a="1"/>
  <c r="AE121" i="1" a="1"/>
  <c r="Z99" i="1" a="1"/>
  <c r="N85" i="1" a="1"/>
  <c r="J80" i="1" a="1"/>
  <c r="M75" i="1" a="1"/>
  <c r="W66" i="1" a="1"/>
  <c r="AD55" i="1" a="1"/>
  <c r="T51" i="1" a="1"/>
  <c r="P49" i="1" a="1"/>
  <c r="P47" i="1" a="1"/>
  <c r="O45" i="1" a="1"/>
  <c r="M43" i="1" a="1"/>
  <c r="M41" i="1" a="1"/>
  <c r="H38" i="1" a="1"/>
  <c r="I34" i="1" a="1"/>
  <c r="I29" i="1" a="1"/>
  <c r="H26" i="1" a="1"/>
  <c r="H24" i="1" a="1"/>
  <c r="K22" i="1" a="1"/>
  <c r="L20" i="1" a="1"/>
  <c r="M18" i="1" a="1"/>
  <c r="O14" i="1" a="1"/>
  <c r="O12" i="1" a="1"/>
  <c r="Q10" i="1" a="1"/>
  <c r="S8" i="1" a="1"/>
  <c r="Z4" i="1" a="1"/>
  <c r="AB266" i="1" a="1"/>
  <c r="Q248" i="1" a="1"/>
  <c r="K244" i="1" a="1"/>
  <c r="AE239" i="1" a="1"/>
  <c r="AE227" i="1" a="1"/>
  <c r="S224" i="1" a="1"/>
  <c r="N217" i="1" a="1"/>
  <c r="R213" i="1" a="1"/>
  <c r="AA206" i="1" a="1"/>
  <c r="R200" i="1" a="1"/>
  <c r="P194" i="1" a="1"/>
  <c r="AD188" i="1" a="1"/>
  <c r="L186" i="1" a="1"/>
  <c r="Z183" i="1" a="1"/>
  <c r="AC180" i="1" a="1"/>
  <c r="J168" i="1" a="1"/>
  <c r="X158" i="1" a="1"/>
  <c r="L156" i="1" a="1"/>
  <c r="K154" i="1" a="1"/>
  <c r="AB149" i="1" a="1"/>
  <c r="AE143" i="1" a="1"/>
  <c r="AB141" i="1" a="1"/>
  <c r="AC137" i="1" a="1"/>
  <c r="AE133" i="1" a="1"/>
  <c r="Q128" i="1" a="1"/>
  <c r="V126" i="1" a="1"/>
  <c r="F125" i="1" a="1"/>
  <c r="Q120" i="1" a="1"/>
  <c r="Y118" i="1" a="1"/>
  <c r="K117" i="1" a="1"/>
  <c r="J114" i="1" a="1"/>
  <c r="G111" i="1" a="1"/>
  <c r="T109" i="1" a="1"/>
  <c r="N105" i="1" a="1"/>
  <c r="S102" i="1" a="1"/>
  <c r="J101" i="1" a="1"/>
  <c r="P98" i="1" a="1"/>
  <c r="U95" i="1" a="1"/>
  <c r="AD88" i="1" a="1"/>
  <c r="H85" i="1" a="1"/>
  <c r="AE83" i="1" a="1"/>
  <c r="Y82" i="1" a="1"/>
  <c r="I80" i="1" a="1"/>
  <c r="Z77" i="1" a="1"/>
  <c r="H75" i="1" a="1"/>
  <c r="AD73" i="1" a="1"/>
  <c r="X72" i="1" a="1"/>
  <c r="J70" i="1" a="1"/>
  <c r="AC67" i="1" a="1"/>
  <c r="T65" i="1" a="1"/>
  <c r="M62" i="1" a="1"/>
  <c r="I60" i="1" a="1"/>
  <c r="AE56" i="1" a="1"/>
  <c r="W53" i="1" a="1"/>
  <c r="O48" i="1" a="1"/>
  <c r="I42" i="1" a="1"/>
  <c r="H40" i="1" a="1"/>
  <c r="G39" i="1" a="1"/>
  <c r="H33" i="1" a="1"/>
  <c r="G32" i="1" a="1"/>
  <c r="G31" i="1" a="1"/>
  <c r="G29" i="1" a="1"/>
  <c r="G24" i="1" a="1"/>
  <c r="K18" i="1" a="1"/>
  <c r="M16" i="1" a="1"/>
  <c r="P10" i="1" a="1"/>
  <c r="R8" i="1" a="1"/>
  <c r="U6" i="1" a="1"/>
  <c r="Y4" i="1" a="1"/>
  <c r="X3" i="1" a="1"/>
  <c r="Z2" i="1" a="1"/>
  <c r="S252" i="1" a="1"/>
  <c r="G217" i="1" a="1"/>
  <c r="L183" i="1" a="1"/>
  <c r="X145" i="1" a="1"/>
  <c r="AB113" i="1" a="1"/>
  <c r="Q106" i="1" a="1"/>
  <c r="R102" i="1" a="1"/>
  <c r="AA98" i="1" a="1"/>
  <c r="L95" i="1" a="1"/>
  <c r="M91" i="1" a="1"/>
  <c r="H88" i="1" a="1"/>
  <c r="F85" i="1" a="1"/>
  <c r="W78" i="1" a="1"/>
  <c r="Z68" i="1" a="1"/>
  <c r="S65" i="1" a="1"/>
  <c r="X62" i="1" a="1"/>
  <c r="Z56" i="1" a="1"/>
  <c r="X45" i="1" a="1"/>
  <c r="S37" i="1" a="1"/>
  <c r="AD34" i="1" a="1"/>
  <c r="Q26" i="1" a="1"/>
  <c r="S23" i="1" a="1"/>
  <c r="Y10" i="1" a="1"/>
  <c r="Y2" i="1" a="1"/>
  <c r="R150" i="1" a="1"/>
  <c r="AB258" i="1" a="1"/>
  <c r="X225" i="1" a="1"/>
  <c r="AA198" i="1" a="1"/>
  <c r="I183" i="1" a="1"/>
  <c r="H169" i="1" a="1"/>
  <c r="H163" i="1" a="1"/>
  <c r="Q145" i="1" a="1"/>
  <c r="U139" i="1" a="1"/>
  <c r="AB134" i="1" a="1"/>
  <c r="V125" i="1" a="1"/>
  <c r="S109" i="1" a="1"/>
  <c r="AB105" i="1" a="1"/>
  <c r="I78" i="1" a="1"/>
  <c r="AE59" i="1" a="1"/>
  <c r="M48" i="1" a="1"/>
  <c r="G40" i="1" a="1"/>
  <c r="S34" i="1" a="1"/>
  <c r="G26" i="1" a="1"/>
  <c r="W15" i="1" a="1"/>
  <c r="I13" i="1" a="1"/>
  <c r="Q5" i="1" a="1"/>
  <c r="X271" i="1" a="1"/>
  <c r="W245" i="1" a="1"/>
  <c r="N216" i="1" a="1"/>
  <c r="V206" i="1" a="1"/>
  <c r="Z198" i="1" a="1"/>
  <c r="G169" i="1" a="1"/>
  <c r="H156" i="1" a="1"/>
  <c r="O145" i="1" a="1"/>
  <c r="V121" i="1" a="1"/>
  <c r="J117" i="1" a="1"/>
  <c r="R81" i="1" a="1"/>
  <c r="M71" i="1" a="1"/>
  <c r="L68" i="1" a="1"/>
  <c r="Y56" i="1" a="1"/>
  <c r="AC50" i="1" a="1"/>
  <c r="W45" i="1" a="1"/>
  <c r="Q37" i="1" a="1"/>
  <c r="AE28" i="1" a="1"/>
  <c r="R23" i="1" a="1"/>
  <c r="W20" i="1" a="1"/>
  <c r="G18" i="1" a="1"/>
  <c r="O10" i="1" a="1"/>
  <c r="AC7" i="1" a="1"/>
  <c r="X2" i="1" a="1"/>
  <c r="L271" i="1" a="1"/>
  <c r="Q245" i="1" a="1"/>
  <c r="M216" i="1" a="1"/>
  <c r="T206" i="1" a="1"/>
  <c r="Y198" i="1" a="1"/>
  <c r="T175" i="1" a="1"/>
  <c r="AA149" i="1" a="1"/>
  <c r="T139" i="1" a="1"/>
  <c r="AE129" i="1" a="1"/>
  <c r="I117" i="1" a="1"/>
  <c r="K113" i="1" a="1"/>
  <c r="R109" i="1" a="1"/>
  <c r="AA105" i="1" a="1"/>
  <c r="H98" i="1" a="1"/>
  <c r="I91" i="1" a="1"/>
  <c r="H78" i="1" a="1"/>
  <c r="L71" i="1" a="1"/>
  <c r="M65" i="1" a="1"/>
  <c r="J48" i="1" a="1"/>
  <c r="N45" i="1" a="1"/>
  <c r="X42" i="1" a="1"/>
  <c r="G37" i="1" a="1"/>
  <c r="R34" i="1" a="1"/>
  <c r="S31" i="1" a="1"/>
  <c r="I23" i="1" a="1"/>
  <c r="L15" i="1" a="1"/>
  <c r="X233" i="1" a="1"/>
  <c r="L215" i="1" a="1"/>
  <c r="R206" i="1" a="1"/>
  <c r="N197" i="1" a="1"/>
  <c r="H190" i="1" a="1"/>
  <c r="I168" i="1" a="1"/>
  <c r="AE155" i="1" a="1"/>
  <c r="Y149" i="1" a="1"/>
  <c r="W144" i="1" a="1"/>
  <c r="AE116" i="1" a="1"/>
  <c r="F113" i="1" a="1"/>
  <c r="Q109" i="1" a="1"/>
  <c r="Z105" i="1" a="1"/>
  <c r="J102" i="1" a="1"/>
  <c r="G98" i="1" a="1"/>
  <c r="AB94" i="1" a="1"/>
  <c r="V87" i="1" a="1"/>
  <c r="O84" i="1" a="1"/>
  <c r="L81" i="1" a="1"/>
  <c r="K68" i="1" a="1"/>
  <c r="K62" i="1" a="1"/>
  <c r="T59" i="1" a="1"/>
  <c r="X56" i="1" a="1"/>
  <c r="U53" i="1" a="1"/>
  <c r="AA50" i="1" a="1"/>
  <c r="W42" i="1" a="1"/>
  <c r="AD28" i="1" a="1"/>
  <c r="H23" i="1" a="1"/>
  <c r="V20" i="1" a="1"/>
  <c r="F18" i="1" a="1"/>
  <c r="Y12" i="1" a="1"/>
  <c r="N10" i="1" a="1"/>
  <c r="H269" i="1" a="1"/>
  <c r="AB256" i="1" a="1"/>
  <c r="W233" i="1" a="1"/>
  <c r="Q206" i="1" a="1"/>
  <c r="K197" i="1" a="1"/>
  <c r="S175" i="1" a="1"/>
  <c r="X161" i="1" a="1"/>
  <c r="V155" i="1" a="1"/>
  <c r="X149" i="1" a="1"/>
  <c r="S139" i="1" a="1"/>
  <c r="AC133" i="1" a="1"/>
  <c r="F129" i="1" a="1"/>
  <c r="AE120" i="1" a="1"/>
  <c r="K105" i="1" a="1"/>
  <c r="AA94" i="1" a="1"/>
  <c r="Q87" i="1" a="1"/>
  <c r="Y77" i="1" a="1"/>
  <c r="J62" i="1" a="1"/>
  <c r="O59" i="1" a="1"/>
  <c r="L56" i="1" a="1"/>
  <c r="Q53" i="1" a="1"/>
  <c r="P50" i="1" a="1"/>
  <c r="L45" i="1" a="1"/>
  <c r="F37" i="1" a="1"/>
  <c r="R31" i="1" a="1"/>
  <c r="G23" i="1" a="1"/>
  <c r="K20" i="1" a="1"/>
  <c r="K15" i="1" a="1"/>
  <c r="X12" i="1" a="1"/>
  <c r="O7" i="1" a="1"/>
  <c r="O2" i="1" a="1"/>
  <c r="Q256" i="1" a="1"/>
  <c r="J244" i="1" a="1"/>
  <c r="G233" i="1" a="1"/>
  <c r="AB188" i="1" a="1"/>
  <c r="J175" i="1" a="1"/>
  <c r="AD143" i="1" a="1"/>
  <c r="AD120" i="1" a="1"/>
  <c r="AD116" i="1" a="1"/>
  <c r="X101" i="1" a="1"/>
  <c r="F98" i="1" a="1"/>
  <c r="O87" i="1" a="1"/>
  <c r="N84" i="1" a="1"/>
  <c r="K81" i="1" a="1"/>
  <c r="W77" i="1" a="1"/>
  <c r="M74" i="1" a="1"/>
  <c r="J71" i="1" a="1"/>
  <c r="P53" i="1" a="1"/>
  <c r="Y47" i="1" a="1"/>
  <c r="G45" i="1" a="1"/>
  <c r="U42" i="1" a="1"/>
  <c r="U39" i="1" a="1"/>
  <c r="R28" i="1" a="1"/>
  <c r="AD25" i="1" a="1"/>
  <c r="I20" i="1" a="1"/>
  <c r="X17" i="1" a="1"/>
  <c r="I10" i="1" a="1"/>
  <c r="AE4" i="1" a="1"/>
  <c r="P256" i="1" a="1"/>
  <c r="U243" i="1" a="1"/>
  <c r="M213" i="1" a="1"/>
  <c r="V188" i="1" a="1"/>
  <c r="X181" i="1" a="1"/>
  <c r="G168" i="1" a="1"/>
  <c r="AB133" i="1" a="1"/>
  <c r="Z124" i="1" a="1"/>
  <c r="P120" i="1" a="1"/>
  <c r="S112" i="1" a="1"/>
  <c r="J105" i="1" a="1"/>
  <c r="H94" i="1" a="1"/>
  <c r="AE64" i="1" a="1"/>
  <c r="K56" i="1" a="1"/>
  <c r="O50" i="1" a="1"/>
  <c r="AE36" i="1" a="1"/>
  <c r="V25" i="1" a="1"/>
  <c r="V17" i="1" a="1"/>
  <c r="J15" i="1" a="1"/>
  <c r="N12" i="1" a="1"/>
  <c r="N7" i="1" a="1"/>
  <c r="T4" i="1" a="1"/>
  <c r="J2" i="1" a="1"/>
  <c r="R223" i="1" a="1"/>
  <c r="L213" i="1" a="1"/>
  <c r="AE196" i="1" a="1"/>
  <c r="AB180" i="1" a="1"/>
  <c r="U167" i="1" a="1"/>
  <c r="AE160" i="1" a="1"/>
  <c r="AC154" i="1" a="1"/>
  <c r="P149" i="1" a="1"/>
  <c r="Z133" i="1" a="1"/>
  <c r="G120" i="1" a="1"/>
  <c r="M116" i="1" a="1"/>
  <c r="Z108" i="1" a="1"/>
  <c r="V101" i="1" a="1"/>
  <c r="G94" i="1" a="1"/>
  <c r="N87" i="1" a="1"/>
  <c r="AC83" i="1" a="1"/>
  <c r="Z80" i="1" a="1"/>
  <c r="H56" i="1" a="1"/>
  <c r="X47" i="1" a="1"/>
  <c r="G42" i="1" a="1"/>
  <c r="R39" i="1" a="1"/>
  <c r="O28" i="1" a="1"/>
  <c r="Q25" i="1" a="1"/>
  <c r="G20" i="1" a="1"/>
  <c r="T17" i="1" a="1"/>
  <c r="AB9" i="1" a="1"/>
  <c r="K266" i="1" a="1"/>
  <c r="O194" i="1" a="1"/>
  <c r="T180" i="1" a="1"/>
  <c r="AE172" i="1" a="1"/>
  <c r="AA166" i="1" a="1"/>
  <c r="W153" i="1" a="1"/>
  <c r="V137" i="1" a="1"/>
  <c r="R119" i="1" a="1"/>
  <c r="V115" i="1" a="1"/>
  <c r="X111" i="1" a="1"/>
  <c r="P104" i="1" a="1"/>
  <c r="AC96" i="1" a="1"/>
  <c r="N93" i="1" a="1"/>
  <c r="M86" i="1" a="1"/>
  <c r="J83" i="1" a="1"/>
  <c r="AE76" i="1" a="1"/>
  <c r="I70" i="1" a="1"/>
  <c r="Q64" i="1" a="1"/>
  <c r="U61" i="1" a="1"/>
  <c r="W55" i="1" a="1"/>
  <c r="T52" i="1" a="1"/>
  <c r="M47" i="1" a="1"/>
  <c r="K44" i="1" a="1"/>
  <c r="G36" i="1" a="1"/>
  <c r="R33" i="1" a="1"/>
  <c r="S30" i="1" a="1"/>
  <c r="I22" i="1" a="1"/>
  <c r="G17" i="1" a="1"/>
  <c r="M14" i="1" a="1"/>
  <c r="AA11" i="1" a="1"/>
  <c r="I4" i="1" a="1"/>
  <c r="P251" i="1" a="1"/>
  <c r="P241" i="1" a="1"/>
  <c r="Q220" i="1" a="1"/>
  <c r="AE165" i="1" a="1"/>
  <c r="R153" i="1" a="1"/>
  <c r="X147" i="1" a="1"/>
  <c r="S142" i="1" a="1"/>
  <c r="L123" i="1" a="1"/>
  <c r="S115" i="1" a="1"/>
  <c r="K86" i="1" a="1"/>
  <c r="H83" i="1" a="1"/>
  <c r="L76" i="1" a="1"/>
  <c r="H73" i="1" a="1"/>
  <c r="J61" i="1" a="1"/>
  <c r="N58" i="1" a="1"/>
  <c r="N52" i="1" a="1"/>
  <c r="Y49" i="1" a="1"/>
  <c r="H44" i="1" a="1"/>
  <c r="R41" i="1" a="1"/>
  <c r="V38" i="1" a="1"/>
  <c r="Q30" i="1" a="1"/>
  <c r="F22" i="1" a="1"/>
  <c r="U19" i="1" a="1"/>
  <c r="K9" i="1" a="1"/>
  <c r="AF3" i="1" a="1"/>
  <c r="AB239" i="1" a="1"/>
  <c r="O211" i="1" a="1"/>
  <c r="J186" i="1" a="1"/>
  <c r="X171" i="1" a="1"/>
  <c r="W147" i="1" a="1"/>
  <c r="Z136" i="1" a="1"/>
  <c r="S127" i="1" a="1"/>
  <c r="N100" i="1" a="1"/>
  <c r="AA96" i="1" a="1"/>
  <c r="AA92" i="1" a="1"/>
  <c r="M89" i="1" a="1"/>
  <c r="J86" i="1" a="1"/>
  <c r="F70" i="1" a="1"/>
  <c r="V66" i="1" a="1"/>
  <c r="AD63" i="1" a="1"/>
  <c r="K55" i="1" a="1"/>
  <c r="O49" i="1" a="1"/>
  <c r="G41" i="1" a="1"/>
  <c r="G30" i="1" a="1"/>
  <c r="T27" i="1" a="1"/>
  <c r="K14" i="1" a="1"/>
  <c r="O11" i="1" a="1"/>
  <c r="O6" i="1" a="1"/>
  <c r="N251" i="1" a="1"/>
  <c r="Z239" i="1" a="1"/>
  <c r="AA229" i="1" a="1"/>
  <c r="K210" i="1" a="1"/>
  <c r="AC193" i="1" a="1"/>
  <c r="V185" i="1" a="1"/>
  <c r="N158" i="1" a="1"/>
  <c r="O152" i="1" a="1"/>
  <c r="V131" i="1" a="1"/>
  <c r="P127" i="1" a="1"/>
  <c r="K123" i="1" a="1"/>
  <c r="F111" i="1" a="1"/>
  <c r="O107" i="1" a="1"/>
  <c r="Z103" i="1" a="1"/>
  <c r="I100" i="1" a="1"/>
  <c r="K76" i="1" a="1"/>
  <c r="G73" i="1" a="1"/>
  <c r="AE57" i="1" a="1"/>
  <c r="J55" i="1" a="1"/>
  <c r="Y46" i="1" a="1"/>
  <c r="Q38" i="1" a="1"/>
  <c r="AB35" i="1" a="1"/>
  <c r="AE32" i="1" a="1"/>
  <c r="O27" i="1" a="1"/>
  <c r="S24" i="1" a="1"/>
  <c r="K19" i="1" a="1"/>
  <c r="AB8" i="1" a="1"/>
  <c r="W3" i="1" a="1"/>
  <c r="O220" i="1" a="1"/>
  <c r="U185" i="1" a="1"/>
  <c r="O165" i="1" a="1"/>
  <c r="M158" i="1" a="1"/>
  <c r="N152" i="1" a="1"/>
  <c r="V147" i="1" a="1"/>
  <c r="Z141" i="1" a="1"/>
  <c r="W136" i="1" a="1"/>
  <c r="U131" i="1" a="1"/>
  <c r="Y103" i="1" a="1"/>
  <c r="H96" i="1" a="1"/>
  <c r="Z92" i="1" a="1"/>
  <c r="U79" i="1" a="1"/>
  <c r="AB63" i="1" a="1"/>
  <c r="N49" i="1" a="1"/>
  <c r="F41" i="1" a="1"/>
  <c r="AD32" i="1" a="1"/>
  <c r="F27" i="1" a="1"/>
  <c r="Y16" i="1" a="1"/>
  <c r="L11" i="1" a="1"/>
  <c r="N6" i="1" a="1"/>
  <c r="V3" i="1" a="1"/>
  <c r="N266" i="1" a="1"/>
  <c r="K250" i="1" a="1"/>
  <c r="H217" i="1" a="1"/>
  <c r="AE177" i="1" a="1"/>
  <c r="W111" i="1" a="1"/>
  <c r="O104" i="1" a="1"/>
  <c r="T97" i="1" a="1"/>
  <c r="N91" i="1" a="1"/>
  <c r="P79" i="1" a="1"/>
  <c r="U67" i="1" a="1"/>
  <c r="H46" i="1" a="1"/>
  <c r="AC29" i="1" a="1"/>
  <c r="R5" i="1" a="1"/>
  <c r="T201" i="1" a="1"/>
  <c r="T188" i="1" a="1"/>
  <c r="K164" i="1" a="1"/>
  <c r="V153" i="1" a="1"/>
  <c r="W118" i="1" a="1"/>
  <c r="AC110" i="1" a="1"/>
  <c r="O97" i="1" a="1"/>
  <c r="G90" i="1" a="1"/>
  <c r="G85" i="1" a="1"/>
  <c r="O79" i="1" a="1"/>
  <c r="N51" i="1" a="1"/>
  <c r="G46" i="1" a="1"/>
  <c r="T29" i="1" a="1"/>
  <c r="X14" i="1" a="1"/>
  <c r="AA9" i="1" a="1"/>
  <c r="L266" i="1" a="1"/>
  <c r="S153" i="1" a="1"/>
  <c r="Z142" i="1" a="1"/>
  <c r="AE78" i="1" a="1"/>
  <c r="Q72" i="1" a="1"/>
  <c r="M50" i="1" a="1"/>
  <c r="U40" i="1" a="1"/>
  <c r="R24" i="1" a="1"/>
  <c r="V19" i="1" a="1"/>
  <c r="U229" i="1" a="1"/>
  <c r="T142" i="1" a="1"/>
  <c r="U133" i="1" a="1"/>
  <c r="T118" i="1" a="1"/>
  <c r="AB110" i="1" a="1"/>
  <c r="F90" i="1" a="1"/>
  <c r="V61" i="1" a="1"/>
  <c r="S29" i="1" a="1"/>
  <c r="N9" i="1" a="1"/>
  <c r="S4" i="1" a="1"/>
  <c r="Z247" i="1" a="1"/>
  <c r="J213" i="1" a="1"/>
  <c r="M200" i="1" a="1"/>
  <c r="AB176" i="1" a="1"/>
  <c r="K163" i="1" a="1"/>
  <c r="W132" i="1" a="1"/>
  <c r="X103" i="1" a="1"/>
  <c r="AB96" i="1" a="1"/>
  <c r="AB83" i="1" a="1"/>
  <c r="P72" i="1" a="1"/>
  <c r="H67" i="1" a="1"/>
  <c r="X55" i="1" a="1"/>
  <c r="Y44" i="1" a="1"/>
  <c r="G34" i="1" a="1"/>
  <c r="R29" i="1" a="1"/>
  <c r="F24" i="1" a="1"/>
  <c r="F19" i="1" a="1"/>
  <c r="L14" i="1" a="1"/>
  <c r="L9" i="1" a="1"/>
  <c r="J200" i="1" a="1"/>
  <c r="AA151" i="1" a="1"/>
  <c r="Y141" i="1" a="1"/>
  <c r="I124" i="1" a="1"/>
  <c r="AA83" i="1" a="1"/>
  <c r="AB78" i="1" a="1"/>
  <c r="R4" i="1" a="1"/>
  <c r="AB227" i="1" a="1"/>
  <c r="I213" i="1" a="1"/>
  <c r="I163" i="1" a="1"/>
  <c r="Z151" i="1" a="1"/>
  <c r="U132" i="1" a="1"/>
  <c r="Z117" i="1" a="1"/>
  <c r="J110" i="1" a="1"/>
  <c r="I103" i="1" a="1"/>
  <c r="U83" i="1" a="1"/>
  <c r="AA78" i="1" a="1"/>
  <c r="AE71" i="1" a="1"/>
  <c r="R66" i="1" a="1"/>
  <c r="K61" i="1" a="1"/>
  <c r="AD49" i="1" a="1"/>
  <c r="X44" i="1" a="1"/>
  <c r="F39" i="1" a="1"/>
  <c r="AD33" i="1" a="1"/>
  <c r="AA8" i="1" a="1"/>
  <c r="R243" i="1" a="1"/>
  <c r="AD160" i="1" a="1"/>
  <c r="O123" i="1" a="1"/>
  <c r="X13" i="1" a="1"/>
  <c r="AA260" i="1" a="1"/>
  <c r="Z209" i="1" a="1"/>
  <c r="T140" i="1" a="1"/>
  <c r="Y108" i="1" a="1"/>
  <c r="AC88" i="1" a="1"/>
  <c r="AE65" i="1" a="1"/>
  <c r="W54" i="1" a="1"/>
  <c r="V18" i="1" a="1"/>
  <c r="L8" i="1" a="1"/>
  <c r="AD172" i="1" a="1"/>
  <c r="X108" i="1" a="1"/>
  <c r="M95" i="1" a="1"/>
  <c r="AE27" i="1" a="1"/>
  <c r="M13" i="1" a="1"/>
  <c r="S241" i="1" a="1"/>
  <c r="N122" i="1" a="1"/>
  <c r="I108" i="1" a="1"/>
  <c r="W82" i="1" a="1"/>
  <c r="T185" i="1" a="1"/>
  <c r="AD131" i="1" a="1"/>
  <c r="H124" i="1" a="1"/>
  <c r="R77" i="1" a="1"/>
  <c r="V55" i="1" a="1"/>
  <c r="S33" i="1" a="1"/>
  <c r="X18" i="1" a="1"/>
  <c r="Y13" i="1" a="1"/>
  <c r="H4" i="1" a="1"/>
  <c r="AE260" i="1" a="1"/>
  <c r="AE173" i="1" a="1"/>
  <c r="W151" i="1" a="1"/>
  <c r="T131" i="1" a="1"/>
  <c r="G124" i="1" a="1"/>
  <c r="L116" i="1" a="1"/>
  <c r="Q77" i="1" a="1"/>
  <c r="AD71" i="1" a="1"/>
  <c r="V60" i="1" a="1"/>
  <c r="I44" i="1" a="1"/>
  <c r="AE23" i="1" a="1"/>
  <c r="W18" i="1" a="1"/>
  <c r="Q8" i="1" a="1"/>
  <c r="AB260" i="1" a="1"/>
  <c r="N227" i="1" a="1"/>
  <c r="S211" i="1" a="1"/>
  <c r="U151" i="1" a="1"/>
  <c r="X140" i="1" a="1"/>
  <c r="S95" i="1" a="1"/>
  <c r="X54" i="1" a="1"/>
  <c r="M49" i="1" a="1"/>
  <c r="AD38" i="1" a="1"/>
  <c r="U3" i="1" a="1"/>
  <c r="U60" i="1" a="1"/>
  <c r="T3" i="1" a="1"/>
  <c r="Y209" i="1" a="1"/>
  <c r="R160" i="1" a="1"/>
  <c r="W122" i="1" a="1"/>
  <c r="F38" i="1" a="1"/>
  <c r="I18" i="1" a="1"/>
  <c r="U260" i="1" a="1"/>
  <c r="T184" i="1" a="1"/>
  <c r="Q160" i="1" a="1"/>
  <c r="AB130" i="1" a="1"/>
  <c r="T115" i="1" a="1"/>
  <c r="V88" i="1" a="1"/>
  <c r="AA70" i="1" a="1"/>
  <c r="F60" i="1" a="1"/>
  <c r="R241" i="1" a="1"/>
  <c r="S184" i="1" a="1"/>
  <c r="U159" i="1" a="1"/>
  <c r="AB148" i="1" a="1"/>
  <c r="AA130" i="1" a="1"/>
  <c r="Z114" i="1" a="1"/>
  <c r="S82" i="1" a="1"/>
  <c r="J76" i="1" a="1"/>
  <c r="V70" i="1" a="1"/>
  <c r="T54" i="1" a="1"/>
  <c r="V43" i="1" a="1"/>
  <c r="R32" i="1" a="1"/>
  <c r="U27" i="1" a="1"/>
  <c r="U22" i="1" a="1"/>
  <c r="I17" i="1" a="1"/>
  <c r="G3" i="1" a="1"/>
  <c r="M183" i="1" a="1"/>
  <c r="N170" i="1" a="1"/>
  <c r="Y148" i="1" a="1"/>
  <c r="U130" i="1" a="1"/>
  <c r="Y114" i="1" a="1"/>
  <c r="AE100" i="1" a="1"/>
  <c r="U88" i="1" a="1"/>
  <c r="U70" i="1" a="1"/>
  <c r="Z48" i="1" a="1"/>
  <c r="T43" i="1" a="1"/>
  <c r="M12" i="1" a="1"/>
  <c r="Z147" i="1" a="1"/>
  <c r="V114" i="1" a="1"/>
  <c r="AC107" i="1" a="1"/>
  <c r="AD100" i="1" a="1"/>
  <c r="R82" i="1" a="1"/>
  <c r="H70" i="1" a="1"/>
  <c r="AD64" i="1" a="1"/>
  <c r="L43" i="1" a="1"/>
  <c r="P32" i="1" a="1"/>
  <c r="H17" i="1" a="1"/>
  <c r="R92" i="1" a="1"/>
  <c r="AB238" i="1" a="1"/>
  <c r="I222" i="1" a="1"/>
  <c r="M194" i="1" a="1"/>
  <c r="M170" i="1" a="1"/>
  <c r="W137" i="1" a="1"/>
  <c r="AD121" i="1" a="1"/>
  <c r="G107" i="1" a="1"/>
  <c r="O100" i="1" a="1"/>
  <c r="U75" i="1" a="1"/>
  <c r="G70" i="1" a="1"/>
  <c r="AC64" i="1" a="1"/>
  <c r="O47" i="1" a="1"/>
  <c r="H22" i="1" a="1"/>
  <c r="L12" i="1" a="1"/>
  <c r="L7" i="1" a="1"/>
  <c r="M256" i="1" a="1"/>
  <c r="M208" i="1" a="1"/>
  <c r="K170" i="1" a="1"/>
  <c r="J158" i="1" a="1"/>
  <c r="S146" i="1" a="1"/>
  <c r="P137" i="1" a="1"/>
  <c r="P128" i="1" a="1"/>
  <c r="X99" i="1" a="1"/>
  <c r="AE86" i="1" a="1"/>
  <c r="T75" i="1" a="1"/>
  <c r="R69" i="1" a="1"/>
  <c r="R64" i="1" a="1"/>
  <c r="AE58" i="1" a="1"/>
  <c r="F43" i="1" a="1"/>
  <c r="F32" i="1" a="1"/>
  <c r="AB121" i="1" a="1"/>
  <c r="N47" i="1" a="1"/>
  <c r="U21" i="1" a="1"/>
  <c r="AD6" i="1" a="1"/>
  <c r="J254" i="1" a="1"/>
  <c r="AC192" i="1" a="1"/>
  <c r="R146" i="1" a="1"/>
  <c r="AC113" i="1" a="1"/>
  <c r="F75" i="1" a="1"/>
  <c r="L64" i="1" a="1"/>
  <c r="AD58" i="1" a="1"/>
  <c r="AE52" i="1" a="1"/>
  <c r="R36" i="1" a="1"/>
  <c r="Z11" i="1" a="1"/>
  <c r="S220" i="1" a="1"/>
  <c r="W204" i="1" a="1"/>
  <c r="W180" i="1" a="1"/>
  <c r="F120" i="1" a="1"/>
  <c r="W106" i="1" a="1"/>
  <c r="U99" i="1" a="1"/>
  <c r="M93" i="1" a="1"/>
  <c r="Y80" i="1" a="1"/>
  <c r="O58" i="1" a="1"/>
  <c r="P52" i="1" a="1"/>
  <c r="Q36" i="1" a="1"/>
  <c r="AE30" i="1" a="1"/>
  <c r="R26" i="1" a="1"/>
  <c r="T21" i="1" a="1"/>
  <c r="L16" i="1" a="1"/>
  <c r="P6" i="1" a="1"/>
  <c r="L220" i="1" a="1"/>
  <c r="AC191" i="1" a="1"/>
  <c r="J179" i="1" a="1"/>
  <c r="AC135" i="1" a="1"/>
  <c r="U92" i="1" a="1"/>
  <c r="L86" i="1" a="1"/>
  <c r="K21" i="1" a="1"/>
  <c r="J11" i="1" a="1"/>
  <c r="AE203" i="1" a="1"/>
  <c r="Y191" i="1" a="1"/>
  <c r="AD156" i="1" a="1"/>
  <c r="AE145" i="1" a="1"/>
  <c r="R106" i="1" a="1"/>
  <c r="G80" i="1" a="1"/>
  <c r="M63" i="1" a="1"/>
  <c r="AD57" i="1" a="1"/>
  <c r="U41" i="1" a="1"/>
  <c r="J16" i="1" a="1"/>
  <c r="AD251" i="1" a="1"/>
  <c r="P218" i="1" a="1"/>
  <c r="Z203" i="1" a="1"/>
  <c r="AE166" i="1" a="1"/>
  <c r="W135" i="1" a="1"/>
  <c r="M127" i="1" a="1"/>
  <c r="Q119" i="1" a="1"/>
  <c r="R112" i="1" a="1"/>
  <c r="AE98" i="1" a="1"/>
  <c r="F80" i="1" a="1"/>
  <c r="AA68" i="1" a="1"/>
  <c r="AE51" i="1" a="1"/>
  <c r="X46" i="1" a="1"/>
  <c r="F36" i="1" a="1"/>
  <c r="AC30" i="1" a="1"/>
  <c r="J21" i="1" a="1"/>
  <c r="H191" i="1" a="1"/>
  <c r="V135" i="1" a="1"/>
  <c r="K119" i="1" a="1"/>
  <c r="Z85" i="1" a="1"/>
  <c r="AB73" i="1" a="1"/>
  <c r="L63" i="1" a="1"/>
  <c r="X57" i="1" a="1"/>
  <c r="M46" i="1" a="1"/>
  <c r="R35" i="1" a="1"/>
  <c r="I21" i="1" a="1"/>
  <c r="I16" i="1" a="1"/>
  <c r="U126" i="1" a="1"/>
  <c r="R126" i="1" a="1"/>
  <c r="P25" i="1" a="1"/>
  <c r="AB5" i="1" a="1"/>
  <c r="J46" i="1" a="1"/>
  <c r="G25" i="1" a="1"/>
  <c r="S5" i="1" a="1"/>
  <c r="Y153" i="1" a="1"/>
  <c r="V67" i="1" a="1"/>
  <c r="F25" i="1" a="1"/>
  <c r="S250" i="1" a="1"/>
  <c r="W43" i="1" a="1"/>
  <c r="I3" i="1" a="1"/>
  <c r="M250" i="1" a="1"/>
  <c r="L178" i="1" a="1"/>
  <c r="K63" i="1" a="1"/>
  <c r="X118" i="1" a="1"/>
  <c r="V143" i="1" a="1"/>
  <c r="U143" i="1" a="1"/>
  <c r="Y85" i="1" a="1"/>
  <c r="V85" i="1" a="1"/>
  <c r="M57" i="1" a="1"/>
  <c r="G35" i="1" a="1"/>
  <c r="AA15" i="1" a="1"/>
  <c r="S32" i="1" a="1"/>
  <c r="U135" i="1" a="1"/>
  <c r="Y231" i="1" a="1"/>
  <c r="L13" i="1" a="1"/>
  <c r="AC134" i="1" a="1"/>
  <c r="R30" i="1" a="1"/>
  <c r="R104" i="1" a="1"/>
  <c r="AE29" i="1" a="1"/>
  <c r="O51" i="1" a="1"/>
  <c r="AA10" i="1" a="1"/>
  <c r="Z73" i="1" a="1"/>
  <c r="V73" i="1" a="1"/>
  <c r="AA48" i="1" a="1"/>
  <c r="AD27" i="1" a="1"/>
  <c r="K8" i="1" a="1"/>
  <c r="G203" i="1" a="1"/>
  <c r="Q112" i="1" a="1"/>
  <c r="U85" i="1" a="1"/>
  <c r="N57" i="1" a="1"/>
  <c r="Q35" i="1" a="1"/>
  <c r="AB14" i="1" a="1"/>
  <c r="C1" i="89" l="1"/>
  <c r="C1" i="92"/>
  <c r="C1" i="6"/>
  <c r="D1" i="89"/>
  <c r="D1" i="92"/>
  <c r="D1" i="6"/>
  <c r="B2" i="52"/>
  <c r="C1" i="47"/>
  <c r="D1" i="47"/>
  <c r="D1" i="73"/>
  <c r="C1" i="73"/>
  <c r="C1" i="40"/>
  <c r="C1" i="8"/>
  <c r="C1" i="36"/>
  <c r="C1" i="11"/>
  <c r="D1" i="36"/>
  <c r="B2" i="55"/>
  <c r="C1" i="48"/>
  <c r="AB14" i="1"/>
  <c r="Q35" i="1"/>
  <c r="N57" i="1"/>
  <c r="U85" i="1"/>
  <c r="Q112" i="1"/>
  <c r="G203" i="1"/>
  <c r="K8" i="1"/>
  <c r="AD27" i="1"/>
  <c r="AA48" i="1"/>
  <c r="V73" i="1"/>
  <c r="Z73" i="1"/>
  <c r="AA10" i="1"/>
  <c r="O51" i="1"/>
  <c r="AE29" i="1"/>
  <c r="R104" i="1"/>
  <c r="R30" i="1"/>
  <c r="AC134" i="1"/>
  <c r="L13" i="1"/>
  <c r="Y231" i="1"/>
  <c r="U135" i="1"/>
  <c r="S32" i="1"/>
  <c r="AA15" i="1"/>
  <c r="G35" i="1"/>
  <c r="M57" i="1"/>
  <c r="V85" i="1"/>
  <c r="Y85" i="1"/>
  <c r="U143" i="1"/>
  <c r="V143" i="1"/>
  <c r="X118" i="1"/>
  <c r="K63" i="1"/>
  <c r="L178" i="1"/>
  <c r="M250" i="1"/>
  <c r="I3" i="1"/>
  <c r="W43" i="1"/>
  <c r="S250" i="1"/>
  <c r="F25" i="1"/>
  <c r="V67" i="1"/>
  <c r="Y153" i="1"/>
  <c r="S5" i="1"/>
  <c r="G25" i="1"/>
  <c r="J46" i="1"/>
  <c r="AB5" i="1"/>
  <c r="P25" i="1"/>
  <c r="R126" i="1"/>
  <c r="U126" i="1"/>
  <c r="I16" i="1"/>
  <c r="I21" i="1"/>
  <c r="R35" i="1"/>
  <c r="M46" i="1"/>
  <c r="X57" i="1"/>
  <c r="L63" i="1"/>
  <c r="AB73" i="1"/>
  <c r="Z85" i="1"/>
  <c r="K119" i="1"/>
  <c r="V135" i="1"/>
  <c r="H191" i="1"/>
  <c r="J21" i="1"/>
  <c r="AC30" i="1"/>
  <c r="F36" i="1"/>
  <c r="X46" i="1"/>
  <c r="AE51" i="1"/>
  <c r="AA68" i="1"/>
  <c r="F80" i="1"/>
  <c r="AE98" i="1"/>
  <c r="R112" i="1"/>
  <c r="Q119" i="1"/>
  <c r="M127" i="1"/>
  <c r="W135" i="1"/>
  <c r="AE166" i="1"/>
  <c r="Z203" i="1"/>
  <c r="P218" i="1"/>
  <c r="AD251" i="1"/>
  <c r="J16" i="1"/>
  <c r="U41" i="1"/>
  <c r="AD57" i="1"/>
  <c r="M63" i="1"/>
  <c r="G80" i="1"/>
  <c r="R106" i="1"/>
  <c r="AE145" i="1"/>
  <c r="AD156" i="1"/>
  <c r="Y191" i="1"/>
  <c r="AE203" i="1"/>
  <c r="J11" i="1"/>
  <c r="K21" i="1"/>
  <c r="L86" i="1"/>
  <c r="U92" i="1"/>
  <c r="AC135" i="1"/>
  <c r="J179" i="1"/>
  <c r="AC191" i="1"/>
  <c r="L220" i="1"/>
  <c r="P6" i="1"/>
  <c r="L16" i="1"/>
  <c r="T21" i="1"/>
  <c r="R26" i="1"/>
  <c r="AE30" i="1"/>
  <c r="Q36" i="1"/>
  <c r="P52" i="1"/>
  <c r="O58" i="1"/>
  <c r="Y80" i="1"/>
  <c r="M93" i="1"/>
  <c r="U99" i="1"/>
  <c r="W106" i="1"/>
  <c r="F120" i="1"/>
  <c r="W180" i="1"/>
  <c r="W204" i="1"/>
  <c r="S220" i="1"/>
  <c r="Z11" i="1"/>
  <c r="R36" i="1"/>
  <c r="AE52" i="1"/>
  <c r="AD58" i="1"/>
  <c r="L64" i="1"/>
  <c r="F75" i="1"/>
  <c r="AC113" i="1"/>
  <c r="R146" i="1"/>
  <c r="AC192" i="1"/>
  <c r="J254" i="1"/>
  <c r="AD6" i="1"/>
  <c r="U21" i="1"/>
  <c r="N47" i="1"/>
  <c r="AB121" i="1"/>
  <c r="F32" i="1"/>
  <c r="F43" i="1"/>
  <c r="AE58" i="1"/>
  <c r="R64" i="1"/>
  <c r="R69" i="1"/>
  <c r="T75" i="1"/>
  <c r="AE86" i="1"/>
  <c r="X99" i="1"/>
  <c r="P128" i="1"/>
  <c r="P137" i="1"/>
  <c r="S146" i="1"/>
  <c r="J158" i="1"/>
  <c r="K170" i="1"/>
  <c r="M208" i="1"/>
  <c r="M256" i="1"/>
  <c r="L7" i="1"/>
  <c r="L12" i="1"/>
  <c r="H22" i="1"/>
  <c r="O47" i="1"/>
  <c r="AC64" i="1"/>
  <c r="G70" i="1"/>
  <c r="U75" i="1"/>
  <c r="O100" i="1"/>
  <c r="G107" i="1"/>
  <c r="AD121" i="1"/>
  <c r="W137" i="1"/>
  <c r="M170" i="1"/>
  <c r="M194" i="1"/>
  <c r="I222" i="1"/>
  <c r="AB238" i="1"/>
  <c r="R92" i="1"/>
  <c r="H17" i="1"/>
  <c r="P32" i="1"/>
  <c r="L43" i="1"/>
  <c r="AD64" i="1"/>
  <c r="H70" i="1"/>
  <c r="R82" i="1"/>
  <c r="AD100" i="1"/>
  <c r="AC107" i="1"/>
  <c r="V114" i="1"/>
  <c r="Z147" i="1"/>
  <c r="M12" i="1"/>
  <c r="T43" i="1"/>
  <c r="Z48" i="1"/>
  <c r="U70" i="1"/>
  <c r="U88" i="1"/>
  <c r="AE100" i="1"/>
  <c r="Y114" i="1"/>
  <c r="U130" i="1"/>
  <c r="Y148" i="1"/>
  <c r="N170" i="1"/>
  <c r="M183" i="1"/>
  <c r="G3" i="1"/>
  <c r="I17" i="1"/>
  <c r="U22" i="1"/>
  <c r="U27" i="1"/>
  <c r="R32" i="1"/>
  <c r="V43" i="1"/>
  <c r="T54" i="1"/>
  <c r="V70" i="1"/>
  <c r="J76" i="1"/>
  <c r="S82" i="1"/>
  <c r="Z114" i="1"/>
  <c r="AA130" i="1"/>
  <c r="AB148" i="1"/>
  <c r="U159" i="1"/>
  <c r="S184" i="1"/>
  <c r="R241" i="1"/>
  <c r="F60" i="1"/>
  <c r="AA70" i="1"/>
  <c r="V88" i="1"/>
  <c r="T115" i="1"/>
  <c r="AB130" i="1"/>
  <c r="Q160" i="1"/>
  <c r="T184" i="1"/>
  <c r="U260" i="1"/>
  <c r="I18" i="1"/>
  <c r="F38" i="1"/>
  <c r="W122" i="1"/>
  <c r="R160" i="1"/>
  <c r="Y209" i="1"/>
  <c r="T3" i="1"/>
  <c r="U60" i="1"/>
  <c r="U3" i="1"/>
  <c r="AD38" i="1"/>
  <c r="M49" i="1"/>
  <c r="X54" i="1"/>
  <c r="S95" i="1"/>
  <c r="X140" i="1"/>
  <c r="U151" i="1"/>
  <c r="S211" i="1"/>
  <c r="N227" i="1"/>
  <c r="AB260" i="1"/>
  <c r="Q8" i="1"/>
  <c r="W18" i="1"/>
  <c r="AE23" i="1"/>
  <c r="I44" i="1"/>
  <c r="V60" i="1"/>
  <c r="AD71" i="1"/>
  <c r="Q77" i="1"/>
  <c r="L116" i="1"/>
  <c r="G124" i="1"/>
  <c r="T131" i="1"/>
  <c r="W151" i="1"/>
  <c r="AE173" i="1"/>
  <c r="AE260" i="1"/>
  <c r="H4" i="1"/>
  <c r="Y13" i="1"/>
  <c r="X18" i="1"/>
  <c r="S33" i="1"/>
  <c r="V55" i="1"/>
  <c r="R77" i="1"/>
  <c r="H124" i="1"/>
  <c r="AD131" i="1"/>
  <c r="T185" i="1"/>
  <c r="W82" i="1"/>
  <c r="I108" i="1"/>
  <c r="N122" i="1"/>
  <c r="S241" i="1"/>
  <c r="M13" i="1"/>
  <c r="AE27" i="1"/>
  <c r="M95" i="1"/>
  <c r="X108" i="1"/>
  <c r="AD172" i="1"/>
  <c r="L8" i="1"/>
  <c r="V18" i="1"/>
  <c r="W54" i="1"/>
  <c r="AE65" i="1"/>
  <c r="AC88" i="1"/>
  <c r="Y108" i="1"/>
  <c r="T140" i="1"/>
  <c r="Z209" i="1"/>
  <c r="AA260" i="1"/>
  <c r="X13" i="1"/>
  <c r="O123" i="1"/>
  <c r="AD160" i="1"/>
  <c r="R243" i="1"/>
  <c r="AA8" i="1"/>
  <c r="AD33" i="1"/>
  <c r="F39" i="1"/>
  <c r="X44" i="1"/>
  <c r="AD49" i="1"/>
  <c r="K61" i="1"/>
  <c r="R66" i="1"/>
  <c r="AE71" i="1"/>
  <c r="AA78" i="1"/>
  <c r="U83" i="1"/>
  <c r="I103" i="1"/>
  <c r="J110" i="1"/>
  <c r="Z117" i="1"/>
  <c r="U132" i="1"/>
  <c r="Z151" i="1"/>
  <c r="I163" i="1"/>
  <c r="I213" i="1"/>
  <c r="AB227" i="1"/>
  <c r="R4" i="1"/>
  <c r="AB78" i="1"/>
  <c r="AA83" i="1"/>
  <c r="I124" i="1"/>
  <c r="Y141" i="1"/>
  <c r="AA151" i="1"/>
  <c r="J200" i="1"/>
  <c r="L9" i="1"/>
  <c r="L14" i="1"/>
  <c r="F19" i="1"/>
  <c r="F24" i="1"/>
  <c r="R29" i="1"/>
  <c r="G34" i="1"/>
  <c r="Y44" i="1"/>
  <c r="X55" i="1"/>
  <c r="H67" i="1"/>
  <c r="P72" i="1"/>
  <c r="AB83" i="1"/>
  <c r="AB96" i="1"/>
  <c r="X103" i="1"/>
  <c r="W132" i="1"/>
  <c r="K163" i="1"/>
  <c r="AB176" i="1"/>
  <c r="M200" i="1"/>
  <c r="J213" i="1"/>
  <c r="Z247" i="1"/>
  <c r="S4" i="1"/>
  <c r="N9" i="1"/>
  <c r="S29" i="1"/>
  <c r="V61" i="1"/>
  <c r="F90" i="1"/>
  <c r="AB110" i="1"/>
  <c r="T118" i="1"/>
  <c r="U133" i="1"/>
  <c r="T142" i="1"/>
  <c r="U229" i="1"/>
  <c r="V19" i="1"/>
  <c r="R24" i="1"/>
  <c r="U40" i="1"/>
  <c r="M50" i="1"/>
  <c r="Q72" i="1"/>
  <c r="AE78" i="1"/>
  <c r="Z142" i="1"/>
  <c r="S153" i="1"/>
  <c r="L266" i="1"/>
  <c r="AA9" i="1"/>
  <c r="X14" i="1"/>
  <c r="T29" i="1"/>
  <c r="G46" i="1"/>
  <c r="N51" i="1"/>
  <c r="O79" i="1"/>
  <c r="G85" i="1"/>
  <c r="G90" i="1"/>
  <c r="O97" i="1"/>
  <c r="AC110" i="1"/>
  <c r="W118" i="1"/>
  <c r="V153" i="1"/>
  <c r="K164" i="1"/>
  <c r="T188" i="1"/>
  <c r="T201" i="1"/>
  <c r="R5" i="1"/>
  <c r="AC29" i="1"/>
  <c r="H46" i="1"/>
  <c r="U67" i="1"/>
  <c r="P79" i="1"/>
  <c r="N91" i="1"/>
  <c r="T97" i="1"/>
  <c r="O104" i="1"/>
  <c r="W111" i="1"/>
  <c r="AE177" i="1"/>
  <c r="H217" i="1"/>
  <c r="K250" i="1"/>
  <c r="N266" i="1"/>
  <c r="V3" i="1"/>
  <c r="N6" i="1"/>
  <c r="L11" i="1"/>
  <c r="Y16" i="1"/>
  <c r="F27" i="1"/>
  <c r="AD32" i="1"/>
  <c r="F41" i="1"/>
  <c r="N49" i="1"/>
  <c r="AB63" i="1"/>
  <c r="U79" i="1"/>
  <c r="Z92" i="1"/>
  <c r="H96" i="1"/>
  <c r="Y103" i="1"/>
  <c r="U131" i="1"/>
  <c r="W136" i="1"/>
  <c r="Z141" i="1"/>
  <c r="V147" i="1"/>
  <c r="N152" i="1"/>
  <c r="M158" i="1"/>
  <c r="O165" i="1"/>
  <c r="U185" i="1"/>
  <c r="O220" i="1"/>
  <c r="W3" i="1"/>
  <c r="AB8" i="1"/>
  <c r="K19" i="1"/>
  <c r="S24" i="1"/>
  <c r="O27" i="1"/>
  <c r="AE32" i="1"/>
  <c r="AB35" i="1"/>
  <c r="Q38" i="1"/>
  <c r="Y46" i="1"/>
  <c r="J55" i="1"/>
  <c r="AE57" i="1"/>
  <c r="G73" i="1"/>
  <c r="K76" i="1"/>
  <c r="I100" i="1"/>
  <c r="Z103" i="1"/>
  <c r="O107" i="1"/>
  <c r="F111" i="1"/>
  <c r="K123" i="1"/>
  <c r="P127" i="1"/>
  <c r="V131" i="1"/>
  <c r="O152" i="1"/>
  <c r="N158" i="1"/>
  <c r="V185" i="1"/>
  <c r="AC193" i="1"/>
  <c r="K210" i="1"/>
  <c r="AA229" i="1"/>
  <c r="Z239" i="1"/>
  <c r="N251" i="1"/>
  <c r="O6" i="1"/>
  <c r="O11" i="1"/>
  <c r="K14" i="1"/>
  <c r="T27" i="1"/>
  <c r="G30" i="1"/>
  <c r="G41" i="1"/>
  <c r="O49" i="1"/>
  <c r="K55" i="1"/>
  <c r="AD63" i="1"/>
  <c r="V66" i="1"/>
  <c r="F70" i="1"/>
  <c r="J86" i="1"/>
  <c r="M89" i="1"/>
  <c r="AA92" i="1"/>
  <c r="AA96" i="1"/>
  <c r="N100" i="1"/>
  <c r="S127" i="1"/>
  <c r="Z136" i="1"/>
  <c r="W147" i="1"/>
  <c r="X171" i="1"/>
  <c r="J186" i="1"/>
  <c r="O211" i="1"/>
  <c r="AB239" i="1"/>
  <c r="AF3" i="1"/>
  <c r="K9" i="1"/>
  <c r="U19" i="1"/>
  <c r="F22" i="1"/>
  <c r="Q30" i="1"/>
  <c r="V38" i="1"/>
  <c r="R41" i="1"/>
  <c r="H44" i="1"/>
  <c r="Y49" i="1"/>
  <c r="N52" i="1"/>
  <c r="N58" i="1"/>
  <c r="J61" i="1"/>
  <c r="H73" i="1"/>
  <c r="L76" i="1"/>
  <c r="H83" i="1"/>
  <c r="K86" i="1"/>
  <c r="S115" i="1"/>
  <c r="L123" i="1"/>
  <c r="S142" i="1"/>
  <c r="X147" i="1"/>
  <c r="R153" i="1"/>
  <c r="AE165" i="1"/>
  <c r="Q220" i="1"/>
  <c r="P241" i="1"/>
  <c r="P251" i="1"/>
  <c r="I4" i="1"/>
  <c r="AA11" i="1"/>
  <c r="M14" i="1"/>
  <c r="G17" i="1"/>
  <c r="I22" i="1"/>
  <c r="S30" i="1"/>
  <c r="R33" i="1"/>
  <c r="G36" i="1"/>
  <c r="K44" i="1"/>
  <c r="M47" i="1"/>
  <c r="T52" i="1"/>
  <c r="W55" i="1"/>
  <c r="U61" i="1"/>
  <c r="Q64" i="1"/>
  <c r="I70" i="1"/>
  <c r="AE76" i="1"/>
  <c r="J83" i="1"/>
  <c r="M86" i="1"/>
  <c r="N93" i="1"/>
  <c r="AC96" i="1"/>
  <c r="P104" i="1"/>
  <c r="X111" i="1"/>
  <c r="V115" i="1"/>
  <c r="R119" i="1"/>
  <c r="V137" i="1"/>
  <c r="W153" i="1"/>
  <c r="AA166" i="1"/>
  <c r="AE172" i="1"/>
  <c r="T180" i="1"/>
  <c r="O194" i="1"/>
  <c r="K266" i="1"/>
  <c r="AB9" i="1"/>
  <c r="T17" i="1"/>
  <c r="G20" i="1"/>
  <c r="Q25" i="1"/>
  <c r="O28" i="1"/>
  <c r="R39" i="1"/>
  <c r="G42" i="1"/>
  <c r="X47" i="1"/>
  <c r="H56" i="1"/>
  <c r="Z80" i="1"/>
  <c r="AC83" i="1"/>
  <c r="N87" i="1"/>
  <c r="G94" i="1"/>
  <c r="V101" i="1"/>
  <c r="Z108" i="1"/>
  <c r="M116" i="1"/>
  <c r="G120" i="1"/>
  <c r="Z133" i="1"/>
  <c r="P149" i="1"/>
  <c r="AC154" i="1"/>
  <c r="AE160" i="1"/>
  <c r="U167" i="1"/>
  <c r="AB180" i="1"/>
  <c r="AE196" i="1"/>
  <c r="L213" i="1"/>
  <c r="R223" i="1"/>
  <c r="J2" i="1"/>
  <c r="T4" i="1"/>
  <c r="N7" i="1"/>
  <c r="N12" i="1"/>
  <c r="J15" i="1"/>
  <c r="V17" i="1"/>
  <c r="V25" i="1"/>
  <c r="AE36" i="1"/>
  <c r="O50" i="1"/>
  <c r="K56" i="1"/>
  <c r="AE64" i="1"/>
  <c r="H94" i="1"/>
  <c r="J105" i="1"/>
  <c r="S112" i="1"/>
  <c r="P120" i="1"/>
  <c r="Z124" i="1"/>
  <c r="AB133" i="1"/>
  <c r="G168" i="1"/>
  <c r="X181" i="1"/>
  <c r="V188" i="1"/>
  <c r="M213" i="1"/>
  <c r="U243" i="1"/>
  <c r="P256" i="1"/>
  <c r="AE4" i="1"/>
  <c r="I10" i="1"/>
  <c r="X17" i="1"/>
  <c r="I20" i="1"/>
  <c r="AD25" i="1"/>
  <c r="R28" i="1"/>
  <c r="U39" i="1"/>
  <c r="U42" i="1"/>
  <c r="G45" i="1"/>
  <c r="Y47" i="1"/>
  <c r="P53" i="1"/>
  <c r="J71" i="1"/>
  <c r="M74" i="1"/>
  <c r="W77" i="1"/>
  <c r="K81" i="1"/>
  <c r="N84" i="1"/>
  <c r="O87" i="1"/>
  <c r="F98" i="1"/>
  <c r="X101" i="1"/>
  <c r="AD116" i="1"/>
  <c r="AD120" i="1"/>
  <c r="AD143" i="1"/>
  <c r="J175" i="1"/>
  <c r="AB188" i="1"/>
  <c r="G233" i="1"/>
  <c r="J244" i="1"/>
  <c r="Q256" i="1"/>
  <c r="O2" i="1"/>
  <c r="O7" i="1"/>
  <c r="X12" i="1"/>
  <c r="K15" i="1"/>
  <c r="K20" i="1"/>
  <c r="G23" i="1"/>
  <c r="R31" i="1"/>
  <c r="F37" i="1"/>
  <c r="L45" i="1"/>
  <c r="P50" i="1"/>
  <c r="Q53" i="1"/>
  <c r="L56" i="1"/>
  <c r="O59" i="1"/>
  <c r="J62" i="1"/>
  <c r="Y77" i="1"/>
  <c r="Q87" i="1"/>
  <c r="AA94" i="1"/>
  <c r="K105" i="1"/>
  <c r="AE120" i="1"/>
  <c r="F129" i="1"/>
  <c r="AC133" i="1"/>
  <c r="S139" i="1"/>
  <c r="X149" i="1"/>
  <c r="V155" i="1"/>
  <c r="X161" i="1"/>
  <c r="S175" i="1"/>
  <c r="K197" i="1"/>
  <c r="Q206" i="1"/>
  <c r="W233" i="1"/>
  <c r="AB256" i="1"/>
  <c r="H269" i="1"/>
  <c r="N10" i="1"/>
  <c r="Y12" i="1"/>
  <c r="F18" i="1"/>
  <c r="V20" i="1"/>
  <c r="H23" i="1"/>
  <c r="AD28" i="1"/>
  <c r="W42" i="1"/>
  <c r="AA50" i="1"/>
  <c r="U53" i="1"/>
  <c r="X56" i="1"/>
  <c r="T59" i="1"/>
  <c r="K62" i="1"/>
  <c r="K68" i="1"/>
  <c r="L81" i="1"/>
  <c r="O84" i="1"/>
  <c r="V87" i="1"/>
  <c r="AB94" i="1"/>
  <c r="G98" i="1"/>
  <c r="J102" i="1"/>
  <c r="Z105" i="1"/>
  <c r="Q109" i="1"/>
  <c r="F113" i="1"/>
  <c r="AE116" i="1"/>
  <c r="W144" i="1"/>
  <c r="Y149" i="1"/>
  <c r="AE155" i="1"/>
  <c r="I168" i="1"/>
  <c r="H190" i="1"/>
  <c r="N197" i="1"/>
  <c r="R206" i="1"/>
  <c r="L215" i="1"/>
  <c r="X233" i="1"/>
  <c r="L15" i="1"/>
  <c r="I23" i="1"/>
  <c r="S31" i="1"/>
  <c r="R34" i="1"/>
  <c r="G37" i="1"/>
  <c r="X42" i="1"/>
  <c r="N45" i="1"/>
  <c r="J48" i="1"/>
  <c r="M65" i="1"/>
  <c r="L71" i="1"/>
  <c r="H78" i="1"/>
  <c r="I91" i="1"/>
  <c r="H98" i="1"/>
  <c r="AA105" i="1"/>
  <c r="R109" i="1"/>
  <c r="K113" i="1"/>
  <c r="I117" i="1"/>
  <c r="AE129" i="1"/>
  <c r="T139" i="1"/>
  <c r="AA149" i="1"/>
  <c r="T175" i="1"/>
  <c r="Y198" i="1"/>
  <c r="T206" i="1"/>
  <c r="M216" i="1"/>
  <c r="Q245" i="1"/>
  <c r="L271" i="1"/>
  <c r="X2" i="1"/>
  <c r="AC7" i="1"/>
  <c r="O10" i="1"/>
  <c r="G18" i="1"/>
  <c r="W20" i="1"/>
  <c r="R23" i="1"/>
  <c r="AE28" i="1"/>
  <c r="Q37" i="1"/>
  <c r="W45" i="1"/>
  <c r="AC50" i="1"/>
  <c r="Y56" i="1"/>
  <c r="L68" i="1"/>
  <c r="M71" i="1"/>
  <c r="R81" i="1"/>
  <c r="J117" i="1"/>
  <c r="V121" i="1"/>
  <c r="O145" i="1"/>
  <c r="H156" i="1"/>
  <c r="G169" i="1"/>
  <c r="Z198" i="1"/>
  <c r="V206" i="1"/>
  <c r="N216" i="1"/>
  <c r="W245" i="1"/>
  <c r="X271" i="1"/>
  <c r="Q5" i="1"/>
  <c r="I13" i="1"/>
  <c r="W15" i="1"/>
  <c r="G26" i="1"/>
  <c r="S34" i="1"/>
  <c r="G40" i="1"/>
  <c r="M48" i="1"/>
  <c r="AE59" i="1"/>
  <c r="I78" i="1"/>
  <c r="AB105" i="1"/>
  <c r="S109" i="1"/>
  <c r="V125" i="1"/>
  <c r="AB134" i="1"/>
  <c r="U139" i="1"/>
  <c r="Q145" i="1"/>
  <c r="H163" i="1"/>
  <c r="H169" i="1"/>
  <c r="I183" i="1"/>
  <c r="AA198" i="1"/>
  <c r="X225" i="1"/>
  <c r="AB258" i="1"/>
  <c r="R150" i="1"/>
  <c r="Y2" i="1"/>
  <c r="Y10" i="1"/>
  <c r="S23" i="1"/>
  <c r="Q26" i="1"/>
  <c r="AD34" i="1"/>
  <c r="S37" i="1"/>
  <c r="X45" i="1"/>
  <c r="Z56" i="1"/>
  <c r="X62" i="1"/>
  <c r="S65" i="1"/>
  <c r="Z68" i="1"/>
  <c r="W78" i="1"/>
  <c r="F85" i="1"/>
  <c r="H88" i="1"/>
  <c r="M91" i="1"/>
  <c r="L95" i="1"/>
  <c r="AA98" i="1"/>
  <c r="R102" i="1"/>
  <c r="Q106" i="1"/>
  <c r="AB113" i="1"/>
  <c r="X145" i="1"/>
  <c r="L183" i="1"/>
  <c r="G217" i="1"/>
  <c r="S252" i="1"/>
  <c r="Z2" i="1"/>
  <c r="X3" i="1"/>
  <c r="Y4" i="1"/>
  <c r="U6" i="1"/>
  <c r="R8" i="1"/>
  <c r="P10" i="1"/>
  <c r="M16" i="1"/>
  <c r="K18" i="1"/>
  <c r="G24" i="1"/>
  <c r="G29" i="1"/>
  <c r="G31" i="1"/>
  <c r="G32" i="1"/>
  <c r="H33" i="1"/>
  <c r="G39" i="1"/>
  <c r="H40" i="1"/>
  <c r="I42" i="1"/>
  <c r="O48" i="1"/>
  <c r="W53" i="1"/>
  <c r="AE56" i="1"/>
  <c r="I60" i="1"/>
  <c r="M62" i="1"/>
  <c r="T65" i="1"/>
  <c r="AC67" i="1"/>
  <c r="J70" i="1"/>
  <c r="X72" i="1"/>
  <c r="AD73" i="1"/>
  <c r="H75" i="1"/>
  <c r="Z77" i="1"/>
  <c r="I80" i="1"/>
  <c r="Y82" i="1"/>
  <c r="AE83" i="1"/>
  <c r="H85" i="1"/>
  <c r="AD88" i="1"/>
  <c r="U95" i="1"/>
  <c r="P98" i="1"/>
  <c r="J101" i="1"/>
  <c r="S102" i="1"/>
  <c r="N105" i="1"/>
  <c r="T109" i="1"/>
  <c r="G111" i="1"/>
  <c r="J114" i="1"/>
  <c r="K117" i="1"/>
  <c r="Y118" i="1"/>
  <c r="Q120" i="1"/>
  <c r="F125" i="1"/>
  <c r="V126" i="1"/>
  <c r="Q128" i="1"/>
  <c r="AE133" i="1"/>
  <c r="AC137" i="1"/>
  <c r="AB141" i="1"/>
  <c r="AE143" i="1"/>
  <c r="AB149" i="1"/>
  <c r="K154" i="1"/>
  <c r="L156" i="1"/>
  <c r="X158" i="1"/>
  <c r="J168" i="1"/>
  <c r="AC180" i="1"/>
  <c r="Z183" i="1"/>
  <c r="L186" i="1"/>
  <c r="AD188" i="1"/>
  <c r="P194" i="1"/>
  <c r="R200" i="1"/>
  <c r="AA206" i="1"/>
  <c r="R213" i="1"/>
  <c r="N217" i="1"/>
  <c r="S224" i="1"/>
  <c r="AE227" i="1"/>
  <c r="AE239" i="1"/>
  <c r="K244" i="1"/>
  <c r="Q248" i="1"/>
  <c r="AB266" i="1"/>
  <c r="Z4" i="1"/>
  <c r="S8" i="1"/>
  <c r="Q10" i="1"/>
  <c r="O12" i="1"/>
  <c r="O14" i="1"/>
  <c r="M18" i="1"/>
  <c r="L20" i="1"/>
  <c r="K22" i="1"/>
  <c r="H24" i="1"/>
  <c r="H26" i="1"/>
  <c r="I29" i="1"/>
  <c r="I34" i="1"/>
  <c r="H38" i="1"/>
  <c r="M41" i="1"/>
  <c r="M43" i="1"/>
  <c r="O45" i="1"/>
  <c r="P47" i="1"/>
  <c r="P49" i="1"/>
  <c r="T51" i="1"/>
  <c r="AD55" i="1"/>
  <c r="W66" i="1"/>
  <c r="M75" i="1"/>
  <c r="J80" i="1"/>
  <c r="N85" i="1"/>
  <c r="Z99" i="1"/>
  <c r="AE121" i="1"/>
  <c r="M156" i="1"/>
  <c r="Y197" i="1"/>
  <c r="Y257" i="1"/>
  <c r="AE266" i="1"/>
  <c r="T5" i="1"/>
  <c r="Q9" i="1"/>
  <c r="P11" i="1"/>
  <c r="N13" i="1"/>
  <c r="Q15" i="1"/>
  <c r="O17" i="1"/>
  <c r="M19" i="1"/>
  <c r="L21" i="1"/>
  <c r="J23" i="1"/>
  <c r="H25" i="1"/>
  <c r="G27" i="1"/>
  <c r="I28" i="1"/>
  <c r="H30" i="1"/>
  <c r="H35" i="1"/>
  <c r="I36" i="1"/>
  <c r="H37" i="1"/>
  <c r="K42" i="1"/>
  <c r="M44" i="1"/>
  <c r="O46" i="1"/>
  <c r="P48" i="1"/>
  <c r="U50" i="1"/>
  <c r="W52" i="1"/>
  <c r="Y54" i="1"/>
  <c r="I59" i="1"/>
  <c r="L61" i="1"/>
  <c r="T64" i="1"/>
  <c r="T71" i="1"/>
  <c r="AE73" i="1"/>
  <c r="S76" i="1"/>
  <c r="U81" i="1"/>
  <c r="Z82" i="1"/>
  <c r="N86" i="1"/>
  <c r="H90" i="1"/>
  <c r="V95" i="1"/>
  <c r="AD96" i="1"/>
  <c r="J108" i="1"/>
  <c r="AA112" i="1"/>
  <c r="W115" i="1"/>
  <c r="V123" i="1"/>
  <c r="K130" i="1"/>
  <c r="F132" i="1"/>
  <c r="AC141" i="1"/>
  <c r="Z170" i="1"/>
  <c r="M173" i="1"/>
  <c r="W178" i="1"/>
  <c r="AE191" i="1"/>
  <c r="N207" i="1"/>
  <c r="M210" i="1"/>
  <c r="O217" i="1"/>
  <c r="AE2" i="1"/>
  <c r="Z3" i="1"/>
  <c r="V5" i="1"/>
  <c r="V6" i="1"/>
  <c r="T7" i="1"/>
  <c r="Q11" i="1"/>
  <c r="Q12" i="1"/>
  <c r="O13" i="1"/>
  <c r="P16" i="1"/>
  <c r="I24" i="1"/>
  <c r="J30" i="1"/>
  <c r="I31" i="1"/>
  <c r="J32" i="1"/>
  <c r="I33" i="1"/>
  <c r="J34" i="1"/>
  <c r="I38" i="1"/>
  <c r="M39" i="1"/>
  <c r="K40" i="1"/>
  <c r="X53" i="1"/>
  <c r="J59" i="1"/>
  <c r="R62" i="1"/>
  <c r="S63" i="1"/>
  <c r="AD67" i="1"/>
  <c r="F69" i="1"/>
  <c r="L70" i="1"/>
  <c r="Y72" i="1"/>
  <c r="AA77" i="1"/>
  <c r="H79" i="1"/>
  <c r="N80" i="1"/>
  <c r="S86" i="1"/>
  <c r="Z87" i="1"/>
  <c r="AE88" i="1"/>
  <c r="T91" i="1"/>
  <c r="AC92" i="1"/>
  <c r="N94" i="1"/>
  <c r="W95" i="1"/>
  <c r="I97" i="1"/>
  <c r="Q98" i="1"/>
  <c r="K101" i="1"/>
  <c r="T102" i="1"/>
  <c r="O105" i="1"/>
  <c r="AD106" i="1"/>
  <c r="L108" i="1"/>
  <c r="I111" i="1"/>
  <c r="K114" i="1"/>
  <c r="AB115" i="1"/>
  <c r="R120" i="1"/>
  <c r="G125" i="1"/>
  <c r="AE126" i="1"/>
  <c r="R128" i="1"/>
  <c r="J138" i="1"/>
  <c r="F140" i="1"/>
  <c r="AD141" i="1"/>
  <c r="I148" i="1"/>
  <c r="L154" i="1"/>
  <c r="AB163" i="1"/>
  <c r="U168" i="1"/>
  <c r="AA170" i="1"/>
  <c r="AA183" i="1"/>
  <c r="L189" i="1"/>
  <c r="Q194" i="1"/>
  <c r="AB197" i="1"/>
  <c r="T200" i="1"/>
  <c r="O210" i="1"/>
  <c r="G221" i="1"/>
  <c r="M236" i="1"/>
  <c r="O244" i="1"/>
  <c r="R248" i="1"/>
  <c r="W252" i="1"/>
  <c r="AC3" i="1"/>
  <c r="AA4" i="1"/>
  <c r="T8" i="1"/>
  <c r="S9" i="1"/>
  <c r="R10" i="1"/>
  <c r="P17" i="1"/>
  <c r="N18" i="1"/>
  <c r="N19" i="1"/>
  <c r="M20" i="1"/>
  <c r="M21" i="1"/>
  <c r="L22" i="1"/>
  <c r="K23" i="1"/>
  <c r="I25" i="1"/>
  <c r="M26" i="1"/>
  <c r="L27" i="1"/>
  <c r="L28" i="1"/>
  <c r="K29" i="1"/>
  <c r="I35" i="1"/>
  <c r="J36" i="1"/>
  <c r="N37" i="1"/>
  <c r="N41" i="1"/>
  <c r="M42" i="1"/>
  <c r="O43" i="1"/>
  <c r="P45" i="1"/>
  <c r="P46" i="1"/>
  <c r="Q47" i="1"/>
  <c r="U48" i="1"/>
  <c r="T49" i="1"/>
  <c r="V51" i="1"/>
  <c r="X52" i="1"/>
  <c r="Z54" i="1"/>
  <c r="AE55" i="1"/>
  <c r="F58" i="1"/>
  <c r="K60" i="1"/>
  <c r="M61" i="1"/>
  <c r="V65" i="1"/>
  <c r="AE67" i="1"/>
  <c r="U71" i="1"/>
  <c r="T76" i="1"/>
  <c r="V81" i="1"/>
  <c r="O85" i="1"/>
  <c r="AA87" i="1"/>
  <c r="J90" i="1"/>
  <c r="U91" i="1"/>
  <c r="AE92" i="1"/>
  <c r="R98" i="1"/>
  <c r="AA102" i="1"/>
  <c r="AE106" i="1"/>
  <c r="AB109" i="1"/>
  <c r="N111" i="1"/>
  <c r="AC115" i="1"/>
  <c r="W123" i="1"/>
  <c r="L130" i="1"/>
  <c r="J132" i="1"/>
  <c r="J134" i="1"/>
  <c r="H136" i="1"/>
  <c r="J144" i="1"/>
  <c r="L146" i="1"/>
  <c r="P156" i="1"/>
  <c r="AB158" i="1"/>
  <c r="H161" i="1"/>
  <c r="N173" i="1"/>
  <c r="F176" i="1"/>
  <c r="X178" i="1"/>
  <c r="N186" i="1"/>
  <c r="Z194" i="1"/>
  <c r="Q207" i="1"/>
  <c r="L214" i="1"/>
  <c r="O221" i="1"/>
  <c r="W224" i="1"/>
  <c r="S240" i="1"/>
  <c r="AB244" i="1"/>
  <c r="Z257" i="1"/>
  <c r="H262" i="1"/>
  <c r="X267" i="1"/>
  <c r="E2" i="1"/>
  <c r="W6" i="1"/>
  <c r="U7" i="1"/>
  <c r="S10" i="1"/>
  <c r="R11" i="1"/>
  <c r="R12" i="1"/>
  <c r="U13" i="1"/>
  <c r="S14" i="1"/>
  <c r="T15" i="1"/>
  <c r="Q16" i="1"/>
  <c r="N20" i="1"/>
  <c r="K25" i="1"/>
  <c r="J31" i="1"/>
  <c r="K32" i="1"/>
  <c r="J33" i="1"/>
  <c r="K34" i="1"/>
  <c r="N39" i="1"/>
  <c r="M40" i="1"/>
  <c r="P44" i="1"/>
  <c r="W50" i="1"/>
  <c r="Y53" i="1"/>
  <c r="AE54" i="1"/>
  <c r="G58" i="1"/>
  <c r="S62" i="1"/>
  <c r="T63" i="1"/>
  <c r="V64" i="1"/>
  <c r="AA65" i="1"/>
  <c r="AC66" i="1"/>
  <c r="G69" i="1"/>
  <c r="V71" i="1"/>
  <c r="Z72" i="1"/>
  <c r="O75" i="1"/>
  <c r="AB77" i="1"/>
  <c r="J79" i="1"/>
  <c r="O80" i="1"/>
  <c r="F84" i="1"/>
  <c r="O90" i="1"/>
  <c r="V91" i="1"/>
  <c r="G93" i="1"/>
  <c r="Q94" i="1"/>
  <c r="J97" i="1"/>
  <c r="L101" i="1"/>
  <c r="G104" i="1"/>
  <c r="P105" i="1"/>
  <c r="N108" i="1"/>
  <c r="AD112" i="1"/>
  <c r="L114" i="1"/>
  <c r="O117" i="1"/>
  <c r="S120" i="1"/>
  <c r="I122" i="1"/>
  <c r="H125" i="1"/>
  <c r="G140" i="1"/>
  <c r="I142" i="1"/>
  <c r="L144" i="1"/>
  <c r="M146" i="1"/>
  <c r="J148" i="1"/>
  <c r="M154" i="1"/>
  <c r="AC158" i="1"/>
  <c r="U161" i="1"/>
  <c r="AC163" i="1"/>
  <c r="K166" i="1"/>
  <c r="V168" i="1"/>
  <c r="G171" i="1"/>
  <c r="R181" i="1"/>
  <c r="P186" i="1"/>
  <c r="J192" i="1"/>
  <c r="F195" i="1"/>
  <c r="L201" i="1"/>
  <c r="P210" i="1"/>
  <c r="P221" i="1"/>
  <c r="F232" i="1"/>
  <c r="T240" i="1"/>
  <c r="AC244" i="1"/>
  <c r="I262" i="1"/>
  <c r="AD3" i="1"/>
  <c r="AB4" i="1"/>
  <c r="Y5" i="1"/>
  <c r="V8" i="1"/>
  <c r="T9" i="1"/>
  <c r="W11" i="1"/>
  <c r="Q17" i="1"/>
  <c r="P18" i="1"/>
  <c r="O19" i="1"/>
  <c r="N21" i="1"/>
  <c r="Q22" i="1"/>
  <c r="L23" i="1"/>
  <c r="O24" i="1"/>
  <c r="N25" i="1"/>
  <c r="N26" i="1"/>
  <c r="M27" i="1"/>
  <c r="M28" i="1"/>
  <c r="L29" i="1"/>
  <c r="L30" i="1"/>
  <c r="O35" i="1"/>
  <c r="O37" i="1"/>
  <c r="O41" i="1"/>
  <c r="P42" i="1"/>
  <c r="P43" i="1"/>
  <c r="Q44" i="1"/>
  <c r="Q45" i="1"/>
  <c r="U46" i="1"/>
  <c r="U47" i="1"/>
  <c r="W48" i="1"/>
  <c r="V49" i="1"/>
  <c r="Y50" i="1"/>
  <c r="X51" i="1"/>
  <c r="Y52" i="1"/>
  <c r="AD53" i="1"/>
  <c r="F57" i="1"/>
  <c r="J58" i="1"/>
  <c r="L59" i="1"/>
  <c r="M60" i="1"/>
  <c r="N61" i="1"/>
  <c r="W64" i="1"/>
  <c r="K74" i="1"/>
  <c r="K79" i="1"/>
  <c r="Q80" i="1"/>
  <c r="W81" i="1"/>
  <c r="I84" i="1"/>
  <c r="P85" i="1"/>
  <c r="U86" i="1"/>
  <c r="J89" i="1"/>
  <c r="W91" i="1"/>
  <c r="R94" i="1"/>
  <c r="AA95" i="1"/>
  <c r="S98" i="1"/>
  <c r="N101" i="1"/>
  <c r="AB102" i="1"/>
  <c r="R108" i="1"/>
  <c r="AE109" i="1"/>
  <c r="O111" i="1"/>
  <c r="G119" i="1"/>
  <c r="T120" i="1"/>
  <c r="X123" i="1"/>
  <c r="P125" i="1"/>
  <c r="V128" i="1"/>
  <c r="S130" i="1"/>
  <c r="I136" i="1"/>
  <c r="M138" i="1"/>
  <c r="O146" i="1"/>
  <c r="O154" i="1"/>
  <c r="AA156" i="1"/>
  <c r="AE158" i="1"/>
  <c r="V161" i="1"/>
  <c r="AD163" i="1"/>
  <c r="Q166" i="1"/>
  <c r="W173" i="1"/>
  <c r="S181" i="1"/>
  <c r="AB186" i="1"/>
  <c r="Q189" i="1"/>
  <c r="K192" i="1"/>
  <c r="H211" i="1"/>
  <c r="M214" i="1"/>
  <c r="R221" i="1"/>
  <c r="K225" i="1"/>
  <c r="Q236" i="1"/>
  <c r="AA267" i="1"/>
  <c r="X6" i="1"/>
  <c r="V7" i="1"/>
  <c r="V12" i="1"/>
  <c r="V13" i="1"/>
  <c r="U14" i="1"/>
  <c r="U15" i="1"/>
  <c r="S16" i="1"/>
  <c r="Q21" i="1"/>
  <c r="O26" i="1"/>
  <c r="L32" i="1"/>
  <c r="P33" i="1"/>
  <c r="N38" i="1"/>
  <c r="O39" i="1"/>
  <c r="AE53" i="1"/>
  <c r="M59" i="1"/>
  <c r="N60" i="1"/>
  <c r="S61" i="1"/>
  <c r="U63" i="1"/>
  <c r="AC65" i="1"/>
  <c r="AD66" i="1"/>
  <c r="N69" i="1"/>
  <c r="X71" i="1"/>
  <c r="V76" i="1"/>
  <c r="F78" i="1"/>
  <c r="L79" i="1"/>
  <c r="J84" i="1"/>
  <c r="W86" i="1"/>
  <c r="AC87" i="1"/>
  <c r="Q90" i="1"/>
  <c r="K93" i="1"/>
  <c r="S94" i="1"/>
  <c r="AC102" i="1"/>
  <c r="H104" i="1"/>
  <c r="T114" i="1"/>
  <c r="AE115" i="1"/>
  <c r="J122" i="1"/>
  <c r="Z123" i="1"/>
  <c r="AB128" i="1"/>
  <c r="R132" i="1"/>
  <c r="N134" i="1"/>
  <c r="J136" i="1"/>
  <c r="Q142" i="1"/>
  <c r="M144" i="1"/>
  <c r="P150" i="1"/>
  <c r="T166" i="1"/>
  <c r="H171" i="1"/>
  <c r="G179" i="1"/>
  <c r="F184" i="1"/>
  <c r="H195" i="1"/>
  <c r="N201" i="1"/>
  <c r="T204" i="1"/>
  <c r="S207" i="1"/>
  <c r="N214" i="1"/>
  <c r="T221" i="1"/>
  <c r="R225" i="1"/>
  <c r="X228" i="1"/>
  <c r="T236" i="1"/>
  <c r="M249" i="1"/>
  <c r="G258" i="1"/>
  <c r="AC267" i="1"/>
  <c r="H2" i="1"/>
  <c r="AE3" i="1"/>
  <c r="AD4" i="1"/>
  <c r="AA5" i="1"/>
  <c r="Y6" i="1"/>
  <c r="W8" i="1"/>
  <c r="Z9" i="1"/>
  <c r="X10" i="1"/>
  <c r="T16" i="1"/>
  <c r="S17" i="1"/>
  <c r="R18" i="1"/>
  <c r="Q19" i="1"/>
  <c r="T20" i="1"/>
  <c r="S21" i="1"/>
  <c r="R22" i="1"/>
  <c r="Q23" i="1"/>
  <c r="Q24" i="1"/>
  <c r="O25" i="1"/>
  <c r="N27" i="1"/>
  <c r="N28" i="1"/>
  <c r="M29" i="1"/>
  <c r="M30" i="1"/>
  <c r="P31" i="1"/>
  <c r="P35" i="1"/>
  <c r="O36" i="1"/>
  <c r="P37" i="1"/>
  <c r="O40" i="1"/>
  <c r="Q41" i="1"/>
  <c r="Q42" i="1"/>
  <c r="Q43" i="1"/>
  <c r="W47" i="1"/>
  <c r="X48" i="1"/>
  <c r="W49" i="1"/>
  <c r="Z50" i="1"/>
  <c r="Y51" i="1"/>
  <c r="Z52" i="1"/>
  <c r="G56" i="1"/>
  <c r="K57" i="1"/>
  <c r="U62" i="1"/>
  <c r="F68" i="1"/>
  <c r="T70" i="1"/>
  <c r="Y71" i="1"/>
  <c r="L74" i="1"/>
  <c r="R75" i="1"/>
  <c r="M79" i="1"/>
  <c r="X81" i="1"/>
  <c r="K89" i="1"/>
  <c r="X91" i="1"/>
  <c r="T94" i="1"/>
  <c r="M97" i="1"/>
  <c r="Z98" i="1"/>
  <c r="O101" i="1"/>
  <c r="AD102" i="1"/>
  <c r="W108" i="1"/>
  <c r="T111" i="1"/>
  <c r="U114" i="1"/>
  <c r="S125" i="1"/>
  <c r="T130" i="1"/>
  <c r="N138" i="1"/>
  <c r="R140" i="1"/>
  <c r="R142" i="1"/>
  <c r="P146" i="1"/>
  <c r="M152" i="1"/>
  <c r="Z154" i="1"/>
  <c r="W161" i="1"/>
  <c r="H184" i="1"/>
  <c r="V192" i="1"/>
  <c r="V198" i="1"/>
  <c r="T207" i="1"/>
  <c r="L211" i="1"/>
  <c r="O214" i="1"/>
  <c r="Y228" i="1"/>
  <c r="V236" i="1"/>
  <c r="O245" i="1"/>
  <c r="Q249" i="1"/>
  <c r="AD253" i="1"/>
  <c r="H258" i="1"/>
  <c r="I2" i="1"/>
  <c r="E3" i="1"/>
  <c r="Z6" i="1"/>
  <c r="AA7" i="1"/>
  <c r="Y11" i="1"/>
  <c r="W12" i="1"/>
  <c r="W13" i="1"/>
  <c r="W14" i="1"/>
  <c r="V15" i="1"/>
  <c r="S22" i="1"/>
  <c r="Q31" i="1"/>
  <c r="N32" i="1"/>
  <c r="Q33" i="1"/>
  <c r="Q34" i="1"/>
  <c r="P38" i="1"/>
  <c r="P39" i="1"/>
  <c r="Q40" i="1"/>
  <c r="W46" i="1"/>
  <c r="N59" i="1"/>
  <c r="S60" i="1"/>
  <c r="T61" i="1"/>
  <c r="V62" i="1"/>
  <c r="AA63" i="1"/>
  <c r="AD65" i="1"/>
  <c r="P69" i="1"/>
  <c r="AD76" i="1"/>
  <c r="G78" i="1"/>
  <c r="AE81" i="1"/>
  <c r="G83" i="1"/>
  <c r="M84" i="1"/>
  <c r="R85" i="1"/>
  <c r="X86" i="1"/>
  <c r="L89" i="1"/>
  <c r="R90" i="1"/>
  <c r="L93" i="1"/>
  <c r="F100" i="1"/>
  <c r="I104" i="1"/>
  <c r="U111" i="1"/>
  <c r="Y117" i="1"/>
  <c r="J119" i="1"/>
  <c r="K122" i="1"/>
  <c r="H127" i="1"/>
  <c r="T132" i="1"/>
  <c r="O134" i="1"/>
  <c r="U136" i="1"/>
  <c r="S140" i="1"/>
  <c r="T144" i="1"/>
  <c r="X148" i="1"/>
  <c r="Q150" i="1"/>
  <c r="AA154" i="1"/>
  <c r="AC156" i="1"/>
  <c r="Z166" i="1"/>
  <c r="R171" i="1"/>
  <c r="Z173" i="1"/>
  <c r="M176" i="1"/>
  <c r="H179" i="1"/>
  <c r="V181" i="1"/>
  <c r="AB189" i="1"/>
  <c r="W198" i="1"/>
  <c r="S201" i="1"/>
  <c r="U204" i="1"/>
  <c r="S214" i="1"/>
  <c r="N218" i="1"/>
  <c r="V221" i="1"/>
  <c r="Z228" i="1"/>
  <c r="F233" i="1"/>
  <c r="I237" i="1"/>
  <c r="AB138" i="1"/>
  <c r="U150" i="1"/>
  <c r="S169" i="1"/>
  <c r="Y184" i="1"/>
  <c r="K190" i="1"/>
  <c r="H202" i="1"/>
  <c r="T218" i="1"/>
  <c r="Y225" i="1"/>
  <c r="K254" i="1"/>
  <c r="X144" i="1"/>
  <c r="AA152" i="1"/>
  <c r="V159" i="1"/>
  <c r="W164" i="1"/>
  <c r="AD176" i="1"/>
  <c r="F182" i="1"/>
  <c r="N187" i="1"/>
  <c r="AB198" i="1"/>
  <c r="R205" i="1"/>
  <c r="K222" i="1"/>
  <c r="AB229" i="1"/>
  <c r="T250" i="1"/>
  <c r="J269" i="1"/>
  <c r="Q96" i="1"/>
  <c r="S100" i="1"/>
  <c r="T104" i="1"/>
  <c r="H106" i="1"/>
  <c r="F112" i="1"/>
  <c r="H118" i="1"/>
  <c r="Y119" i="1"/>
  <c r="S124" i="1"/>
  <c r="W127" i="1"/>
  <c r="H141" i="1"/>
  <c r="J145" i="1"/>
  <c r="AC152" i="1"/>
  <c r="W157" i="1"/>
  <c r="N167" i="1"/>
  <c r="Y169" i="1"/>
  <c r="M182" i="1"/>
  <c r="AC187" i="1"/>
  <c r="Q190" i="1"/>
  <c r="W193" i="1"/>
  <c r="M202" i="1"/>
  <c r="AB205" i="1"/>
  <c r="U215" i="1"/>
  <c r="M219" i="1"/>
  <c r="G223" i="1"/>
  <c r="V226" i="1"/>
  <c r="G242" i="1"/>
  <c r="AA264" i="1"/>
  <c r="N3" i="1"/>
  <c r="AD15" i="1"/>
  <c r="AD16" i="1"/>
  <c r="Y24" i="1"/>
  <c r="W29" i="1"/>
  <c r="Z30" i="1"/>
  <c r="Y35" i="1"/>
  <c r="Z38" i="1"/>
  <c r="Y39" i="1"/>
  <c r="Z41" i="1"/>
  <c r="AA42" i="1"/>
  <c r="AE43" i="1"/>
  <c r="AD44" i="1"/>
  <c r="F51" i="1"/>
  <c r="G52" i="1"/>
  <c r="L53" i="1"/>
  <c r="L54" i="1"/>
  <c r="N55" i="1"/>
  <c r="W58" i="1"/>
  <c r="W59" i="1"/>
  <c r="J65" i="1"/>
  <c r="J66" i="1"/>
  <c r="M67" i="1"/>
  <c r="Z69" i="1"/>
  <c r="P73" i="1"/>
  <c r="AD75" i="1"/>
  <c r="S78" i="1"/>
  <c r="R83" i="1"/>
  <c r="X84" i="1"/>
  <c r="AD85" i="1"/>
  <c r="F87" i="1"/>
  <c r="Q88" i="1"/>
  <c r="W93" i="1"/>
  <c r="Z97" i="1"/>
  <c r="K99" i="1"/>
  <c r="T100" i="1"/>
  <c r="O103" i="1"/>
  <c r="X107" i="1"/>
  <c r="Q110" i="1"/>
  <c r="K118" i="1"/>
  <c r="V124" i="1"/>
  <c r="G126" i="1"/>
  <c r="Q129" i="1"/>
  <c r="N131" i="1"/>
  <c r="J133" i="1"/>
  <c r="L137" i="1"/>
  <c r="G139" i="1"/>
  <c r="I141" i="1"/>
  <c r="F147" i="1"/>
  <c r="N155" i="1"/>
  <c r="U162" i="1"/>
  <c r="G165" i="1"/>
  <c r="N172" i="1"/>
  <c r="Q177" i="1"/>
  <c r="R182" i="1"/>
  <c r="J196" i="1"/>
  <c r="Q199" i="1"/>
  <c r="T202" i="1"/>
  <c r="N212" i="1"/>
  <c r="V215" i="1"/>
  <c r="P219" i="1"/>
  <c r="N234" i="1"/>
  <c r="X238" i="1"/>
  <c r="Q242" i="1"/>
  <c r="AD250" i="1"/>
  <c r="G255" i="1"/>
  <c r="Z269" i="1"/>
  <c r="AB11" i="1"/>
  <c r="G106" i="1"/>
  <c r="AE7" i="1"/>
  <c r="AE11" i="1"/>
  <c r="X19" i="1"/>
  <c r="V33" i="1"/>
  <c r="X37" i="1"/>
  <c r="Y41" i="1"/>
  <c r="AC46" i="1"/>
  <c r="F53" i="1"/>
  <c r="P57" i="1"/>
  <c r="K67" i="1"/>
  <c r="W79" i="1"/>
  <c r="AB85" i="1"/>
  <c r="U127" i="1"/>
  <c r="M167" i="1"/>
  <c r="L182" i="1"/>
  <c r="U193" i="1"/>
  <c r="U205" i="1"/>
  <c r="S215" i="1"/>
  <c r="Q2" i="1"/>
  <c r="L3" i="1"/>
  <c r="K4" i="1"/>
  <c r="H5" i="1"/>
  <c r="F9" i="1"/>
  <c r="AE14" i="1"/>
  <c r="AA17" i="1"/>
  <c r="AA18" i="1"/>
  <c r="AC19" i="1"/>
  <c r="AA20" i="1"/>
  <c r="AB21" i="1"/>
  <c r="AA22" i="1"/>
  <c r="Z23" i="1"/>
  <c r="X25" i="1"/>
  <c r="X26" i="1"/>
  <c r="W27" i="1"/>
  <c r="V28" i="1"/>
  <c r="X31" i="1"/>
  <c r="Z32" i="1"/>
  <c r="X33" i="1"/>
  <c r="Z34" i="1"/>
  <c r="Z40" i="1"/>
  <c r="P56" i="1"/>
  <c r="U57" i="1"/>
  <c r="V58" i="1"/>
  <c r="AC61" i="1"/>
  <c r="T68" i="1"/>
  <c r="AD70" i="1"/>
  <c r="G72" i="1"/>
  <c r="W74" i="1"/>
  <c r="G77" i="1"/>
  <c r="AE80" i="1"/>
  <c r="K82" i="1"/>
  <c r="P88" i="1"/>
  <c r="AC90" i="1"/>
  <c r="M92" i="1"/>
  <c r="R113" i="1"/>
  <c r="L4" i="1"/>
  <c r="AE13" i="1"/>
  <c r="R2" i="1"/>
  <c r="H6" i="1"/>
  <c r="I7" i="1"/>
  <c r="G8" i="1"/>
  <c r="G9" i="1"/>
  <c r="F10" i="1"/>
  <c r="AC18" i="1"/>
  <c r="AE19" i="1"/>
  <c r="AD21" i="1"/>
  <c r="AC22" i="1"/>
  <c r="AA23" i="1"/>
  <c r="Z24" i="1"/>
  <c r="Y25" i="1"/>
  <c r="Y26" i="1"/>
  <c r="Z27" i="1"/>
  <c r="AB28" i="1"/>
  <c r="Z29" i="1"/>
  <c r="AA30" i="1"/>
  <c r="Z31" i="1"/>
  <c r="AA32" i="1"/>
  <c r="Z33" i="1"/>
  <c r="AA36" i="1"/>
  <c r="Z37" i="1"/>
  <c r="AA38" i="1"/>
  <c r="Z39" i="1"/>
  <c r="AA40" i="1"/>
  <c r="G50" i="1"/>
  <c r="O55" i="1"/>
  <c r="U56" i="1"/>
  <c r="V57" i="1"/>
  <c r="AC60" i="1"/>
  <c r="AE61" i="1"/>
  <c r="H64" i="1"/>
  <c r="U68" i="1"/>
  <c r="Y74" i="1"/>
  <c r="L77" i="1"/>
  <c r="M82" i="1"/>
  <c r="S83" i="1"/>
  <c r="AD90" i="1"/>
  <c r="R96" i="1"/>
  <c r="AE97" i="1"/>
  <c r="L99" i="1"/>
  <c r="P103" i="1"/>
  <c r="AB104" i="1"/>
  <c r="I106" i="1"/>
  <c r="X110" i="1"/>
  <c r="G112" i="1"/>
  <c r="X113" i="1"/>
  <c r="H115" i="1"/>
  <c r="X116" i="1"/>
  <c r="L118" i="1"/>
  <c r="W124" i="1"/>
  <c r="F135" i="1"/>
  <c r="K145" i="1"/>
  <c r="I151" i="1"/>
  <c r="G153" i="1"/>
  <c r="AA157" i="1"/>
  <c r="M160" i="1"/>
  <c r="P167" i="1"/>
  <c r="S177" i="1"/>
  <c r="S182" i="1"/>
  <c r="R199" i="1"/>
  <c r="U202" i="1"/>
  <c r="AD205" i="1"/>
  <c r="L209" i="1"/>
  <c r="P212" i="1"/>
  <c r="G216" i="1"/>
  <c r="Q219" i="1"/>
  <c r="M223" i="1"/>
  <c r="Y226" i="1"/>
  <c r="Y238" i="1"/>
  <c r="F243" i="1"/>
  <c r="L260" i="1"/>
  <c r="F5" i="1"/>
  <c r="AC9" i="1"/>
  <c r="AB15" i="1"/>
  <c r="T23" i="1"/>
  <c r="Z44" i="1"/>
  <c r="U59" i="1"/>
  <c r="V79" i="1"/>
  <c r="F106" i="1"/>
  <c r="Z140" i="1"/>
  <c r="K3" i="1"/>
  <c r="F6" i="1"/>
  <c r="X22" i="1"/>
  <c r="W25" i="1"/>
  <c r="U28" i="1"/>
  <c r="U31" i="1"/>
  <c r="X41" i="1"/>
  <c r="AE48" i="1"/>
  <c r="L55" i="1"/>
  <c r="AB61" i="1"/>
  <c r="O68" i="1"/>
  <c r="AC70" i="1"/>
  <c r="V74" i="1"/>
  <c r="AA85" i="1"/>
  <c r="H92" i="1"/>
  <c r="O96" i="1"/>
  <c r="Q100" i="1"/>
  <c r="F121" i="1"/>
  <c r="AD134" i="1"/>
  <c r="Y144" i="1"/>
  <c r="J167" i="1"/>
  <c r="W208" i="1"/>
  <c r="N222" i="1"/>
  <c r="AA233" i="1"/>
  <c r="AD9" i="1"/>
  <c r="AE12" i="1"/>
  <c r="AC16" i="1"/>
  <c r="W35" i="1"/>
  <c r="AA44" i="1"/>
  <c r="K54" i="1"/>
  <c r="V59" i="1"/>
  <c r="I65" i="1"/>
  <c r="U89" i="1"/>
  <c r="AD94" i="1"/>
  <c r="R107" i="1"/>
  <c r="F115" i="1"/>
  <c r="Y122" i="1"/>
  <c r="X159" i="1"/>
  <c r="H196" i="1"/>
  <c r="Z208" i="1"/>
  <c r="O222" i="1"/>
  <c r="V250" i="1"/>
  <c r="X269" i="1"/>
  <c r="G6" i="1"/>
  <c r="M121" i="1"/>
  <c r="O3" i="1"/>
  <c r="M4" i="1"/>
  <c r="J5" i="1"/>
  <c r="J7" i="1"/>
  <c r="G16" i="1"/>
  <c r="AE20" i="1"/>
  <c r="AB34" i="1"/>
  <c r="Z35" i="1"/>
  <c r="AB36" i="1"/>
  <c r="AA37" i="1"/>
  <c r="AD42" i="1"/>
  <c r="G48" i="1"/>
  <c r="F49" i="1"/>
  <c r="H50" i="1"/>
  <c r="L51" i="1"/>
  <c r="J52" i="1"/>
  <c r="M53" i="1"/>
  <c r="X58" i="1"/>
  <c r="AC59" i="1"/>
  <c r="AD60" i="1"/>
  <c r="I64" i="1"/>
  <c r="K65" i="1"/>
  <c r="L66" i="1"/>
  <c r="N67" i="1"/>
  <c r="W68" i="1"/>
  <c r="AA69" i="1"/>
  <c r="N72" i="1"/>
  <c r="Q73" i="1"/>
  <c r="T78" i="1"/>
  <c r="H81" i="1"/>
  <c r="N82" i="1"/>
  <c r="Y89" i="1"/>
  <c r="AE90" i="1"/>
  <c r="O92" i="1"/>
  <c r="Y93" i="1"/>
  <c r="S96" i="1"/>
  <c r="AB100" i="1"/>
  <c r="G102" i="1"/>
  <c r="J106" i="1"/>
  <c r="F109" i="1"/>
  <c r="H112" i="1"/>
  <c r="Y113" i="1"/>
  <c r="AB116" i="1"/>
  <c r="AD119" i="1"/>
  <c r="Q121" i="1"/>
  <c r="AD122" i="1"/>
  <c r="R129" i="1"/>
  <c r="K133" i="1"/>
  <c r="O135" i="1"/>
  <c r="M137" i="1"/>
  <c r="J141" i="1"/>
  <c r="H143" i="1"/>
  <c r="P153" i="1"/>
  <c r="O155" i="1"/>
  <c r="V162" i="1"/>
  <c r="I165" i="1"/>
  <c r="Q172" i="1"/>
  <c r="Z174" i="1"/>
  <c r="T177" i="1"/>
  <c r="G180" i="1"/>
  <c r="AA193" i="1"/>
  <c r="T199" i="1"/>
  <c r="N209" i="1"/>
  <c r="J216" i="1"/>
  <c r="P234" i="1"/>
  <c r="H243" i="1"/>
  <c r="V255" i="1"/>
  <c r="M265" i="1"/>
  <c r="G271" i="1"/>
  <c r="AD7" i="1"/>
  <c r="AB10" i="1"/>
  <c r="AD12" i="1"/>
  <c r="AC14" i="1"/>
  <c r="AB16" i="1"/>
  <c r="W19" i="1"/>
  <c r="V21" i="1"/>
  <c r="T24" i="1"/>
  <c r="W36" i="1"/>
  <c r="Y42" i="1"/>
  <c r="AA46" i="1"/>
  <c r="O57" i="1"/>
  <c r="J67" i="1"/>
  <c r="S69" i="1"/>
  <c r="I73" i="1"/>
  <c r="Q89" i="1"/>
  <c r="U93" i="1"/>
  <c r="X97" i="1"/>
  <c r="P107" i="1"/>
  <c r="O110" i="1"/>
  <c r="AA114" i="1"/>
  <c r="J124" i="1"/>
  <c r="T127" i="1"/>
  <c r="AE130" i="1"/>
  <c r="AA136" i="1"/>
  <c r="AC148" i="1"/>
  <c r="Q157" i="1"/>
  <c r="Z171" i="1"/>
  <c r="AB184" i="1"/>
  <c r="O190" i="1"/>
  <c r="F196" i="1"/>
  <c r="U250" i="1"/>
  <c r="G5" i="1"/>
  <c r="AD8" i="1"/>
  <c r="Z18" i="1"/>
  <c r="AA21" i="1"/>
  <c r="V24" i="1"/>
  <c r="V27" i="1"/>
  <c r="U29" i="1"/>
  <c r="T32" i="1"/>
  <c r="Y40" i="1"/>
  <c r="H54" i="1"/>
  <c r="J73" i="1"/>
  <c r="P78" i="1"/>
  <c r="K83" i="1"/>
  <c r="S104" i="1"/>
  <c r="AD142" i="1"/>
  <c r="AB152" i="1"/>
  <c r="S179" i="1"/>
  <c r="L202" i="1"/>
  <c r="AC254" i="1"/>
  <c r="AC15" i="1"/>
  <c r="Y34" i="1"/>
  <c r="X38" i="1"/>
  <c r="Z42" i="1"/>
  <c r="AE45" i="1"/>
  <c r="F52" i="1"/>
  <c r="O56" i="1"/>
  <c r="AC75" i="1"/>
  <c r="AD80" i="1"/>
  <c r="V93" i="1"/>
  <c r="I99" i="1"/>
  <c r="P110" i="1"/>
  <c r="P116" i="1"/>
  <c r="L121" i="1"/>
  <c r="AD125" i="1"/>
  <c r="H133" i="1"/>
  <c r="AE148" i="1"/>
  <c r="R157" i="1"/>
  <c r="Z164" i="1"/>
  <c r="I219" i="1"/>
  <c r="L238" i="1"/>
  <c r="W259" i="1"/>
  <c r="X79" i="1"/>
  <c r="S2" i="1"/>
  <c r="K6" i="1"/>
  <c r="I8" i="1"/>
  <c r="J9" i="1"/>
  <c r="G10" i="1"/>
  <c r="G11" i="1"/>
  <c r="AE21" i="1"/>
  <c r="AD22" i="1"/>
  <c r="AC23" i="1"/>
  <c r="AB24" i="1"/>
  <c r="AB27" i="1"/>
  <c r="AC28" i="1"/>
  <c r="AB29" i="1"/>
  <c r="AB30" i="1"/>
  <c r="AA31" i="1"/>
  <c r="AB32" i="1"/>
  <c r="AA33" i="1"/>
  <c r="AC34" i="1"/>
  <c r="AB38" i="1"/>
  <c r="AC40" i="1"/>
  <c r="F47" i="1"/>
  <c r="O54" i="1"/>
  <c r="P55" i="1"/>
  <c r="W56" i="1"/>
  <c r="W57" i="1"/>
  <c r="Y68" i="1"/>
  <c r="S73" i="1"/>
  <c r="Z74" i="1"/>
  <c r="I76" i="1"/>
  <c r="O77" i="1"/>
  <c r="I81" i="1"/>
  <c r="T83" i="1"/>
  <c r="Z84" i="1"/>
  <c r="M87" i="1"/>
  <c r="Z89" i="1"/>
  <c r="K95" i="1"/>
  <c r="M99" i="1"/>
  <c r="H102" i="1"/>
  <c r="U103" i="1"/>
  <c r="AC104" i="1"/>
  <c r="AA107" i="1"/>
  <c r="Y110" i="1"/>
  <c r="I115" i="1"/>
  <c r="AC116" i="1"/>
  <c r="M118" i="1"/>
  <c r="F123" i="1"/>
  <c r="J126" i="1"/>
  <c r="L133" i="1"/>
  <c r="L145" i="1"/>
  <c r="Q147" i="1"/>
  <c r="M151" i="1"/>
  <c r="T155" i="1"/>
  <c r="O160" i="1"/>
  <c r="S167" i="1"/>
  <c r="G170" i="1"/>
  <c r="AD174" i="1"/>
  <c r="W182" i="1"/>
  <c r="O185" i="1"/>
  <c r="AC196" i="1"/>
  <c r="U199" i="1"/>
  <c r="AE205" i="1"/>
  <c r="O209" i="1"/>
  <c r="S219" i="1"/>
  <c r="V230" i="1"/>
  <c r="AC234" i="1"/>
  <c r="W255" i="1"/>
  <c r="M260" i="1"/>
  <c r="AE6" i="1"/>
  <c r="AC8" i="1"/>
  <c r="AA13" i="1"/>
  <c r="Y17" i="1"/>
  <c r="X20" i="1"/>
  <c r="V22" i="1"/>
  <c r="T28" i="1"/>
  <c r="S35" i="1"/>
  <c r="V37" i="1"/>
  <c r="X40" i="1"/>
  <c r="X43" i="1"/>
  <c r="Y45" i="1"/>
  <c r="AE47" i="1"/>
  <c r="AC48" i="1"/>
  <c r="F54" i="1"/>
  <c r="T58" i="1"/>
  <c r="AC62" i="1"/>
  <c r="M68" i="1"/>
  <c r="AA75" i="1"/>
  <c r="U84" i="1"/>
  <c r="J88" i="1"/>
  <c r="AA90" i="1"/>
  <c r="G92" i="1"/>
  <c r="AC94" i="1"/>
  <c r="P100" i="1"/>
  <c r="AA108" i="1"/>
  <c r="X122" i="1"/>
  <c r="X125" i="1"/>
  <c r="N129" i="1"/>
  <c r="X132" i="1"/>
  <c r="AE138" i="1"/>
  <c r="AE146" i="1"/>
  <c r="X164" i="1"/>
  <c r="R174" i="1"/>
  <c r="Q179" i="1"/>
  <c r="P187" i="1"/>
  <c r="AE198" i="1"/>
  <c r="W211" i="1"/>
  <c r="L222" i="1"/>
  <c r="AA254" i="1"/>
  <c r="P2" i="1"/>
  <c r="J4" i="1"/>
  <c r="Y20" i="1"/>
  <c r="Y23" i="1"/>
  <c r="W26" i="1"/>
  <c r="T30" i="1"/>
  <c r="W39" i="1"/>
  <c r="N56" i="1"/>
  <c r="W60" i="1"/>
  <c r="AE63" i="1"/>
  <c r="AB75" i="1"/>
  <c r="AB80" i="1"/>
  <c r="V84" i="1"/>
  <c r="AB90" i="1"/>
  <c r="Z101" i="1"/>
  <c r="Q113" i="1"/>
  <c r="S119" i="1"/>
  <c r="AA140" i="1"/>
  <c r="AD148" i="1"/>
  <c r="Q162" i="1"/>
  <c r="R193" i="1"/>
  <c r="T205" i="1"/>
  <c r="AC229" i="1"/>
  <c r="AD13" i="1"/>
  <c r="Z17" i="1"/>
  <c r="Y36" i="1"/>
  <c r="Y43" i="1"/>
  <c r="AE62" i="1"/>
  <c r="I66" i="1"/>
  <c r="F72" i="1"/>
  <c r="Q78" i="1"/>
  <c r="Y97" i="1"/>
  <c r="K103" i="1"/>
  <c r="F118" i="1"/>
  <c r="P129" i="1"/>
  <c r="AE134" i="1"/>
  <c r="T174" i="1"/>
  <c r="Z187" i="1"/>
  <c r="O199" i="1"/>
  <c r="F242" i="1"/>
  <c r="H3" i="4"/>
  <c r="I3" i="4" s="1" a="1"/>
  <c r="I3" i="4" s="1"/>
  <c r="M234" i="1"/>
  <c r="S3" i="1"/>
  <c r="Q4" i="1"/>
  <c r="O5" i="1"/>
  <c r="M6" i="1"/>
  <c r="K7" i="1"/>
  <c r="I11" i="1"/>
  <c r="F12" i="1"/>
  <c r="G13" i="1"/>
  <c r="J14" i="1"/>
  <c r="G15" i="1"/>
  <c r="H16" i="1"/>
  <c r="AB25" i="1"/>
  <c r="AE26" i="1"/>
  <c r="AC33" i="1"/>
  <c r="AC36" i="1"/>
  <c r="F46" i="1"/>
  <c r="G47" i="1"/>
  <c r="H48" i="1"/>
  <c r="L49" i="1"/>
  <c r="K50" i="1"/>
  <c r="M51" i="1"/>
  <c r="L52" i="1"/>
  <c r="N53" i="1"/>
  <c r="P54" i="1"/>
  <c r="U55" i="1"/>
  <c r="AD59" i="1"/>
  <c r="J63" i="1"/>
  <c r="J64" i="1"/>
  <c r="L65" i="1"/>
  <c r="Q66" i="1"/>
  <c r="S67" i="1"/>
  <c r="AC69" i="1"/>
  <c r="O72" i="1"/>
  <c r="H86" i="1"/>
  <c r="T88" i="1"/>
  <c r="AA89" i="1"/>
  <c r="H91" i="1"/>
  <c r="Q92" i="1"/>
  <c r="AE93" i="1"/>
  <c r="T96" i="1"/>
  <c r="AC100" i="1"/>
  <c r="I102" i="1"/>
  <c r="V103" i="1"/>
  <c r="L106" i="1"/>
  <c r="AB107" i="1"/>
  <c r="O109" i="1"/>
  <c r="I112" i="1"/>
  <c r="Z113" i="1"/>
  <c r="P115" i="1"/>
  <c r="Y124" i="1"/>
  <c r="O126" i="1"/>
  <c r="S135" i="1"/>
  <c r="P139" i="1"/>
  <c r="K141" i="1"/>
  <c r="P143" i="1"/>
  <c r="Q153" i="1"/>
  <c r="U155" i="1"/>
  <c r="P160" i="1"/>
  <c r="N165" i="1"/>
  <c r="T167" i="1"/>
  <c r="S172" i="1"/>
  <c r="I175" i="1"/>
  <c r="AC177" i="1"/>
  <c r="K180" i="1"/>
  <c r="AD182" i="1"/>
  <c r="AD196" i="1"/>
  <c r="Q209" i="1"/>
  <c r="R212" i="1"/>
  <c r="L216" i="1"/>
  <c r="P223" i="1"/>
  <c r="M251" i="1"/>
  <c r="Y91" i="1"/>
  <c r="W92" i="1"/>
  <c r="AE94" i="1"/>
  <c r="AB95" i="1"/>
  <c r="V96" i="1"/>
  <c r="AA99" i="1"/>
  <c r="U100" i="1"/>
  <c r="R101" i="1"/>
  <c r="K102" i="1"/>
  <c r="AB103" i="1"/>
  <c r="AB114" i="1"/>
  <c r="U116" i="1"/>
  <c r="P117" i="1"/>
  <c r="L119" i="1"/>
  <c r="Y125" i="1"/>
  <c r="W126" i="1"/>
  <c r="W128" i="1"/>
  <c r="T129" i="1"/>
  <c r="G135" i="1"/>
  <c r="U138" i="1"/>
  <c r="AB140" i="1"/>
  <c r="N144" i="1"/>
  <c r="R145" i="1"/>
  <c r="F150" i="1"/>
  <c r="N151" i="1"/>
  <c r="Z153" i="1"/>
  <c r="H155" i="1"/>
  <c r="Q156" i="1"/>
  <c r="AB157" i="1"/>
  <c r="S160" i="1"/>
  <c r="R163" i="1"/>
  <c r="AA164" i="1"/>
  <c r="L166" i="1"/>
  <c r="AD171" i="1"/>
  <c r="O173" i="1"/>
  <c r="L184" i="1"/>
  <c r="X185" i="1"/>
  <c r="S190" i="1"/>
  <c r="AE193" i="1"/>
  <c r="S195" i="1"/>
  <c r="O197" i="1"/>
  <c r="U200" i="1"/>
  <c r="J204" i="1"/>
  <c r="X211" i="1"/>
  <c r="V217" i="1"/>
  <c r="AC219" i="1"/>
  <c r="W221" i="1"/>
  <c r="G232" i="1"/>
  <c r="T241" i="1"/>
  <c r="L253" i="1"/>
  <c r="AB255" i="1"/>
  <c r="T258" i="1"/>
  <c r="T2" i="1"/>
  <c r="H3" i="1"/>
  <c r="Y3" i="1"/>
  <c r="U5" i="1"/>
  <c r="I6" i="1"/>
  <c r="M9" i="1"/>
  <c r="K11" i="1"/>
  <c r="H13" i="1"/>
  <c r="F15" i="1"/>
  <c r="AE16" i="1"/>
  <c r="J18" i="1"/>
  <c r="AB18" i="1"/>
  <c r="H20" i="1"/>
  <c r="Z20" i="1"/>
  <c r="W22" i="1"/>
  <c r="AC25" i="1"/>
  <c r="AA27" i="1"/>
  <c r="Y29" i="1"/>
  <c r="W31" i="1"/>
  <c r="M32" i="1"/>
  <c r="W33" i="1"/>
  <c r="L34" i="1"/>
  <c r="AE34" i="1"/>
  <c r="V35" i="1"/>
  <c r="K36" i="1"/>
  <c r="AD36" i="1"/>
  <c r="J38" i="1"/>
  <c r="AC38" i="1"/>
  <c r="T39" i="1"/>
  <c r="AB40" i="1"/>
  <c r="J42" i="1"/>
  <c r="AB42" i="1"/>
  <c r="S43" i="1"/>
  <c r="J44" i="1"/>
  <c r="AC44" i="1"/>
  <c r="I46" i="1"/>
  <c r="AB46" i="1"/>
  <c r="I48" i="1"/>
  <c r="AB48" i="1"/>
  <c r="R49" i="1"/>
  <c r="I50" i="1"/>
  <c r="AB50" i="1"/>
  <c r="S51" i="1"/>
  <c r="I52" i="1"/>
  <c r="AA52" i="1"/>
  <c r="Z58" i="1"/>
  <c r="Y60" i="1"/>
  <c r="F62" i="1"/>
  <c r="Y62" i="1"/>
  <c r="N63" i="1"/>
  <c r="X64" i="1"/>
  <c r="O65" i="1"/>
  <c r="X66" i="1"/>
  <c r="AB68" i="1"/>
  <c r="M70" i="1"/>
  <c r="AA71" i="1"/>
  <c r="AC74" i="1"/>
  <c r="Q79" i="1"/>
  <c r="L83" i="1"/>
  <c r="AB84" i="1"/>
  <c r="O86" i="1"/>
  <c r="AD87" i="1"/>
  <c r="R89" i="1"/>
  <c r="K90" i="1"/>
  <c r="O93" i="1"/>
  <c r="J94" i="1"/>
  <c r="P97" i="1"/>
  <c r="J98" i="1"/>
  <c r="AB99" i="1"/>
  <c r="F103" i="1"/>
  <c r="Y104" i="1"/>
  <c r="S105" i="1"/>
  <c r="H107" i="1"/>
  <c r="AB108" i="1"/>
  <c r="V109" i="1"/>
  <c r="R110" i="1"/>
  <c r="P111" i="1"/>
  <c r="J112" i="1"/>
  <c r="G113" i="1"/>
  <c r="S117" i="1"/>
  <c r="O118" i="1"/>
  <c r="H120" i="1"/>
  <c r="AA124" i="1"/>
  <c r="AB126" i="1"/>
  <c r="Y127" i="1"/>
  <c r="X129" i="1"/>
  <c r="V130" i="1"/>
  <c r="AA131" i="1"/>
  <c r="F134" i="1"/>
  <c r="H135" i="1"/>
  <c r="N136" i="1"/>
  <c r="V138" i="1"/>
  <c r="AA139" i="1"/>
  <c r="AB147" i="1"/>
  <c r="O151" i="1"/>
  <c r="T152" i="1"/>
  <c r="O159" i="1"/>
  <c r="T160" i="1"/>
  <c r="V170" i="1"/>
  <c r="V179" i="1"/>
  <c r="F181" i="1"/>
  <c r="S187" i="1"/>
  <c r="M192" i="1"/>
  <c r="AC200" i="1"/>
  <c r="W202" i="1"/>
  <c r="AC217" i="1"/>
  <c r="AD219" i="1"/>
  <c r="K226" i="1"/>
  <c r="J230" i="1"/>
  <c r="L232" i="1"/>
  <c r="AB236" i="1"/>
  <c r="U241" i="1"/>
  <c r="T248" i="1"/>
  <c r="AC255" i="1"/>
  <c r="X258" i="1"/>
  <c r="F261" i="1"/>
  <c r="G264" i="1"/>
  <c r="O4" i="1"/>
  <c r="AB6" i="1"/>
  <c r="P7" i="1"/>
  <c r="Y8" i="1"/>
  <c r="AE9" i="1"/>
  <c r="U10" i="1"/>
  <c r="AD11" i="1"/>
  <c r="S12" i="1"/>
  <c r="Z13" i="1"/>
  <c r="Q14" i="1"/>
  <c r="Y15" i="1"/>
  <c r="N16" i="1"/>
  <c r="U17" i="1"/>
  <c r="S19" i="1"/>
  <c r="P21" i="1"/>
  <c r="O23" i="1"/>
  <c r="U24" i="1"/>
  <c r="J25" i="1"/>
  <c r="S26" i="1"/>
  <c r="I27" i="1"/>
  <c r="P28" i="1"/>
  <c r="F29" i="1"/>
  <c r="N30" i="1"/>
  <c r="U37" i="1"/>
  <c r="J40" i="1"/>
  <c r="T41" i="1"/>
  <c r="S45" i="1"/>
  <c r="T47" i="1"/>
  <c r="S49" i="1"/>
  <c r="I54" i="1"/>
  <c r="AA54" i="1"/>
  <c r="R55" i="1"/>
  <c r="I56" i="1"/>
  <c r="H58" i="1"/>
  <c r="AA58" i="1"/>
  <c r="Q59" i="1"/>
  <c r="G60" i="1"/>
  <c r="Z60" i="1"/>
  <c r="H68" i="1"/>
  <c r="U69" i="1"/>
  <c r="AB71" i="1"/>
  <c r="T72" i="1"/>
  <c r="L73" i="1"/>
  <c r="AD77" i="1"/>
  <c r="X78" i="1"/>
  <c r="T82" i="1"/>
  <c r="G84" i="1"/>
  <c r="W85" i="1"/>
  <c r="Y88" i="1"/>
  <c r="Z91" i="1"/>
  <c r="X92" i="1"/>
  <c r="AD95" i="1"/>
  <c r="S101" i="1"/>
  <c r="L102" i="1"/>
  <c r="AC103" i="1"/>
  <c r="T105" i="1"/>
  <c r="O106" i="1"/>
  <c r="Y109" i="1"/>
  <c r="K112" i="1"/>
  <c r="H113" i="1"/>
  <c r="AC114" i="1"/>
  <c r="Y115" i="1"/>
  <c r="V116" i="1"/>
  <c r="H121" i="1"/>
  <c r="F122" i="1"/>
  <c r="AB124" i="1"/>
  <c r="Z125" i="1"/>
  <c r="AC126" i="1"/>
  <c r="Z127" i="1"/>
  <c r="X128" i="1"/>
  <c r="I135" i="1"/>
  <c r="G142" i="1"/>
  <c r="M143" i="1"/>
  <c r="O144" i="1"/>
  <c r="S145" i="1"/>
  <c r="AB146" i="1"/>
  <c r="W152" i="1"/>
  <c r="AC153" i="1"/>
  <c r="K155" i="1"/>
  <c r="R156" i="1"/>
  <c r="AC157" i="1"/>
  <c r="W160" i="1"/>
  <c r="G162" i="1"/>
  <c r="X163" i="1"/>
  <c r="AC164" i="1"/>
  <c r="O166" i="1"/>
  <c r="J169" i="1"/>
  <c r="K172" i="1"/>
  <c r="S173" i="1"/>
  <c r="N184" i="1"/>
  <c r="H189" i="1"/>
  <c r="N192" i="1"/>
  <c r="T195" i="1"/>
  <c r="AD200" i="1"/>
  <c r="Y202" i="1"/>
  <c r="N204" i="1"/>
  <c r="H206" i="1"/>
  <c r="F208" i="1"/>
  <c r="AE213" i="1"/>
  <c r="AD217" i="1"/>
  <c r="AE221" i="1"/>
  <c r="R232" i="1"/>
  <c r="J239" i="1"/>
  <c r="I270" i="1"/>
  <c r="AB52" i="1"/>
  <c r="S53" i="1"/>
  <c r="AB56" i="1"/>
  <c r="R57" i="1"/>
  <c r="Q61" i="1"/>
  <c r="G62" i="1"/>
  <c r="Z62" i="1"/>
  <c r="Q63" i="1"/>
  <c r="F64" i="1"/>
  <c r="Y64" i="1"/>
  <c r="Y66" i="1"/>
  <c r="Q67" i="1"/>
  <c r="I68" i="1"/>
  <c r="AD68" i="1"/>
  <c r="V69" i="1"/>
  <c r="N70" i="1"/>
  <c r="H71" i="1"/>
  <c r="U72" i="1"/>
  <c r="G74" i="1"/>
  <c r="AD74" i="1"/>
  <c r="W75" i="1"/>
  <c r="P76" i="1"/>
  <c r="I77" i="1"/>
  <c r="R79" i="1"/>
  <c r="L80" i="1"/>
  <c r="AB81" i="1"/>
  <c r="U82" i="1"/>
  <c r="N83" i="1"/>
  <c r="AC84" i="1"/>
  <c r="K87" i="1"/>
  <c r="AE87" i="1"/>
  <c r="Z88" i="1"/>
  <c r="L90" i="1"/>
  <c r="F91" i="1"/>
  <c r="AA91" i="1"/>
  <c r="Q93" i="1"/>
  <c r="L94" i="1"/>
  <c r="I95" i="1"/>
  <c r="X96" i="1"/>
  <c r="Q97" i="1"/>
  <c r="M98" i="1"/>
  <c r="F99" i="1"/>
  <c r="W100" i="1"/>
  <c r="G103" i="1"/>
  <c r="Z104" i="1"/>
  <c r="F108" i="1"/>
  <c r="Z109" i="1"/>
  <c r="R111" i="1"/>
  <c r="F114" i="1"/>
  <c r="Z115" i="1"/>
  <c r="T117" i="1"/>
  <c r="P118" i="1"/>
  <c r="N119" i="1"/>
  <c r="L120" i="1"/>
  <c r="I121" i="1"/>
  <c r="AA127" i="1"/>
  <c r="Z128" i="1"/>
  <c r="Y129" i="1"/>
  <c r="W130" i="1"/>
  <c r="AB131" i="1"/>
  <c r="W138" i="1"/>
  <c r="AD139" i="1"/>
  <c r="F141" i="1"/>
  <c r="P144" i="1"/>
  <c r="T145" i="1"/>
  <c r="AC146" i="1"/>
  <c r="N150" i="1"/>
  <c r="Y152" i="1"/>
  <c r="T156" i="1"/>
  <c r="P159" i="1"/>
  <c r="X160" i="1"/>
  <c r="I162" i="1"/>
  <c r="K169" i="1"/>
  <c r="F175" i="1"/>
  <c r="Y176" i="1"/>
  <c r="H178" i="1"/>
  <c r="P181" i="1"/>
  <c r="AB182" i="1"/>
  <c r="G186" i="1"/>
  <c r="Y195" i="1"/>
  <c r="Q197" i="1"/>
  <c r="G199" i="1"/>
  <c r="AA202" i="1"/>
  <c r="O204" i="1"/>
  <c r="H208" i="1"/>
  <c r="AB215" i="1"/>
  <c r="AE217" i="1"/>
  <c r="K230" i="1"/>
  <c r="S232" i="1"/>
  <c r="Z234" i="1"/>
  <c r="S239" i="1"/>
  <c r="W241" i="1"/>
  <c r="X248" i="1"/>
  <c r="F251" i="1"/>
  <c r="I261" i="1"/>
  <c r="N264" i="1"/>
  <c r="S270" i="1"/>
  <c r="V2" i="1"/>
  <c r="AA3" i="1"/>
  <c r="P4" i="1"/>
  <c r="AC6" i="1"/>
  <c r="Q7" i="1"/>
  <c r="Z8" i="1"/>
  <c r="W10" i="1"/>
  <c r="T12" i="1"/>
  <c r="R14" i="1"/>
  <c r="Z15" i="1"/>
  <c r="O16" i="1"/>
  <c r="L18" i="1"/>
  <c r="T19" i="1"/>
  <c r="P23" i="1"/>
  <c r="T26" i="1"/>
  <c r="J27" i="1"/>
  <c r="Q28" i="1"/>
  <c r="O30" i="1"/>
  <c r="N34" i="1"/>
  <c r="M36" i="1"/>
  <c r="L38" i="1"/>
  <c r="U45" i="1"/>
  <c r="T53" i="1"/>
  <c r="J54" i="1"/>
  <c r="S55" i="1"/>
  <c r="J56" i="1"/>
  <c r="AC56" i="1"/>
  <c r="T57" i="1"/>
  <c r="I58" i="1"/>
  <c r="AB58" i="1"/>
  <c r="S59" i="1"/>
  <c r="H60" i="1"/>
  <c r="AA60" i="1"/>
  <c r="R61" i="1"/>
  <c r="Q65" i="1"/>
  <c r="G66" i="1"/>
  <c r="J68" i="1"/>
  <c r="W69" i="1"/>
  <c r="AC71" i="1"/>
  <c r="V72" i="1"/>
  <c r="N73" i="1"/>
  <c r="Q76" i="1"/>
  <c r="Y78" i="1"/>
  <c r="F81" i="1"/>
  <c r="AC81" i="1"/>
  <c r="H84" i="1"/>
  <c r="X85" i="1"/>
  <c r="Q86" i="1"/>
  <c r="T89" i="1"/>
  <c r="Y92" i="1"/>
  <c r="AE95" i="1"/>
  <c r="S97" i="1"/>
  <c r="N98" i="1"/>
  <c r="AD99" i="1"/>
  <c r="T101" i="1"/>
  <c r="M102" i="1"/>
  <c r="U105" i="1"/>
  <c r="P106" i="1"/>
  <c r="J107" i="1"/>
  <c r="AE108" i="1"/>
  <c r="O112" i="1"/>
  <c r="I113" i="1"/>
  <c r="G114" i="1"/>
  <c r="AD114" i="1"/>
  <c r="W116" i="1"/>
  <c r="V117" i="1"/>
  <c r="AA125" i="1"/>
  <c r="AD126" i="1"/>
  <c r="AA128" i="1"/>
  <c r="AC129" i="1"/>
  <c r="X130" i="1"/>
  <c r="H134" i="1"/>
  <c r="T137" i="1"/>
  <c r="H142" i="1"/>
  <c r="N143" i="1"/>
  <c r="R144" i="1"/>
  <c r="U145" i="1"/>
  <c r="AD147" i="1"/>
  <c r="O150" i="1"/>
  <c r="S151" i="1"/>
  <c r="U156" i="1"/>
  <c r="AA160" i="1"/>
  <c r="Z163" i="1"/>
  <c r="P166" i="1"/>
  <c r="Y170" i="1"/>
  <c r="L172" i="1"/>
  <c r="AA176" i="1"/>
  <c r="AC182" i="1"/>
  <c r="Q184" i="1"/>
  <c r="W187" i="1"/>
  <c r="T192" i="1"/>
  <c r="F194" i="1"/>
  <c r="R197" i="1"/>
  <c r="L199" i="1"/>
  <c r="AE200" i="1"/>
  <c r="R204" i="1"/>
  <c r="R226" i="1"/>
  <c r="AB232" i="1"/>
  <c r="T239" i="1"/>
  <c r="AA241" i="1"/>
  <c r="F244" i="1"/>
  <c r="AC248" i="1"/>
  <c r="K251" i="1"/>
  <c r="AA253" i="1"/>
  <c r="Z258" i="1"/>
  <c r="R267" i="1"/>
  <c r="F2" i="1"/>
  <c r="W2" i="1"/>
  <c r="J3" i="1"/>
  <c r="W5" i="1"/>
  <c r="H8" i="1"/>
  <c r="O9" i="1"/>
  <c r="M11" i="1"/>
  <c r="J13" i="1"/>
  <c r="AC13" i="1"/>
  <c r="H15" i="1"/>
  <c r="AD18" i="1"/>
  <c r="J20" i="1"/>
  <c r="AB20" i="1"/>
  <c r="G22" i="1"/>
  <c r="Y22" i="1"/>
  <c r="W24" i="1"/>
  <c r="AE25" i="1"/>
  <c r="U26" i="1"/>
  <c r="AC27" i="1"/>
  <c r="AA29" i="1"/>
  <c r="F31" i="1"/>
  <c r="Y31" i="1"/>
  <c r="F33" i="1"/>
  <c r="Y33" i="1"/>
  <c r="O34" i="1"/>
  <c r="X35" i="1"/>
  <c r="N36" i="1"/>
  <c r="W37" i="1"/>
  <c r="M38" i="1"/>
  <c r="V39" i="1"/>
  <c r="L40" i="1"/>
  <c r="V41" i="1"/>
  <c r="L42" i="1"/>
  <c r="L44" i="1"/>
  <c r="V45" i="1"/>
  <c r="K46" i="1"/>
  <c r="AE46" i="1"/>
  <c r="V47" i="1"/>
  <c r="L48" i="1"/>
  <c r="U49" i="1"/>
  <c r="L50" i="1"/>
  <c r="U51" i="1"/>
  <c r="K52" i="1"/>
  <c r="AD52" i="1"/>
  <c r="H62" i="1"/>
  <c r="AA62" i="1"/>
  <c r="R63" i="1"/>
  <c r="Z64" i="1"/>
  <c r="R65" i="1"/>
  <c r="H66" i="1"/>
  <c r="Z66" i="1"/>
  <c r="R67" i="1"/>
  <c r="AE68" i="1"/>
  <c r="X69" i="1"/>
  <c r="O70" i="1"/>
  <c r="I71" i="1"/>
  <c r="J74" i="1"/>
  <c r="AE74" i="1"/>
  <c r="X75" i="1"/>
  <c r="R76" i="1"/>
  <c r="K77" i="1"/>
  <c r="M80" i="1"/>
  <c r="L87" i="1"/>
  <c r="AB88" i="1"/>
  <c r="N90" i="1"/>
  <c r="G91" i="1"/>
  <c r="AE91" i="1"/>
  <c r="S93" i="1"/>
  <c r="M94" i="1"/>
  <c r="J95" i="1"/>
  <c r="AE99" i="1"/>
  <c r="X100" i="1"/>
  <c r="O102" i="1"/>
  <c r="H103" i="1"/>
  <c r="AA104" i="1"/>
  <c r="V105" i="1"/>
  <c r="N107" i="1"/>
  <c r="H108" i="1"/>
  <c r="AA109" i="1"/>
  <c r="W110" i="1"/>
  <c r="S111" i="1"/>
  <c r="H114" i="1"/>
  <c r="AA115" i="1"/>
  <c r="W117" i="1"/>
  <c r="S118" i="1"/>
  <c r="P119" i="1"/>
  <c r="H122" i="1"/>
  <c r="AC127" i="1"/>
  <c r="AD129" i="1"/>
  <c r="Z130" i="1"/>
  <c r="AC131" i="1"/>
  <c r="R136" i="1"/>
  <c r="X138" i="1"/>
  <c r="W145" i="1"/>
  <c r="AD146" i="1"/>
  <c r="F149" i="1"/>
  <c r="J154" i="1"/>
  <c r="M155" i="1"/>
  <c r="Q159" i="1"/>
  <c r="J162" i="1"/>
  <c r="F168" i="1"/>
  <c r="V173" i="1"/>
  <c r="H175" i="1"/>
  <c r="J178" i="1"/>
  <c r="Q181" i="1"/>
  <c r="R184" i="1"/>
  <c r="I186" i="1"/>
  <c r="K189" i="1"/>
  <c r="U192" i="1"/>
  <c r="J201" i="1"/>
  <c r="P206" i="1"/>
  <c r="K208" i="1"/>
  <c r="I210" i="1"/>
  <c r="I214" i="1"/>
  <c r="K220" i="1"/>
  <c r="G222" i="1"/>
  <c r="H224" i="1"/>
  <c r="S228" i="1"/>
  <c r="AD232" i="1"/>
  <c r="AB234" i="1"/>
  <c r="F237" i="1"/>
  <c r="W239" i="1"/>
  <c r="AB241" i="1"/>
  <c r="G244" i="1"/>
  <c r="AE246" i="1"/>
  <c r="AD248" i="1"/>
  <c r="V264" i="1"/>
  <c r="AC24" i="1"/>
  <c r="H41" i="1"/>
  <c r="T98" i="1"/>
  <c r="Y106" i="1"/>
  <c r="G131" i="1"/>
  <c r="AD137" i="1"/>
  <c r="X143" i="1"/>
  <c r="L148" i="1"/>
  <c r="P154" i="1"/>
  <c r="Q165" i="1"/>
  <c r="I171" i="1"/>
  <c r="H240" i="1"/>
  <c r="P3" i="1"/>
  <c r="L5" i="1"/>
  <c r="AC5" i="1"/>
  <c r="R6" i="1"/>
  <c r="X7" i="1"/>
  <c r="U9" i="1"/>
  <c r="AC10" i="1"/>
  <c r="S11" i="1"/>
  <c r="AA12" i="1"/>
  <c r="P13" i="1"/>
  <c r="Y14" i="1"/>
  <c r="N15" i="1"/>
  <c r="V16" i="1"/>
  <c r="S18" i="1"/>
  <c r="Q20" i="1"/>
  <c r="M22" i="1"/>
  <c r="U23" i="1"/>
  <c r="K24" i="1"/>
  <c r="S25" i="1"/>
  <c r="I26" i="1"/>
  <c r="P27" i="1"/>
  <c r="F28" i="1"/>
  <c r="O29" i="1"/>
  <c r="AD35" i="1"/>
  <c r="AB39" i="1"/>
  <c r="H43" i="1"/>
  <c r="AA43" i="1"/>
  <c r="AB47" i="1"/>
  <c r="R50" i="1"/>
  <c r="AA51" i="1"/>
  <c r="G53" i="1"/>
  <c r="AA53" i="1"/>
  <c r="Q54" i="1"/>
  <c r="G55" i="1"/>
  <c r="Q56" i="1"/>
  <c r="G57" i="1"/>
  <c r="P58" i="1"/>
  <c r="F59" i="1"/>
  <c r="O60" i="1"/>
  <c r="Y61" i="1"/>
  <c r="W63" i="1"/>
  <c r="X67" i="1"/>
  <c r="I69" i="1"/>
  <c r="W70" i="1"/>
  <c r="O71" i="1"/>
  <c r="H72" i="1"/>
  <c r="AB72" i="1"/>
  <c r="W73" i="1"/>
  <c r="AE75" i="1"/>
  <c r="S77" i="1"/>
  <c r="K78" i="1"/>
  <c r="P84" i="1"/>
  <c r="I85" i="1"/>
  <c r="Y86" i="1"/>
  <c r="AB89" i="1"/>
  <c r="O91" i="1"/>
  <c r="Z93" i="1"/>
  <c r="V94" i="1"/>
  <c r="P95" i="1"/>
  <c r="J96" i="1"/>
  <c r="U102" i="1"/>
  <c r="Q103" i="1"/>
  <c r="F105" i="1"/>
  <c r="AC105" i="1"/>
  <c r="Z106" i="1"/>
  <c r="J109" i="1"/>
  <c r="F110" i="1"/>
  <c r="X112" i="1"/>
  <c r="S113" i="1"/>
  <c r="N114" i="1"/>
  <c r="J115" i="1"/>
  <c r="AE117" i="1"/>
  <c r="Z118" i="1"/>
  <c r="S122" i="1"/>
  <c r="N124" i="1"/>
  <c r="I125" i="1"/>
  <c r="K126" i="1"/>
  <c r="J127" i="1"/>
  <c r="G128" i="1"/>
  <c r="G129" i="1"/>
  <c r="Y135" i="1"/>
  <c r="U142" i="1"/>
  <c r="I147" i="1"/>
  <c r="M148" i="1"/>
  <c r="U149" i="1"/>
  <c r="Y150" i="1"/>
  <c r="AC151" i="1"/>
  <c r="H153" i="1"/>
  <c r="AB159" i="1"/>
  <c r="W162" i="1"/>
  <c r="F164" i="1"/>
  <c r="AA169" i="1"/>
  <c r="N171" i="1"/>
  <c r="X172" i="1"/>
  <c r="H174" i="1"/>
  <c r="AC189" i="1"/>
  <c r="O191" i="1"/>
  <c r="G193" i="1"/>
  <c r="Q196" i="1"/>
  <c r="F198" i="1"/>
  <c r="V201" i="1"/>
  <c r="J203" i="1"/>
  <c r="M205" i="1"/>
  <c r="V218" i="1"/>
  <c r="H229" i="1"/>
  <c r="J231" i="1"/>
  <c r="AD237" i="1"/>
  <c r="S247" i="1"/>
  <c r="V249" i="1"/>
  <c r="N254" i="1"/>
  <c r="G257" i="1"/>
  <c r="AE259" i="1"/>
  <c r="O262" i="1"/>
  <c r="AA268" i="1"/>
  <c r="L191" i="1"/>
  <c r="G205" i="1"/>
  <c r="T222" i="1"/>
  <c r="AE228" i="1"/>
  <c r="U4" i="1"/>
  <c r="W7" i="1"/>
  <c r="H12" i="1"/>
  <c r="M15" i="1"/>
  <c r="G19" i="1"/>
  <c r="U32" i="1"/>
  <c r="U34" i="1"/>
  <c r="T36" i="1"/>
  <c r="S38" i="1"/>
  <c r="R40" i="1"/>
  <c r="H45" i="1"/>
  <c r="Q48" i="1"/>
  <c r="Q52" i="1"/>
  <c r="W65" i="1"/>
  <c r="S87" i="1"/>
  <c r="X135" i="1"/>
  <c r="L2" i="1"/>
  <c r="AC2" i="1"/>
  <c r="G7" i="1"/>
  <c r="L10" i="1"/>
  <c r="H14" i="1"/>
  <c r="K17" i="1"/>
  <c r="AD17" i="1"/>
  <c r="H19" i="1"/>
  <c r="F21" i="1"/>
  <c r="Y21" i="1"/>
  <c r="V23" i="1"/>
  <c r="AD24" i="1"/>
  <c r="AB26" i="1"/>
  <c r="Q27" i="1"/>
  <c r="Y28" i="1"/>
  <c r="V30" i="1"/>
  <c r="W32" i="1"/>
  <c r="M33" i="1"/>
  <c r="V34" i="1"/>
  <c r="K35" i="1"/>
  <c r="AE35" i="1"/>
  <c r="U36" i="1"/>
  <c r="J37" i="1"/>
  <c r="AD37" i="1"/>
  <c r="T38" i="1"/>
  <c r="I39" i="1"/>
  <c r="AC39" i="1"/>
  <c r="S40" i="1"/>
  <c r="AC41" i="1"/>
  <c r="S42" i="1"/>
  <c r="I43" i="1"/>
  <c r="AC43" i="1"/>
  <c r="S44" i="1"/>
  <c r="I45" i="1"/>
  <c r="AC45" i="1"/>
  <c r="R46" i="1"/>
  <c r="I47" i="1"/>
  <c r="AC47" i="1"/>
  <c r="H49" i="1"/>
  <c r="AB49" i="1"/>
  <c r="S50" i="1"/>
  <c r="H51" i="1"/>
  <c r="AB51" i="1"/>
  <c r="R52" i="1"/>
  <c r="Z55" i="1"/>
  <c r="AA57" i="1"/>
  <c r="O62" i="1"/>
  <c r="O64" i="1"/>
  <c r="Y65" i="1"/>
  <c r="O66" i="1"/>
  <c r="Y67" i="1"/>
  <c r="R68" i="1"/>
  <c r="AD72" i="1"/>
  <c r="P74" i="1"/>
  <c r="J75" i="1"/>
  <c r="Z76" i="1"/>
  <c r="F79" i="1"/>
  <c r="Z79" i="1"/>
  <c r="V80" i="1"/>
  <c r="N81" i="1"/>
  <c r="AD82" i="1"/>
  <c r="Y83" i="1"/>
  <c r="R84" i="1"/>
  <c r="Z86" i="1"/>
  <c r="T87" i="1"/>
  <c r="M88" i="1"/>
  <c r="F89" i="1"/>
  <c r="V90" i="1"/>
  <c r="J92" i="1"/>
  <c r="K96" i="1"/>
  <c r="F97" i="1"/>
  <c r="W98" i="1"/>
  <c r="O99" i="1"/>
  <c r="L100" i="1"/>
  <c r="AD101" i="1"/>
  <c r="K104" i="1"/>
  <c r="T107" i="1"/>
  <c r="P108" i="1"/>
  <c r="M109" i="1"/>
  <c r="Z111" i="1"/>
  <c r="T113" i="1"/>
  <c r="J116" i="1"/>
  <c r="AA118" i="1"/>
  <c r="AA119" i="1"/>
  <c r="V120" i="1"/>
  <c r="T121" i="1"/>
  <c r="Q123" i="1"/>
  <c r="M125" i="1"/>
  <c r="H129" i="1"/>
  <c r="L131" i="1"/>
  <c r="M132" i="1"/>
  <c r="Q133" i="1"/>
  <c r="Y134" i="1"/>
  <c r="AC136" i="1"/>
  <c r="H138" i="1"/>
  <c r="AB143" i="1"/>
  <c r="H146" i="1"/>
  <c r="AE151" i="1"/>
  <c r="J157" i="1"/>
  <c r="T158" i="1"/>
  <c r="R161" i="1"/>
  <c r="Z162" i="1"/>
  <c r="R168" i="1"/>
  <c r="O171" i="1"/>
  <c r="Z172" i="1"/>
  <c r="AA175" i="1"/>
  <c r="Z178" i="1"/>
  <c r="P180" i="1"/>
  <c r="Q183" i="1"/>
  <c r="H185" i="1"/>
  <c r="T186" i="1"/>
  <c r="H188" i="1"/>
  <c r="AE189" i="1"/>
  <c r="R191" i="1"/>
  <c r="AD194" i="1"/>
  <c r="K203" i="1"/>
  <c r="N205" i="1"/>
  <c r="AA212" i="1"/>
  <c r="Z220" i="1"/>
  <c r="AD224" i="1"/>
  <c r="K231" i="1"/>
  <c r="V235" i="1"/>
  <c r="P240" i="1"/>
  <c r="V242" i="1"/>
  <c r="H245" i="1"/>
  <c r="T247" i="1"/>
  <c r="H252" i="1"/>
  <c r="R254" i="1"/>
  <c r="AB268" i="1"/>
  <c r="O216" i="1"/>
  <c r="AB226" i="1"/>
  <c r="R242" i="1"/>
  <c r="X259" i="1"/>
  <c r="AA2" i="1"/>
  <c r="K5" i="1"/>
  <c r="F7" i="1"/>
  <c r="AE15" i="1"/>
  <c r="AB17" i="1"/>
  <c r="AE22" i="1"/>
  <c r="AE31" i="1"/>
  <c r="AE33" i="1"/>
  <c r="AC37" i="1"/>
  <c r="R42" i="1"/>
  <c r="Q46" i="1"/>
  <c r="AA49" i="1"/>
  <c r="N71" i="1"/>
  <c r="M81" i="1"/>
  <c r="T90" i="1"/>
  <c r="Q3" i="1"/>
  <c r="E4" i="1"/>
  <c r="W4" i="1"/>
  <c r="M5" i="1"/>
  <c r="AD5" i="1"/>
  <c r="S6" i="1"/>
  <c r="Y7" i="1"/>
  <c r="O8" i="1"/>
  <c r="V9" i="1"/>
  <c r="AD10" i="1"/>
  <c r="T11" i="1"/>
  <c r="J12" i="1"/>
  <c r="AB12" i="1"/>
  <c r="Q13" i="1"/>
  <c r="Z14" i="1"/>
  <c r="O15" i="1"/>
  <c r="W16" i="1"/>
  <c r="T18" i="1"/>
  <c r="AA19" i="1"/>
  <c r="R20" i="1"/>
  <c r="O22" i="1"/>
  <c r="W23" i="1"/>
  <c r="L24" i="1"/>
  <c r="T25" i="1"/>
  <c r="J26" i="1"/>
  <c r="G28" i="1"/>
  <c r="P29" i="1"/>
  <c r="M31" i="1"/>
  <c r="L37" i="1"/>
  <c r="S48" i="1"/>
  <c r="I53" i="1"/>
  <c r="AB53" i="1"/>
  <c r="R54" i="1"/>
  <c r="H55" i="1"/>
  <c r="R56" i="1"/>
  <c r="H57" i="1"/>
  <c r="AB57" i="1"/>
  <c r="Q58" i="1"/>
  <c r="G59" i="1"/>
  <c r="AA59" i="1"/>
  <c r="P60" i="1"/>
  <c r="F61" i="1"/>
  <c r="Z61" i="1"/>
  <c r="Y63" i="1"/>
  <c r="X70" i="1"/>
  <c r="I72" i="1"/>
  <c r="AE72" i="1"/>
  <c r="X73" i="1"/>
  <c r="Q74" i="1"/>
  <c r="T77" i="1"/>
  <c r="M78" i="1"/>
  <c r="I82" i="1"/>
  <c r="AE82" i="1"/>
  <c r="AC89" i="1"/>
  <c r="P91" i="1"/>
  <c r="K92" i="1"/>
  <c r="AC93" i="1"/>
  <c r="W94" i="1"/>
  <c r="AC97" i="1"/>
  <c r="P99" i="1"/>
  <c r="F101" i="1"/>
  <c r="S103" i="1"/>
  <c r="G105" i="1"/>
  <c r="AA106" i="1"/>
  <c r="V107" i="1"/>
  <c r="G110" i="1"/>
  <c r="AC111" i="1"/>
  <c r="Y112" i="1"/>
  <c r="R114" i="1"/>
  <c r="K115" i="1"/>
  <c r="W120" i="1"/>
  <c r="T122" i="1"/>
  <c r="Q124" i="1"/>
  <c r="N125" i="1"/>
  <c r="L126" i="1"/>
  <c r="K127" i="1"/>
  <c r="L128" i="1"/>
  <c r="J129" i="1"/>
  <c r="H130" i="1"/>
  <c r="Z135" i="1"/>
  <c r="J139" i="1"/>
  <c r="W142" i="1"/>
  <c r="S148" i="1"/>
  <c r="V149" i="1"/>
  <c r="AA150" i="1"/>
  <c r="J153" i="1"/>
  <c r="S154" i="1"/>
  <c r="AA155" i="1"/>
  <c r="L157" i="1"/>
  <c r="S161" i="1"/>
  <c r="AD162" i="1"/>
  <c r="H164" i="1"/>
  <c r="AB175" i="1"/>
  <c r="K177" i="1"/>
  <c r="Q180" i="1"/>
  <c r="R183" i="1"/>
  <c r="H193" i="1"/>
  <c r="G198" i="1"/>
  <c r="Y201" i="1"/>
  <c r="M203" i="1"/>
  <c r="O205" i="1"/>
  <c r="AE208" i="1"/>
  <c r="AB214" i="1"/>
  <c r="H225" i="1"/>
  <c r="O229" i="1"/>
  <c r="Q233" i="1"/>
  <c r="AD235" i="1"/>
  <c r="G238" i="1"/>
  <c r="W247" i="1"/>
  <c r="AB249" i="1"/>
  <c r="U254" i="1"/>
  <c r="I257" i="1"/>
  <c r="Y262" i="1"/>
  <c r="V265" i="1"/>
  <c r="AE271" i="1"/>
  <c r="AA210" i="1"/>
  <c r="T220" i="1"/>
  <c r="AE251" i="1"/>
  <c r="O265" i="1"/>
  <c r="K2" i="1"/>
  <c r="M8" i="1"/>
  <c r="J17" i="1"/>
  <c r="Y19" i="1"/>
  <c r="AA26" i="1"/>
  <c r="W28" i="1"/>
  <c r="K31" i="1"/>
  <c r="K33" i="1"/>
  <c r="J35" i="1"/>
  <c r="I37" i="1"/>
  <c r="H39" i="1"/>
  <c r="AB41" i="1"/>
  <c r="R44" i="1"/>
  <c r="H47" i="1"/>
  <c r="G49" i="1"/>
  <c r="G51" i="1"/>
  <c r="X61" i="1"/>
  <c r="N62" i="1"/>
  <c r="M64" i="1"/>
  <c r="N66" i="1"/>
  <c r="AE69" i="1"/>
  <c r="O74" i="1"/>
  <c r="Y79" i="1"/>
  <c r="U80" i="1"/>
  <c r="G82" i="1"/>
  <c r="AC82" i="1"/>
  <c r="AE85" i="1"/>
  <c r="L88" i="1"/>
  <c r="I92" i="1"/>
  <c r="O95" i="1"/>
  <c r="AA97" i="1"/>
  <c r="N99" i="1"/>
  <c r="AA101" i="1"/>
  <c r="J104" i="1"/>
  <c r="S107" i="1"/>
  <c r="O108" i="1"/>
  <c r="I109" i="1"/>
  <c r="AB117" i="1"/>
  <c r="Z119" i="1"/>
  <c r="S121" i="1"/>
  <c r="I127" i="1"/>
  <c r="F128" i="1"/>
  <c r="K132" i="1"/>
  <c r="P134" i="1"/>
  <c r="AB144" i="1"/>
  <c r="H147" i="1"/>
  <c r="X150" i="1"/>
  <c r="W155" i="1"/>
  <c r="N168" i="1"/>
  <c r="Z169" i="1"/>
  <c r="V175" i="1"/>
  <c r="N180" i="1"/>
  <c r="AC181" i="1"/>
  <c r="N183" i="1"/>
  <c r="F188" i="1"/>
  <c r="N191" i="1"/>
  <c r="AA194" i="1"/>
  <c r="P196" i="1"/>
  <c r="U201" i="1"/>
  <c r="H205" i="1"/>
  <c r="AE206" i="1"/>
  <c r="AB210" i="1"/>
  <c r="Z212" i="1"/>
  <c r="U218" i="1"/>
  <c r="V220" i="1"/>
  <c r="U222" i="1"/>
  <c r="AC237" i="1"/>
  <c r="U249" i="1"/>
  <c r="M2" i="1"/>
  <c r="AD2" i="1"/>
  <c r="X4" i="1"/>
  <c r="T6" i="1"/>
  <c r="H7" i="1"/>
  <c r="P8" i="1"/>
  <c r="M10" i="1"/>
  <c r="AE10" i="1"/>
  <c r="K12" i="1"/>
  <c r="I14" i="1"/>
  <c r="F16" i="1"/>
  <c r="L17" i="1"/>
  <c r="AE17" i="1"/>
  <c r="I19" i="1"/>
  <c r="AB19" i="1"/>
  <c r="G21" i="1"/>
  <c r="Z21" i="1"/>
  <c r="X23" i="1"/>
  <c r="AE24" i="1"/>
  <c r="U25" i="1"/>
  <c r="AC26" i="1"/>
  <c r="Z28" i="1"/>
  <c r="X30" i="1"/>
  <c r="N31" i="1"/>
  <c r="X32" i="1"/>
  <c r="W34" i="1"/>
  <c r="V36" i="1"/>
  <c r="M37" i="1"/>
  <c r="AE37" i="1"/>
  <c r="U38" i="1"/>
  <c r="K39" i="1"/>
  <c r="AD39" i="1"/>
  <c r="T40" i="1"/>
  <c r="L41" i="1"/>
  <c r="AE41" i="1"/>
  <c r="T42" i="1"/>
  <c r="AD43" i="1"/>
  <c r="T44" i="1"/>
  <c r="K45" i="1"/>
  <c r="AD45" i="1"/>
  <c r="AD47" i="1"/>
  <c r="T48" i="1"/>
  <c r="K49" i="1"/>
  <c r="AC49" i="1"/>
  <c r="T50" i="1"/>
  <c r="AC51" i="1"/>
  <c r="S52" i="1"/>
  <c r="AB55" i="1"/>
  <c r="Q62" i="1"/>
  <c r="F63" i="1"/>
  <c r="Z63" i="1"/>
  <c r="P64" i="1"/>
  <c r="F65" i="1"/>
  <c r="Z65" i="1"/>
  <c r="P66" i="1"/>
  <c r="F67" i="1"/>
  <c r="S68" i="1"/>
  <c r="L69" i="1"/>
  <c r="Y70" i="1"/>
  <c r="Q71" i="1"/>
  <c r="L75" i="1"/>
  <c r="AA76" i="1"/>
  <c r="N78" i="1"/>
  <c r="G79" i="1"/>
  <c r="AE79" i="1"/>
  <c r="X80" i="1"/>
  <c r="Z83" i="1"/>
  <c r="S84" i="1"/>
  <c r="K85" i="1"/>
  <c r="AB86" i="1"/>
  <c r="U87" i="1"/>
  <c r="N88" i="1"/>
  <c r="X90" i="1"/>
  <c r="R95" i="1"/>
  <c r="L96" i="1"/>
  <c r="H97" i="1"/>
  <c r="Q99" i="1"/>
  <c r="M100" i="1"/>
  <c r="AE101" i="1"/>
  <c r="Z102" i="1"/>
  <c r="Q108" i="1"/>
  <c r="N109" i="1"/>
  <c r="V113" i="1"/>
  <c r="L115" i="1"/>
  <c r="K116" i="1"/>
  <c r="G117" i="1"/>
  <c r="AE118" i="1"/>
  <c r="AB119" i="1"/>
  <c r="U121" i="1"/>
  <c r="V122" i="1"/>
  <c r="R123" i="1"/>
  <c r="O125" i="1"/>
  <c r="M128" i="1"/>
  <c r="M131" i="1"/>
  <c r="N132" i="1"/>
  <c r="R133" i="1"/>
  <c r="I138" i="1"/>
  <c r="K139" i="1"/>
  <c r="P140" i="1"/>
  <c r="X141" i="1"/>
  <c r="AC143" i="1"/>
  <c r="J146" i="1"/>
  <c r="W149" i="1"/>
  <c r="O153" i="1"/>
  <c r="AB155" i="1"/>
  <c r="V158" i="1"/>
  <c r="H167" i="1"/>
  <c r="T168" i="1"/>
  <c r="AB172" i="1"/>
  <c r="O177" i="1"/>
  <c r="G190" i="1"/>
  <c r="T191" i="1"/>
  <c r="AE194" i="1"/>
  <c r="I198" i="1"/>
  <c r="Q205" i="1"/>
  <c r="G207" i="1"/>
  <c r="F211" i="1"/>
  <c r="I225" i="1"/>
  <c r="G227" i="1"/>
  <c r="R229" i="1"/>
  <c r="O231" i="1"/>
  <c r="R233" i="1"/>
  <c r="AE235" i="1"/>
  <c r="Q240" i="1"/>
  <c r="N245" i="1"/>
  <c r="F250" i="1"/>
  <c r="K257" i="1"/>
  <c r="AD262" i="1"/>
  <c r="W265" i="1"/>
  <c r="I203" i="1"/>
  <c r="T214" i="1"/>
  <c r="Y224" i="1"/>
  <c r="J10" i="1"/>
  <c r="U30" i="1"/>
  <c r="AB45" i="1"/>
  <c r="W67" i="1"/>
  <c r="R3" i="1"/>
  <c r="F4" i="1"/>
  <c r="N5" i="1"/>
  <c r="Z7" i="1"/>
  <c r="Y9" i="1"/>
  <c r="U11" i="1"/>
  <c r="AC12" i="1"/>
  <c r="S13" i="1"/>
  <c r="AA14" i="1"/>
  <c r="P15" i="1"/>
  <c r="X16" i="1"/>
  <c r="N17" i="1"/>
  <c r="U18" i="1"/>
  <c r="S20" i="1"/>
  <c r="P22" i="1"/>
  <c r="N24" i="1"/>
  <c r="K26" i="1"/>
  <c r="S27" i="1"/>
  <c r="H28" i="1"/>
  <c r="Q29" i="1"/>
  <c r="F30" i="1"/>
  <c r="O33" i="1"/>
  <c r="L39" i="1"/>
  <c r="K43" i="1"/>
  <c r="T46" i="1"/>
  <c r="K47" i="1"/>
  <c r="K51" i="1"/>
  <c r="K53" i="1"/>
  <c r="S54" i="1"/>
  <c r="AC55" i="1"/>
  <c r="S56" i="1"/>
  <c r="J57" i="1"/>
  <c r="AC57" i="1"/>
  <c r="S58" i="1"/>
  <c r="AB59" i="1"/>
  <c r="R60" i="1"/>
  <c r="H61" i="1"/>
  <c r="AA61" i="1"/>
  <c r="H65" i="1"/>
  <c r="AB67" i="1"/>
  <c r="M69" i="1"/>
  <c r="S71" i="1"/>
  <c r="J72" i="1"/>
  <c r="Y73" i="1"/>
  <c r="S74" i="1"/>
  <c r="F76" i="1"/>
  <c r="U77" i="1"/>
  <c r="O78" i="1"/>
  <c r="J82" i="1"/>
  <c r="T84" i="1"/>
  <c r="M85" i="1"/>
  <c r="AC86" i="1"/>
  <c r="I89" i="1"/>
  <c r="AE89" i="1"/>
  <c r="Y90" i="1"/>
  <c r="Q91" i="1"/>
  <c r="F93" i="1"/>
  <c r="AD93" i="1"/>
  <c r="X94" i="1"/>
  <c r="Y98" i="1"/>
  <c r="T99" i="1"/>
  <c r="H101" i="1"/>
  <c r="T103" i="1"/>
  <c r="M104" i="1"/>
  <c r="H105" i="1"/>
  <c r="AB106" i="1"/>
  <c r="H110" i="1"/>
  <c r="AD111" i="1"/>
  <c r="Z112" i="1"/>
  <c r="S114" i="1"/>
  <c r="Z120" i="1"/>
  <c r="R124" i="1"/>
  <c r="M126" i="1"/>
  <c r="L127" i="1"/>
  <c r="N128" i="1"/>
  <c r="M129" i="1"/>
  <c r="J130" i="1"/>
  <c r="S133" i="1"/>
  <c r="AA134" i="1"/>
  <c r="AA135" i="1"/>
  <c r="AE136" i="1"/>
  <c r="P147" i="1"/>
  <c r="T148" i="1"/>
  <c r="AB150" i="1"/>
  <c r="W154" i="1"/>
  <c r="N157" i="1"/>
  <c r="J164" i="1"/>
  <c r="F170" i="1"/>
  <c r="O174" i="1"/>
  <c r="Y183" i="1"/>
  <c r="J185" i="1"/>
  <c r="AA186" i="1"/>
  <c r="R188" i="1"/>
  <c r="Q193" i="1"/>
  <c r="G200" i="1"/>
  <c r="M207" i="1"/>
  <c r="G211" i="1"/>
  <c r="AE214" i="1"/>
  <c r="F217" i="1"/>
  <c r="G219" i="1"/>
  <c r="F223" i="1"/>
  <c r="S233" i="1"/>
  <c r="R240" i="1"/>
  <c r="X247" i="1"/>
  <c r="R252" i="1"/>
  <c r="X257" i="1"/>
  <c r="F269" i="1"/>
  <c r="G2" i="1"/>
  <c r="U2" i="1"/>
  <c r="F3" i="1"/>
  <c r="G4" i="1"/>
  <c r="V4" i="1"/>
  <c r="I5" i="1"/>
  <c r="X5" i="1"/>
  <c r="J6" i="1"/>
  <c r="N8" i="1"/>
  <c r="P9" i="1"/>
  <c r="F11" i="1"/>
  <c r="I12" i="1"/>
  <c r="K13" i="1"/>
  <c r="N14" i="1"/>
  <c r="AD14" i="1"/>
  <c r="F17" i="1"/>
  <c r="H18" i="1"/>
  <c r="J19" i="1"/>
  <c r="Z19" i="1"/>
  <c r="AC20" i="1"/>
  <c r="F23" i="1"/>
  <c r="X24" i="1"/>
  <c r="AA25" i="1"/>
  <c r="AD26" i="1"/>
  <c r="S28" i="1"/>
  <c r="V29" i="1"/>
  <c r="Y30" i="1"/>
  <c r="L31" i="1"/>
  <c r="AB31" i="1"/>
  <c r="Q32" i="1"/>
  <c r="T33" i="1"/>
  <c r="H34" i="1"/>
  <c r="X34" i="1"/>
  <c r="L35" i="1"/>
  <c r="AC35" i="1"/>
  <c r="P36" i="1"/>
  <c r="T37" i="1"/>
  <c r="G38" i="1"/>
  <c r="W38" i="1"/>
  <c r="AA39" i="1"/>
  <c r="N40" i="1"/>
  <c r="AE40" i="1"/>
  <c r="S41" i="1"/>
  <c r="F42" i="1"/>
  <c r="J43" i="1"/>
  <c r="Z43" i="1"/>
  <c r="O44" i="1"/>
  <c r="AE44" i="1"/>
  <c r="R45" i="1"/>
  <c r="V46" i="1"/>
  <c r="J47" i="1"/>
  <c r="AA47" i="1"/>
  <c r="N48" i="1"/>
  <c r="AD48" i="1"/>
  <c r="F50" i="1"/>
  <c r="V50" i="1"/>
  <c r="J51" i="1"/>
  <c r="Z51" i="1"/>
  <c r="M52" i="1"/>
  <c r="R53" i="1"/>
  <c r="V54" i="1"/>
  <c r="I55" i="1"/>
  <c r="Y55" i="1"/>
  <c r="AD56" i="1"/>
  <c r="Q57" i="1"/>
  <c r="U58" i="1"/>
  <c r="H59" i="1"/>
  <c r="X59" i="1"/>
  <c r="L60" i="1"/>
  <c r="AB60" i="1"/>
  <c r="O61" i="1"/>
  <c r="T62" i="1"/>
  <c r="G63" i="1"/>
  <c r="X63" i="1"/>
  <c r="K64" i="1"/>
  <c r="AA64" i="1"/>
  <c r="P65" i="1"/>
  <c r="S66" i="1"/>
  <c r="T69" i="1"/>
  <c r="AA73" i="1"/>
  <c r="Y75" i="1"/>
  <c r="O76" i="1"/>
  <c r="V77" i="1"/>
  <c r="AD78" i="1"/>
  <c r="S79" i="1"/>
  <c r="AA80" i="1"/>
  <c r="Q81" i="1"/>
  <c r="F82" i="1"/>
  <c r="X82" i="1"/>
  <c r="M83" i="1"/>
  <c r="J85" i="1"/>
  <c r="G87" i="1"/>
  <c r="O88" i="1"/>
  <c r="W89" i="1"/>
  <c r="M90" i="1"/>
  <c r="AB92" i="1"/>
  <c r="Y94" i="1"/>
  <c r="W96" i="1"/>
  <c r="L97" i="1"/>
  <c r="AD97" i="1"/>
  <c r="Y101" i="1"/>
  <c r="L104" i="1"/>
  <c r="AE104" i="1"/>
  <c r="K106" i="1"/>
  <c r="AD108" i="1"/>
  <c r="I110" i="1"/>
  <c r="AE110" i="1"/>
  <c r="W113" i="1"/>
  <c r="X115" i="1"/>
  <c r="O116" i="1"/>
  <c r="H117" i="1"/>
  <c r="AA117" i="1"/>
  <c r="AE119" i="1"/>
  <c r="N121" i="1"/>
  <c r="G122" i="1"/>
  <c r="Z122" i="1"/>
  <c r="S123" i="1"/>
  <c r="W125" i="1"/>
  <c r="AB127" i="1"/>
  <c r="S128" i="1"/>
  <c r="Q132" i="1"/>
  <c r="I134" i="1"/>
  <c r="U137" i="1"/>
  <c r="O138" i="1"/>
  <c r="L139" i="1"/>
  <c r="H140" i="1"/>
  <c r="G141" i="1"/>
  <c r="Y142" i="1"/>
  <c r="W143" i="1"/>
  <c r="N145" i="1"/>
  <c r="W150" i="1"/>
  <c r="T151" i="1"/>
  <c r="R154" i="1"/>
  <c r="T157" i="1"/>
  <c r="W158" i="1"/>
  <c r="W159" i="1"/>
  <c r="Y160" i="1"/>
  <c r="Z161" i="1"/>
  <c r="AE162" i="1"/>
  <c r="L169" i="1"/>
  <c r="R170" i="1"/>
  <c r="V172" i="1"/>
  <c r="AC174" i="1"/>
  <c r="AE175" i="1"/>
  <c r="H177" i="1"/>
  <c r="K178" i="1"/>
  <c r="AA181" i="1"/>
  <c r="K184" i="1"/>
  <c r="N185" i="1"/>
  <c r="Y187" i="1"/>
  <c r="AE188" i="1"/>
  <c r="I190" i="1"/>
  <c r="Y192" i="1"/>
  <c r="K195" i="1"/>
  <c r="R196" i="1"/>
  <c r="AC197" i="1"/>
  <c r="F199" i="1"/>
  <c r="P200" i="1"/>
  <c r="X201" i="1"/>
  <c r="V208" i="1"/>
  <c r="AE209" i="1"/>
  <c r="AB212" i="1"/>
  <c r="AC215" i="1"/>
  <c r="F219" i="1"/>
  <c r="Q223" i="1"/>
  <c r="J225" i="1"/>
  <c r="X231" i="1"/>
  <c r="H233" i="1"/>
  <c r="U236" i="1"/>
  <c r="K238" i="1"/>
  <c r="F240" i="1"/>
  <c r="AD241" i="1"/>
  <c r="Z243" i="1"/>
  <c r="AE248" i="1"/>
  <c r="U252" i="1"/>
  <c r="O256" i="1"/>
  <c r="Q262" i="1"/>
  <c r="N267" i="1"/>
  <c r="T269" i="1"/>
  <c r="Z5" i="1"/>
  <c r="L6" i="1"/>
  <c r="AA6" i="1"/>
  <c r="M7" i="1"/>
  <c r="AB7" i="1"/>
  <c r="AE8" i="1"/>
  <c r="R9" i="1"/>
  <c r="T10" i="1"/>
  <c r="X11" i="1"/>
  <c r="Z12" i="1"/>
  <c r="AB13" i="1"/>
  <c r="P14" i="1"/>
  <c r="R15" i="1"/>
  <c r="U16" i="1"/>
  <c r="W17" i="1"/>
  <c r="Y18" i="1"/>
  <c r="L19" i="1"/>
  <c r="O20" i="1"/>
  <c r="R21" i="1"/>
  <c r="T22" i="1"/>
  <c r="J24" i="1"/>
  <c r="M25" i="1"/>
  <c r="P26" i="1"/>
  <c r="R27" i="1"/>
  <c r="H29" i="1"/>
  <c r="K30" i="1"/>
  <c r="AD31" i="1"/>
  <c r="N35" i="1"/>
  <c r="Z59" i="1"/>
  <c r="I63" i="1"/>
  <c r="U66" i="1"/>
  <c r="I67" i="1"/>
  <c r="Z67" i="1"/>
  <c r="P68" i="1"/>
  <c r="AB70" i="1"/>
  <c r="P71" i="1"/>
  <c r="W72" i="1"/>
  <c r="K73" i="1"/>
  <c r="T74" i="1"/>
  <c r="I75" i="1"/>
  <c r="F77" i="1"/>
  <c r="X77" i="1"/>
  <c r="K80" i="1"/>
  <c r="AC80" i="1"/>
  <c r="S81" i="1"/>
  <c r="H82" i="1"/>
  <c r="P83" i="1"/>
  <c r="W84" i="1"/>
  <c r="T86" i="1"/>
  <c r="J87" i="1"/>
  <c r="AB87" i="1"/>
  <c r="G89" i="1"/>
  <c r="L92" i="1"/>
  <c r="AD92" i="1"/>
  <c r="I94" i="1"/>
  <c r="Q95" i="1"/>
  <c r="Y96" i="1"/>
  <c r="N97" i="1"/>
  <c r="AC99" i="1"/>
  <c r="I101" i="1"/>
  <c r="Q102" i="1"/>
  <c r="W105" i="1"/>
  <c r="N106" i="1"/>
  <c r="W107" i="1"/>
  <c r="U109" i="1"/>
  <c r="N110" i="1"/>
  <c r="V111" i="1"/>
  <c r="G115" i="1"/>
  <c r="Q116" i="1"/>
  <c r="U118" i="1"/>
  <c r="M119" i="1"/>
  <c r="R121" i="1"/>
  <c r="AC122" i="1"/>
  <c r="U123" i="1"/>
  <c r="K124" i="1"/>
  <c r="P126" i="1"/>
  <c r="AD127" i="1"/>
  <c r="F130" i="1"/>
  <c r="W131" i="1"/>
  <c r="M133" i="1"/>
  <c r="AB136" i="1"/>
  <c r="O139" i="1"/>
  <c r="L140" i="1"/>
  <c r="AA142" i="1"/>
  <c r="V144" i="1"/>
  <c r="H148" i="1"/>
  <c r="Z150" i="1"/>
  <c r="X152" i="1"/>
  <c r="T153" i="1"/>
  <c r="T154" i="1"/>
  <c r="V156" i="1"/>
  <c r="Z157" i="1"/>
  <c r="Y159" i="1"/>
  <c r="AB160" i="1"/>
  <c r="Q169" i="1"/>
  <c r="U170" i="1"/>
  <c r="V171" i="1"/>
  <c r="Y172" i="1"/>
  <c r="X173" i="1"/>
  <c r="AE174" i="1"/>
  <c r="J177" i="1"/>
  <c r="T179" i="1"/>
  <c r="U186" i="1"/>
  <c r="AE187" i="1"/>
  <c r="L190" i="1"/>
  <c r="T196" i="1"/>
  <c r="I199" i="1"/>
  <c r="S200" i="1"/>
  <c r="H203" i="1"/>
  <c r="P204" i="1"/>
  <c r="P214" i="1"/>
  <c r="R217" i="1"/>
  <c r="H219" i="1"/>
  <c r="H222" i="1"/>
  <c r="T228" i="1"/>
  <c r="N233" i="1"/>
  <c r="F235" i="1"/>
  <c r="J240" i="1"/>
  <c r="G249" i="1"/>
  <c r="V254" i="1"/>
  <c r="R256" i="1"/>
  <c r="Y258" i="1"/>
  <c r="AC262" i="1"/>
  <c r="S267" i="1"/>
  <c r="Y269" i="1"/>
  <c r="AA123" i="1"/>
  <c r="AE125" i="1"/>
  <c r="AC128" i="1"/>
  <c r="U129" i="1"/>
  <c r="H131" i="1"/>
  <c r="AE131" i="1"/>
  <c r="V133" i="1"/>
  <c r="P135" i="1"/>
  <c r="K136" i="1"/>
  <c r="AE137" i="1"/>
  <c r="O141" i="1"/>
  <c r="J143" i="1"/>
  <c r="AD144" i="1"/>
  <c r="Y145" i="1"/>
  <c r="V146" i="1"/>
  <c r="R147" i="1"/>
  <c r="AD153" i="1"/>
  <c r="AE154" i="1"/>
  <c r="F160" i="1"/>
  <c r="J161" i="1"/>
  <c r="K162" i="1"/>
  <c r="O164" i="1"/>
  <c r="R165" i="1"/>
  <c r="AB168" i="1"/>
  <c r="AB169" i="1"/>
  <c r="I174" i="1"/>
  <c r="K175" i="1"/>
  <c r="U177" i="1"/>
  <c r="AC179" i="1"/>
  <c r="N182" i="1"/>
  <c r="Z185" i="1"/>
  <c r="H187" i="1"/>
  <c r="X190" i="1"/>
  <c r="AA195" i="1"/>
  <c r="M198" i="1"/>
  <c r="R203" i="1"/>
  <c r="K206" i="1"/>
  <c r="F212" i="1"/>
  <c r="T216" i="1"/>
  <c r="F218" i="1"/>
  <c r="V222" i="1"/>
  <c r="J224" i="1"/>
  <c r="P227" i="1"/>
  <c r="K229" i="1"/>
  <c r="W230" i="1"/>
  <c r="AC233" i="1"/>
  <c r="W235" i="1"/>
  <c r="K237" i="1"/>
  <c r="X242" i="1"/>
  <c r="AE249" i="1"/>
  <c r="U251" i="1"/>
  <c r="Q253" i="1"/>
  <c r="N257" i="1"/>
  <c r="L261" i="1"/>
  <c r="V263" i="1"/>
  <c r="G268" i="1"/>
  <c r="M3" i="1"/>
  <c r="AB3" i="1"/>
  <c r="N4" i="1"/>
  <c r="AC4" i="1"/>
  <c r="P5" i="1"/>
  <c r="AE5" i="1"/>
  <c r="Q6" i="1"/>
  <c r="R7" i="1"/>
  <c r="U8" i="1"/>
  <c r="X9" i="1"/>
  <c r="Z10" i="1"/>
  <c r="AC11" i="1"/>
  <c r="P12" i="1"/>
  <c r="R13" i="1"/>
  <c r="V14" i="1"/>
  <c r="X15" i="1"/>
  <c r="Z16" i="1"/>
  <c r="M17" i="1"/>
  <c r="O18" i="1"/>
  <c r="R19" i="1"/>
  <c r="U20" i="1"/>
  <c r="W21" i="1"/>
  <c r="J22" i="1"/>
  <c r="M23" i="1"/>
  <c r="P24" i="1"/>
  <c r="R25" i="1"/>
  <c r="H27" i="1"/>
  <c r="K28" i="1"/>
  <c r="N29" i="1"/>
  <c r="P30" i="1"/>
  <c r="J41" i="1"/>
  <c r="V44" i="1"/>
  <c r="Q51" i="1"/>
  <c r="AC54" i="1"/>
  <c r="L58" i="1"/>
  <c r="O67" i="1"/>
  <c r="K69" i="1"/>
  <c r="AB69" i="1"/>
  <c r="W71" i="1"/>
  <c r="K72" i="1"/>
  <c r="AC72" i="1"/>
  <c r="H74" i="1"/>
  <c r="I79" i="1"/>
  <c r="AA79" i="1"/>
  <c r="G81" i="1"/>
  <c r="V83" i="1"/>
  <c r="I86" i="1"/>
  <c r="AA86" i="1"/>
  <c r="W88" i="1"/>
  <c r="U90" i="1"/>
  <c r="J91" i="1"/>
  <c r="AC91" i="1"/>
  <c r="H93" i="1"/>
  <c r="O94" i="1"/>
  <c r="M96" i="1"/>
  <c r="AB98" i="1"/>
  <c r="R99" i="1"/>
  <c r="P101" i="1"/>
  <c r="V102" i="1"/>
  <c r="L103" i="1"/>
  <c r="AE103" i="1"/>
  <c r="U104" i="1"/>
  <c r="AD105" i="1"/>
  <c r="T106" i="1"/>
  <c r="L107" i="1"/>
  <c r="AD107" i="1"/>
  <c r="S108" i="1"/>
  <c r="AC109" i="1"/>
  <c r="S110" i="1"/>
  <c r="T112" i="1"/>
  <c r="L113" i="1"/>
  <c r="Z116" i="1"/>
  <c r="AC118" i="1"/>
  <c r="T119" i="1"/>
  <c r="M120" i="1"/>
  <c r="W121" i="1"/>
  <c r="Q122" i="1"/>
  <c r="G123" i="1"/>
  <c r="T124" i="1"/>
  <c r="J125" i="1"/>
  <c r="X126" i="1"/>
  <c r="Q127" i="1"/>
  <c r="H128" i="1"/>
  <c r="AD128" i="1"/>
  <c r="M130" i="1"/>
  <c r="G137" i="1"/>
  <c r="AC138" i="1"/>
  <c r="Y139" i="1"/>
  <c r="U140" i="1"/>
  <c r="L142" i="1"/>
  <c r="N148" i="1"/>
  <c r="M149" i="1"/>
  <c r="F158" i="1"/>
  <c r="J160" i="1"/>
  <c r="L162" i="1"/>
  <c r="O163" i="1"/>
  <c r="R164" i="1"/>
  <c r="V166" i="1"/>
  <c r="W167" i="1"/>
  <c r="AD168" i="1"/>
  <c r="AC169" i="1"/>
  <c r="J174" i="1"/>
  <c r="AB178" i="1"/>
  <c r="O182" i="1"/>
  <c r="S183" i="1"/>
  <c r="Z184" i="1"/>
  <c r="J188" i="1"/>
  <c r="R189" i="1"/>
  <c r="R194" i="1"/>
  <c r="AB195" i="1"/>
  <c r="G197" i="1"/>
  <c r="W199" i="1"/>
  <c r="O202" i="1"/>
  <c r="AA207" i="1"/>
  <c r="Q210" i="1"/>
  <c r="S213" i="1"/>
  <c r="AB225" i="1"/>
  <c r="Q227" i="1"/>
  <c r="X235" i="1"/>
  <c r="Y242" i="1"/>
  <c r="W244" i="1"/>
  <c r="M248" i="1"/>
  <c r="R253" i="1"/>
  <c r="S255" i="1"/>
  <c r="S259" i="1"/>
  <c r="M261" i="1"/>
  <c r="AD270" i="1"/>
  <c r="N2" i="1"/>
  <c r="AB2" i="1"/>
  <c r="S7" i="1"/>
  <c r="F8" i="1"/>
  <c r="H9" i="1"/>
  <c r="K10" i="1"/>
  <c r="N11" i="1"/>
  <c r="G14" i="1"/>
  <c r="I15" i="1"/>
  <c r="K16" i="1"/>
  <c r="AA16" i="1"/>
  <c r="AC17" i="1"/>
  <c r="F20" i="1"/>
  <c r="H21" i="1"/>
  <c r="X21" i="1"/>
  <c r="Z22" i="1"/>
  <c r="AD23" i="1"/>
  <c r="F26" i="1"/>
  <c r="V26" i="1"/>
  <c r="X27" i="1"/>
  <c r="AA28" i="1"/>
  <c r="AD29" i="1"/>
  <c r="T31" i="1"/>
  <c r="I32" i="1"/>
  <c r="Y32" i="1"/>
  <c r="L33" i="1"/>
  <c r="P34" i="1"/>
  <c r="U35" i="1"/>
  <c r="H36" i="1"/>
  <c r="X36" i="1"/>
  <c r="AB37" i="1"/>
  <c r="O38" i="1"/>
  <c r="AE38" i="1"/>
  <c r="S39" i="1"/>
  <c r="F40" i="1"/>
  <c r="V40" i="1"/>
  <c r="K41" i="1"/>
  <c r="AA41" i="1"/>
  <c r="N42" i="1"/>
  <c r="AE42" i="1"/>
  <c r="R43" i="1"/>
  <c r="F44" i="1"/>
  <c r="W44" i="1"/>
  <c r="J45" i="1"/>
  <c r="Z45" i="1"/>
  <c r="N46" i="1"/>
  <c r="AD46" i="1"/>
  <c r="R47" i="1"/>
  <c r="F48" i="1"/>
  <c r="V48" i="1"/>
  <c r="I49" i="1"/>
  <c r="Z49" i="1"/>
  <c r="N50" i="1"/>
  <c r="AD50" i="1"/>
  <c r="R51" i="1"/>
  <c r="U52" i="1"/>
  <c r="J53" i="1"/>
  <c r="Z53" i="1"/>
  <c r="M54" i="1"/>
  <c r="AD54" i="1"/>
  <c r="Q55" i="1"/>
  <c r="V56" i="1"/>
  <c r="I57" i="1"/>
  <c r="Y57" i="1"/>
  <c r="M58" i="1"/>
  <c r="AC58" i="1"/>
  <c r="P59" i="1"/>
  <c r="T60" i="1"/>
  <c r="G61" i="1"/>
  <c r="L62" i="1"/>
  <c r="AB62" i="1"/>
  <c r="P63" i="1"/>
  <c r="S64" i="1"/>
  <c r="X65" i="1"/>
  <c r="K66" i="1"/>
  <c r="AB66" i="1"/>
  <c r="R70" i="1"/>
  <c r="F71" i="1"/>
  <c r="R73" i="1"/>
  <c r="AA74" i="1"/>
  <c r="P75" i="1"/>
  <c r="X76" i="1"/>
  <c r="M77" i="1"/>
  <c r="U78" i="1"/>
  <c r="S80" i="1"/>
  <c r="Z81" i="1"/>
  <c r="O82" i="1"/>
  <c r="L84" i="1"/>
  <c r="AD84" i="1"/>
  <c r="T85" i="1"/>
  <c r="P87" i="1"/>
  <c r="F88" i="1"/>
  <c r="X88" i="1"/>
  <c r="O89" i="1"/>
  <c r="S92" i="1"/>
  <c r="AA93" i="1"/>
  <c r="F95" i="1"/>
  <c r="Y95" i="1"/>
  <c r="U97" i="1"/>
  <c r="K98" i="1"/>
  <c r="G100" i="1"/>
  <c r="L105" i="1"/>
  <c r="AE111" i="1"/>
  <c r="W114" i="1"/>
  <c r="N115" i="1"/>
  <c r="F116" i="1"/>
  <c r="Q117" i="1"/>
  <c r="I118" i="1"/>
  <c r="X121" i="1"/>
  <c r="AD123" i="1"/>
  <c r="V129" i="1"/>
  <c r="I131" i="1"/>
  <c r="AC132" i="1"/>
  <c r="X133" i="1"/>
  <c r="U134" i="1"/>
  <c r="L136" i="1"/>
  <c r="V140" i="1"/>
  <c r="K143" i="1"/>
  <c r="Z145" i="1"/>
  <c r="T147" i="1"/>
  <c r="O148" i="1"/>
  <c r="N149" i="1"/>
  <c r="I150" i="1"/>
  <c r="F151" i="1"/>
  <c r="AE153" i="1"/>
  <c r="G157" i="1"/>
  <c r="G158" i="1"/>
  <c r="G159" i="1"/>
  <c r="M162" i="1"/>
  <c r="P163" i="1"/>
  <c r="T165" i="1"/>
  <c r="Q176" i="1"/>
  <c r="X177" i="1"/>
  <c r="H181" i="1"/>
  <c r="I187" i="1"/>
  <c r="O193" i="1"/>
  <c r="AE195" i="1"/>
  <c r="N198" i="1"/>
  <c r="AA199" i="1"/>
  <c r="S203" i="1"/>
  <c r="Y210" i="1"/>
  <c r="T213" i="1"/>
  <c r="AA216" i="1"/>
  <c r="H218" i="1"/>
  <c r="I221" i="1"/>
  <c r="AA222" i="1"/>
  <c r="M224" i="1"/>
  <c r="AD225" i="1"/>
  <c r="R227" i="1"/>
  <c r="L229" i="1"/>
  <c r="O232" i="1"/>
  <c r="G234" i="1"/>
  <c r="S237" i="1"/>
  <c r="G239" i="1"/>
  <c r="G241" i="1"/>
  <c r="O246" i="1"/>
  <c r="T253" i="1"/>
  <c r="T255" i="1"/>
  <c r="O257" i="1"/>
  <c r="N261" i="1"/>
  <c r="W263" i="1"/>
  <c r="AD91" i="1"/>
  <c r="J93" i="1"/>
  <c r="P94" i="1"/>
  <c r="N96" i="1"/>
  <c r="V97" i="1"/>
  <c r="S99" i="1"/>
  <c r="H100" i="1"/>
  <c r="AA100" i="1"/>
  <c r="Q101" i="1"/>
  <c r="X102" i="1"/>
  <c r="M103" i="1"/>
  <c r="W104" i="1"/>
  <c r="M105" i="1"/>
  <c r="AE105" i="1"/>
  <c r="M107" i="1"/>
  <c r="AE107" i="1"/>
  <c r="U108" i="1"/>
  <c r="L109" i="1"/>
  <c r="AD109" i="1"/>
  <c r="T110" i="1"/>
  <c r="K111" i="1"/>
  <c r="AA116" i="1"/>
  <c r="AD118" i="1"/>
  <c r="U119" i="1"/>
  <c r="N120" i="1"/>
  <c r="R122" i="1"/>
  <c r="AE123" i="1"/>
  <c r="U124" i="1"/>
  <c r="R127" i="1"/>
  <c r="W129" i="1"/>
  <c r="AD132" i="1"/>
  <c r="Y133" i="1"/>
  <c r="R135" i="1"/>
  <c r="AD138" i="1"/>
  <c r="Z139" i="1"/>
  <c r="Q141" i="1"/>
  <c r="Z146" i="1"/>
  <c r="K150" i="1"/>
  <c r="G151" i="1"/>
  <c r="H158" i="1"/>
  <c r="I159" i="1"/>
  <c r="L160" i="1"/>
  <c r="L161" i="1"/>
  <c r="Q163" i="1"/>
  <c r="T164" i="1"/>
  <c r="X167" i="1"/>
  <c r="AE168" i="1"/>
  <c r="AE169" i="1"/>
  <c r="F171" i="1"/>
  <c r="K174" i="1"/>
  <c r="P175" i="1"/>
  <c r="AC178" i="1"/>
  <c r="Q182" i="1"/>
  <c r="V183" i="1"/>
  <c r="AA184" i="1"/>
  <c r="F186" i="1"/>
  <c r="O188" i="1"/>
  <c r="AE190" i="1"/>
  <c r="P193" i="1"/>
  <c r="S194" i="1"/>
  <c r="I197" i="1"/>
  <c r="F201" i="1"/>
  <c r="F205" i="1"/>
  <c r="O206" i="1"/>
  <c r="J209" i="1"/>
  <c r="Z210" i="1"/>
  <c r="I212" i="1"/>
  <c r="AE216" i="1"/>
  <c r="J218" i="1"/>
  <c r="Y219" i="1"/>
  <c r="J221" i="1"/>
  <c r="H234" i="1"/>
  <c r="T237" i="1"/>
  <c r="AA242" i="1"/>
  <c r="Z244" i="1"/>
  <c r="O248" i="1"/>
  <c r="AB251" i="1"/>
  <c r="U259" i="1"/>
  <c r="I266" i="1"/>
  <c r="I268" i="1"/>
  <c r="S70" i="1"/>
  <c r="G71" i="1"/>
  <c r="M72" i="1"/>
  <c r="T73" i="1"/>
  <c r="AB74" i="1"/>
  <c r="Q75" i="1"/>
  <c r="Y76" i="1"/>
  <c r="N77" i="1"/>
  <c r="V78" i="1"/>
  <c r="AD79" i="1"/>
  <c r="T80" i="1"/>
  <c r="AA81" i="1"/>
  <c r="Q82" i="1"/>
  <c r="F83" i="1"/>
  <c r="X83" i="1"/>
  <c r="AE84" i="1"/>
  <c r="G88" i="1"/>
  <c r="P89" i="1"/>
  <c r="W90" i="1"/>
  <c r="L91" i="1"/>
  <c r="AB93" i="1"/>
  <c r="H95" i="1"/>
  <c r="Z95" i="1"/>
  <c r="W97" i="1"/>
  <c r="L98" i="1"/>
  <c r="AD98" i="1"/>
  <c r="F102" i="1"/>
  <c r="N103" i="1"/>
  <c r="V106" i="1"/>
  <c r="U110" i="1"/>
  <c r="W112" i="1"/>
  <c r="N113" i="1"/>
  <c r="O115" i="1"/>
  <c r="G116" i="1"/>
  <c r="R117" i="1"/>
  <c r="O120" i="1"/>
  <c r="AA121" i="1"/>
  <c r="J123" i="1"/>
  <c r="L125" i="1"/>
  <c r="F126" i="1"/>
  <c r="AA126" i="1"/>
  <c r="K128" i="1"/>
  <c r="R130" i="1"/>
  <c r="J131" i="1"/>
  <c r="AE132" i="1"/>
  <c r="R141" i="1"/>
  <c r="P142" i="1"/>
  <c r="L143" i="1"/>
  <c r="G144" i="1"/>
  <c r="AA145" i="1"/>
  <c r="AA146" i="1"/>
  <c r="U147" i="1"/>
  <c r="O149" i="1"/>
  <c r="L150" i="1"/>
  <c r="G152" i="1"/>
  <c r="F156" i="1"/>
  <c r="H157" i="1"/>
  <c r="J159" i="1"/>
  <c r="M161" i="1"/>
  <c r="V165" i="1"/>
  <c r="Y166" i="1"/>
  <c r="AA167" i="1"/>
  <c r="L173" i="1"/>
  <c r="AA177" i="1"/>
  <c r="AD178" i="1"/>
  <c r="F180" i="1"/>
  <c r="J187" i="1"/>
  <c r="Q188" i="1"/>
  <c r="U189" i="1"/>
  <c r="Y194" i="1"/>
  <c r="U198" i="1"/>
  <c r="AC199" i="1"/>
  <c r="I201" i="1"/>
  <c r="T203" i="1"/>
  <c r="AE207" i="1"/>
  <c r="K209" i="1"/>
  <c r="J212" i="1"/>
  <c r="Y213" i="1"/>
  <c r="K215" i="1"/>
  <c r="N221" i="1"/>
  <c r="AE222" i="1"/>
  <c r="P224" i="1"/>
  <c r="N229" i="1"/>
  <c r="Q232" i="1"/>
  <c r="K234" i="1"/>
  <c r="U237" i="1"/>
  <c r="AB242" i="1"/>
  <c r="AA244" i="1"/>
  <c r="P248" i="1"/>
  <c r="AC251" i="1"/>
  <c r="Y253" i="1"/>
  <c r="AC263" i="1"/>
  <c r="Z268" i="1"/>
  <c r="AD30" i="1"/>
  <c r="O31" i="1"/>
  <c r="AC31" i="1"/>
  <c r="O32" i="1"/>
  <c r="AC32" i="1"/>
  <c r="N33" i="1"/>
  <c r="AB33" i="1"/>
  <c r="M34" i="1"/>
  <c r="AA34" i="1"/>
  <c r="M35" i="1"/>
  <c r="AA35" i="1"/>
  <c r="L36" i="1"/>
  <c r="Z36" i="1"/>
  <c r="K37" i="1"/>
  <c r="Y37" i="1"/>
  <c r="K38" i="1"/>
  <c r="Y38" i="1"/>
  <c r="J39" i="1"/>
  <c r="X39" i="1"/>
  <c r="I40" i="1"/>
  <c r="W40" i="1"/>
  <c r="I41" i="1"/>
  <c r="W41" i="1"/>
  <c r="H42" i="1"/>
  <c r="V42" i="1"/>
  <c r="G43" i="1"/>
  <c r="U43" i="1"/>
  <c r="G44" i="1"/>
  <c r="U44" i="1"/>
  <c r="F45" i="1"/>
  <c r="T45" i="1"/>
  <c r="S46" i="1"/>
  <c r="S47" i="1"/>
  <c r="R48" i="1"/>
  <c r="Q49" i="1"/>
  <c r="AE49" i="1"/>
  <c r="Q50" i="1"/>
  <c r="AE50" i="1"/>
  <c r="P51" i="1"/>
  <c r="AD51" i="1"/>
  <c r="O52" i="1"/>
  <c r="AC52" i="1"/>
  <c r="O53" i="1"/>
  <c r="AC53" i="1"/>
  <c r="N54" i="1"/>
  <c r="AB54" i="1"/>
  <c r="M55" i="1"/>
  <c r="AA55" i="1"/>
  <c r="M56" i="1"/>
  <c r="AA56" i="1"/>
  <c r="L57" i="1"/>
  <c r="Z57" i="1"/>
  <c r="K58" i="1"/>
  <c r="Y58" i="1"/>
  <c r="K59" i="1"/>
  <c r="Y59" i="1"/>
  <c r="J60" i="1"/>
  <c r="X60" i="1"/>
  <c r="I61" i="1"/>
  <c r="W61" i="1"/>
  <c r="I62" i="1"/>
  <c r="W62" i="1"/>
  <c r="H63" i="1"/>
  <c r="V63" i="1"/>
  <c r="G64" i="1"/>
  <c r="U64" i="1"/>
  <c r="G65" i="1"/>
  <c r="U65" i="1"/>
  <c r="F66" i="1"/>
  <c r="T66" i="1"/>
  <c r="T67" i="1"/>
  <c r="G68" i="1"/>
  <c r="V68" i="1"/>
  <c r="H69" i="1"/>
  <c r="K71" i="1"/>
  <c r="Z71" i="1"/>
  <c r="L72" i="1"/>
  <c r="AA72" i="1"/>
  <c r="AC73" i="1"/>
  <c r="S75" i="1"/>
  <c r="U76" i="1"/>
  <c r="H77" i="1"/>
  <c r="J78" i="1"/>
  <c r="Z78" i="1"/>
  <c r="AB79" i="1"/>
  <c r="W83" i="1"/>
  <c r="Y84" i="1"/>
  <c r="L85" i="1"/>
  <c r="AD86" i="1"/>
  <c r="S88" i="1"/>
  <c r="V89" i="1"/>
  <c r="I90" i="1"/>
  <c r="K91" i="1"/>
  <c r="N92" i="1"/>
  <c r="P93" i="1"/>
  <c r="I96" i="1"/>
  <c r="K97" i="1"/>
  <c r="AC98" i="1"/>
  <c r="R100" i="1"/>
  <c r="U101" i="1"/>
  <c r="J103" i="1"/>
  <c r="N104" i="1"/>
  <c r="AD104" i="1"/>
  <c r="Q105" i="1"/>
  <c r="U106" i="1"/>
  <c r="I107" i="1"/>
  <c r="Z107" i="1"/>
  <c r="M108" i="1"/>
  <c r="AC108" i="1"/>
  <c r="P109" i="1"/>
  <c r="H111" i="1"/>
  <c r="Y111" i="1"/>
  <c r="AE112" i="1"/>
  <c r="X114" i="1"/>
  <c r="J118" i="1"/>
  <c r="O119" i="1"/>
  <c r="G121" i="1"/>
  <c r="AE122" i="1"/>
  <c r="F124" i="1"/>
  <c r="K125" i="1"/>
  <c r="AC125" i="1"/>
  <c r="Q126" i="1"/>
  <c r="X127" i="1"/>
  <c r="AE128" i="1"/>
  <c r="S129" i="1"/>
  <c r="G130" i="1"/>
  <c r="Y130" i="1"/>
  <c r="O131" i="1"/>
  <c r="AA132" i="1"/>
  <c r="K134" i="1"/>
  <c r="M136" i="1"/>
  <c r="X137" i="1"/>
  <c r="Q138" i="1"/>
  <c r="I139" i="1"/>
  <c r="L141" i="1"/>
  <c r="X142" i="1"/>
  <c r="O143" i="1"/>
  <c r="AC144" i="1"/>
  <c r="G149" i="1"/>
  <c r="AC149" i="1"/>
  <c r="V150" i="1"/>
  <c r="H152" i="1"/>
  <c r="AD152" i="1"/>
  <c r="I157" i="1"/>
  <c r="T161" i="1"/>
  <c r="N162" i="1"/>
  <c r="X165" i="1"/>
  <c r="U166" i="1"/>
  <c r="I169" i="1"/>
  <c r="AB170" i="1"/>
  <c r="Y171" i="1"/>
  <c r="U172" i="1"/>
  <c r="N174" i="1"/>
  <c r="G176" i="1"/>
  <c r="AB179" i="1"/>
  <c r="AA180" i="1"/>
  <c r="W181" i="1"/>
  <c r="U183" i="1"/>
  <c r="Q185" i="1"/>
  <c r="O186" i="1"/>
  <c r="O187" i="1"/>
  <c r="M188" i="1"/>
  <c r="I193" i="1"/>
  <c r="J195" i="1"/>
  <c r="I196" i="1"/>
  <c r="J197" i="1"/>
  <c r="P202" i="1"/>
  <c r="L203" i="1"/>
  <c r="S205" i="1"/>
  <c r="AC207" i="1"/>
  <c r="AA214" i="1"/>
  <c r="O218" i="1"/>
  <c r="T219" i="1"/>
  <c r="O224" i="1"/>
  <c r="K228" i="1"/>
  <c r="T229" i="1"/>
  <c r="Z230" i="1"/>
  <c r="W234" i="1"/>
  <c r="AA238" i="1"/>
  <c r="U244" i="1"/>
  <c r="U248" i="1"/>
  <c r="L262" i="1"/>
  <c r="F264" i="1"/>
  <c r="AB265" i="1"/>
  <c r="L269" i="1"/>
  <c r="K271" i="1"/>
  <c r="G67" i="1"/>
  <c r="X68" i="1"/>
  <c r="J69" i="1"/>
  <c r="Y69" i="1"/>
  <c r="K70" i="1"/>
  <c r="Z70" i="1"/>
  <c r="O73" i="1"/>
  <c r="R74" i="1"/>
  <c r="G76" i="1"/>
  <c r="J77" i="1"/>
  <c r="L78" i="1"/>
  <c r="N79" i="1"/>
  <c r="R80" i="1"/>
  <c r="T81" i="1"/>
  <c r="V82" i="1"/>
  <c r="I83" i="1"/>
  <c r="K84" i="1"/>
  <c r="AA84" i="1"/>
  <c r="AC85" i="1"/>
  <c r="P86" i="1"/>
  <c r="H89" i="1"/>
  <c r="X89" i="1"/>
  <c r="Z90" i="1"/>
  <c r="AB91" i="1"/>
  <c r="P92" i="1"/>
  <c r="R93" i="1"/>
  <c r="U94" i="1"/>
  <c r="X95" i="1"/>
  <c r="Z96" i="1"/>
  <c r="AB97" i="1"/>
  <c r="O98" i="1"/>
  <c r="G101" i="1"/>
  <c r="Y102" i="1"/>
  <c r="AA103" i="1"/>
  <c r="K107" i="1"/>
  <c r="V110" i="1"/>
  <c r="J111" i="1"/>
  <c r="P112" i="1"/>
  <c r="U113" i="1"/>
  <c r="I114" i="1"/>
  <c r="AD115" i="1"/>
  <c r="R116" i="1"/>
  <c r="X117" i="1"/>
  <c r="AB118" i="1"/>
  <c r="U120" i="1"/>
  <c r="O122" i="1"/>
  <c r="T123" i="1"/>
  <c r="X124" i="1"/>
  <c r="S126" i="1"/>
  <c r="I130" i="1"/>
  <c r="Q131" i="1"/>
  <c r="I132" i="1"/>
  <c r="M134" i="1"/>
  <c r="O136" i="1"/>
  <c r="F137" i="1"/>
  <c r="S138" i="1"/>
  <c r="AE139" i="1"/>
  <c r="W140" i="1"/>
  <c r="N141" i="1"/>
  <c r="AE144" i="1"/>
  <c r="N146" i="1"/>
  <c r="R148" i="1"/>
  <c r="I149" i="1"/>
  <c r="K152" i="1"/>
  <c r="AA153" i="1"/>
  <c r="U154" i="1"/>
  <c r="K157" i="1"/>
  <c r="P162" i="1"/>
  <c r="AE164" i="1"/>
  <c r="AD165" i="1"/>
  <c r="Q168" i="1"/>
  <c r="AB171" i="1"/>
  <c r="U173" i="1"/>
  <c r="P174" i="1"/>
  <c r="L175" i="1"/>
  <c r="L176" i="1"/>
  <c r="I177" i="1"/>
  <c r="F178" i="1"/>
  <c r="AD179" i="1"/>
  <c r="AA182" i="1"/>
  <c r="S185" i="1"/>
  <c r="R186" i="1"/>
  <c r="Q187" i="1"/>
  <c r="P188" i="1"/>
  <c r="P189" i="1"/>
  <c r="M191" i="1"/>
  <c r="L192" i="1"/>
  <c r="K193" i="1"/>
  <c r="N194" i="1"/>
  <c r="L195" i="1"/>
  <c r="M197" i="1"/>
  <c r="M199" i="1"/>
  <c r="P201" i="1"/>
  <c r="R202" i="1"/>
  <c r="Q203" i="1"/>
  <c r="S204" i="1"/>
  <c r="Z206" i="1"/>
  <c r="J210" i="1"/>
  <c r="M211" i="1"/>
  <c r="Q212" i="1"/>
  <c r="X213" i="1"/>
  <c r="F216" i="1"/>
  <c r="L217" i="1"/>
  <c r="V219" i="1"/>
  <c r="AD220" i="1"/>
  <c r="L223" i="1"/>
  <c r="Z225" i="1"/>
  <c r="F227" i="1"/>
  <c r="AA234" i="1"/>
  <c r="L236" i="1"/>
  <c r="Z241" i="1"/>
  <c r="X244" i="1"/>
  <c r="Z251" i="1"/>
  <c r="T254" i="1"/>
  <c r="F256" i="1"/>
  <c r="O259" i="1"/>
  <c r="AD260" i="1"/>
  <c r="L264" i="1"/>
  <c r="F266" i="1"/>
  <c r="Z267" i="1"/>
  <c r="M271" i="1"/>
  <c r="H116" i="1"/>
  <c r="L117" i="1"/>
  <c r="AC117" i="1"/>
  <c r="AA120" i="1"/>
  <c r="O121" i="1"/>
  <c r="H123" i="1"/>
  <c r="L124" i="1"/>
  <c r="AC124" i="1"/>
  <c r="T125" i="1"/>
  <c r="H126" i="1"/>
  <c r="Y126" i="1"/>
  <c r="AE127" i="1"/>
  <c r="T128" i="1"/>
  <c r="Z129" i="1"/>
  <c r="P130" i="1"/>
  <c r="X131" i="1"/>
  <c r="O132" i="1"/>
  <c r="F133" i="1"/>
  <c r="S134" i="1"/>
  <c r="J135" i="1"/>
  <c r="N137" i="1"/>
  <c r="Y138" i="1"/>
  <c r="U141" i="1"/>
  <c r="Z143" i="1"/>
  <c r="T146" i="1"/>
  <c r="K147" i="1"/>
  <c r="Q149" i="1"/>
  <c r="AE150" i="1"/>
  <c r="Q152" i="1"/>
  <c r="W156" i="1"/>
  <c r="O158" i="1"/>
  <c r="M159" i="1"/>
  <c r="G160" i="1"/>
  <c r="AC161" i="1"/>
  <c r="S163" i="1"/>
  <c r="L165" i="1"/>
  <c r="AB167" i="1"/>
  <c r="T169" i="1"/>
  <c r="O170" i="1"/>
  <c r="N178" i="1"/>
  <c r="K179" i="1"/>
  <c r="G182" i="1"/>
  <c r="F183" i="1"/>
  <c r="AC184" i="1"/>
  <c r="V189" i="1"/>
  <c r="V190" i="1"/>
  <c r="W192" i="1"/>
  <c r="X193" i="1"/>
  <c r="U194" i="1"/>
  <c r="V197" i="1"/>
  <c r="AA200" i="1"/>
  <c r="AB202" i="1"/>
  <c r="AD204" i="1"/>
  <c r="H207" i="1"/>
  <c r="AA211" i="1"/>
  <c r="Y217" i="1"/>
  <c r="AD218" i="1"/>
  <c r="F220" i="1"/>
  <c r="W223" i="1"/>
  <c r="M226" i="1"/>
  <c r="F230" i="1"/>
  <c r="L231" i="1"/>
  <c r="AD233" i="1"/>
  <c r="J235" i="1"/>
  <c r="W236" i="1"/>
  <c r="M239" i="1"/>
  <c r="X240" i="1"/>
  <c r="J242" i="1"/>
  <c r="W243" i="1"/>
  <c r="Q246" i="1"/>
  <c r="AA250" i="1"/>
  <c r="J252" i="1"/>
  <c r="AE254" i="1"/>
  <c r="I258" i="1"/>
  <c r="AA259" i="1"/>
  <c r="S266" i="1"/>
  <c r="J268" i="1"/>
  <c r="K270" i="1"/>
  <c r="L67" i="1"/>
  <c r="AA67" i="1"/>
  <c r="N68" i="1"/>
  <c r="AC68" i="1"/>
  <c r="O69" i="1"/>
  <c r="AD69" i="1"/>
  <c r="P70" i="1"/>
  <c r="AE70" i="1"/>
  <c r="S72" i="1"/>
  <c r="U73" i="1"/>
  <c r="X74" i="1"/>
  <c r="Z75" i="1"/>
  <c r="AB76" i="1"/>
  <c r="AE77" i="1"/>
  <c r="R78" i="1"/>
  <c r="T79" i="1"/>
  <c r="W80" i="1"/>
  <c r="Y81" i="1"/>
  <c r="AA82" i="1"/>
  <c r="AD83" i="1"/>
  <c r="S85" i="1"/>
  <c r="F86" i="1"/>
  <c r="X87" i="1"/>
  <c r="K88" i="1"/>
  <c r="N89" i="1"/>
  <c r="P90" i="1"/>
  <c r="R91" i="1"/>
  <c r="F92" i="1"/>
  <c r="V92" i="1"/>
  <c r="X93" i="1"/>
  <c r="Z94" i="1"/>
  <c r="AC95" i="1"/>
  <c r="AE96" i="1"/>
  <c r="R97" i="1"/>
  <c r="G99" i="1"/>
  <c r="W99" i="1"/>
  <c r="Y100" i="1"/>
  <c r="AE102" i="1"/>
  <c r="Y105" i="1"/>
  <c r="M110" i="1"/>
  <c r="Q111" i="1"/>
  <c r="U112" i="1"/>
  <c r="J113" i="1"/>
  <c r="Y116" i="1"/>
  <c r="Q118" i="1"/>
  <c r="V119" i="1"/>
  <c r="K120" i="1"/>
  <c r="P121" i="1"/>
  <c r="U122" i="1"/>
  <c r="Y123" i="1"/>
  <c r="I129" i="1"/>
  <c r="F131" i="1"/>
  <c r="Y131" i="1"/>
  <c r="AA133" i="1"/>
  <c r="X136" i="1"/>
  <c r="Q139" i="1"/>
  <c r="I140" i="1"/>
  <c r="AC140" i="1"/>
  <c r="W141" i="1"/>
  <c r="M142" i="1"/>
  <c r="Q144" i="1"/>
  <c r="I145" i="1"/>
  <c r="AB145" i="1"/>
  <c r="L147" i="1"/>
  <c r="AA148" i="1"/>
  <c r="J150" i="1"/>
  <c r="X151" i="1"/>
  <c r="N153" i="1"/>
  <c r="G154" i="1"/>
  <c r="X156" i="1"/>
  <c r="S157" i="1"/>
  <c r="Q158" i="1"/>
  <c r="I160" i="1"/>
  <c r="Y162" i="1"/>
  <c r="P164" i="1"/>
  <c r="AC167" i="1"/>
  <c r="W168" i="1"/>
  <c r="L171" i="1"/>
  <c r="G172" i="1"/>
  <c r="AB173" i="1"/>
  <c r="X175" i="1"/>
  <c r="S176" i="1"/>
  <c r="R177" i="1"/>
  <c r="N179" i="1"/>
  <c r="I181" i="1"/>
  <c r="AD185" i="1"/>
  <c r="AC186" i="1"/>
  <c r="Z188" i="1"/>
  <c r="X191" i="1"/>
  <c r="U195" i="1"/>
  <c r="U196" i="1"/>
  <c r="X198" i="1"/>
  <c r="AA201" i="1"/>
  <c r="L208" i="1"/>
  <c r="P209" i="1"/>
  <c r="R210" i="1"/>
  <c r="M215" i="1"/>
  <c r="AE218" i="1"/>
  <c r="L221" i="1"/>
  <c r="X223" i="1"/>
  <c r="AE224" i="1"/>
  <c r="O226" i="1"/>
  <c r="G230" i="1"/>
  <c r="U232" i="1"/>
  <c r="AE233" i="1"/>
  <c r="L235" i="1"/>
  <c r="R239" i="1"/>
  <c r="K242" i="1"/>
  <c r="AB250" i="1"/>
  <c r="K252" i="1"/>
  <c r="W253" i="1"/>
  <c r="Z256" i="1"/>
  <c r="AC259" i="1"/>
  <c r="P261" i="1"/>
  <c r="H263" i="1"/>
  <c r="AE264" i="1"/>
  <c r="U266" i="1"/>
  <c r="N270" i="1"/>
  <c r="J8" i="1"/>
  <c r="X8" i="1"/>
  <c r="I9" i="1"/>
  <c r="W9" i="1"/>
  <c r="H10" i="1"/>
  <c r="V10" i="1"/>
  <c r="H11" i="1"/>
  <c r="V11" i="1"/>
  <c r="G12" i="1"/>
  <c r="U12" i="1"/>
  <c r="F13" i="1"/>
  <c r="T13" i="1"/>
  <c r="F14" i="1"/>
  <c r="T14" i="1"/>
  <c r="S15" i="1"/>
  <c r="R16" i="1"/>
  <c r="R17" i="1"/>
  <c r="Q18" i="1"/>
  <c r="AE18" i="1"/>
  <c r="P19" i="1"/>
  <c r="AD19" i="1"/>
  <c r="P20" i="1"/>
  <c r="AD20" i="1"/>
  <c r="O21" i="1"/>
  <c r="AC21" i="1"/>
  <c r="N22" i="1"/>
  <c r="AB22" i="1"/>
  <c r="N23" i="1"/>
  <c r="AB23" i="1"/>
  <c r="M24" i="1"/>
  <c r="AA24" i="1"/>
  <c r="L25" i="1"/>
  <c r="Z25" i="1"/>
  <c r="L26" i="1"/>
  <c r="Z26" i="1"/>
  <c r="K27" i="1"/>
  <c r="Y27" i="1"/>
  <c r="J28" i="1"/>
  <c r="X28" i="1"/>
  <c r="J29" i="1"/>
  <c r="X29" i="1"/>
  <c r="I30" i="1"/>
  <c r="W30" i="1"/>
  <c r="H31" i="1"/>
  <c r="V31" i="1"/>
  <c r="H32" i="1"/>
  <c r="V32" i="1"/>
  <c r="G33" i="1"/>
  <c r="U33" i="1"/>
  <c r="F34" i="1"/>
  <c r="T34" i="1"/>
  <c r="F35" i="1"/>
  <c r="T35" i="1"/>
  <c r="S36" i="1"/>
  <c r="R37" i="1"/>
  <c r="R38" i="1"/>
  <c r="Q39" i="1"/>
  <c r="AE39" i="1"/>
  <c r="P40" i="1"/>
  <c r="AD40" i="1"/>
  <c r="P41" i="1"/>
  <c r="AD41" i="1"/>
  <c r="O42" i="1"/>
  <c r="AC42" i="1"/>
  <c r="N43" i="1"/>
  <c r="AB43" i="1"/>
  <c r="N44" i="1"/>
  <c r="AB44" i="1"/>
  <c r="M45" i="1"/>
  <c r="AA45" i="1"/>
  <c r="L46" i="1"/>
  <c r="Z46" i="1"/>
  <c r="L47" i="1"/>
  <c r="Z47" i="1"/>
  <c r="K48" i="1"/>
  <c r="Y48" i="1"/>
  <c r="J49" i="1"/>
  <c r="X49" i="1"/>
  <c r="J50" i="1"/>
  <c r="X50" i="1"/>
  <c r="I51" i="1"/>
  <c r="W51" i="1"/>
  <c r="H52" i="1"/>
  <c r="V52" i="1"/>
  <c r="H53" i="1"/>
  <c r="V53" i="1"/>
  <c r="G54" i="1"/>
  <c r="U54" i="1"/>
  <c r="F55" i="1"/>
  <c r="T55" i="1"/>
  <c r="F56" i="1"/>
  <c r="T56" i="1"/>
  <c r="S57" i="1"/>
  <c r="R58" i="1"/>
  <c r="R59" i="1"/>
  <c r="Q60" i="1"/>
  <c r="AE60" i="1"/>
  <c r="P61" i="1"/>
  <c r="AD61" i="1"/>
  <c r="P62" i="1"/>
  <c r="AD62" i="1"/>
  <c r="O63" i="1"/>
  <c r="AC63" i="1"/>
  <c r="N64" i="1"/>
  <c r="AB64" i="1"/>
  <c r="N65" i="1"/>
  <c r="AB65" i="1"/>
  <c r="M66" i="1"/>
  <c r="AA66" i="1"/>
  <c r="F73" i="1"/>
  <c r="I74" i="1"/>
  <c r="K75" i="1"/>
  <c r="M76" i="1"/>
  <c r="AC76" i="1"/>
  <c r="P77" i="1"/>
  <c r="H80" i="1"/>
  <c r="J81" i="1"/>
  <c r="L82" i="1"/>
  <c r="AB82" i="1"/>
  <c r="O83" i="1"/>
  <c r="I87" i="1"/>
  <c r="Y87" i="1"/>
  <c r="AA88" i="1"/>
  <c r="AD89" i="1"/>
  <c r="I93" i="1"/>
  <c r="K94" i="1"/>
  <c r="N95" i="1"/>
  <c r="P96" i="1"/>
  <c r="U98" i="1"/>
  <c r="H99" i="1"/>
  <c r="J100" i="1"/>
  <c r="AC101" i="1"/>
  <c r="P102" i="1"/>
  <c r="R103" i="1"/>
  <c r="F104" i="1"/>
  <c r="V104" i="1"/>
  <c r="I105" i="1"/>
  <c r="M106" i="1"/>
  <c r="AC106" i="1"/>
  <c r="Q107" i="1"/>
  <c r="T108" i="1"/>
  <c r="G109" i="1"/>
  <c r="AD110" i="1"/>
  <c r="V112" i="1"/>
  <c r="AA113" i="1"/>
  <c r="O114" i="1"/>
  <c r="U115" i="1"/>
  <c r="I116" i="1"/>
  <c r="M117" i="1"/>
  <c r="AD117" i="1"/>
  <c r="R118" i="1"/>
  <c r="F119" i="1"/>
  <c r="AB120" i="1"/>
  <c r="I123" i="1"/>
  <c r="M124" i="1"/>
  <c r="U125" i="1"/>
  <c r="I126" i="1"/>
  <c r="Z126" i="1"/>
  <c r="O127" i="1"/>
  <c r="U128" i="1"/>
  <c r="Q130" i="1"/>
  <c r="T134" i="1"/>
  <c r="K135" i="1"/>
  <c r="Y136" i="1"/>
  <c r="O137" i="1"/>
  <c r="G138" i="1"/>
  <c r="Z138" i="1"/>
  <c r="J140" i="1"/>
  <c r="N142" i="1"/>
  <c r="G143" i="1"/>
  <c r="AA143" i="1"/>
  <c r="AD145" i="1"/>
  <c r="U146" i="1"/>
  <c r="O147" i="1"/>
  <c r="Y151" i="1"/>
  <c r="R152" i="1"/>
  <c r="I154" i="1"/>
  <c r="AD155" i="1"/>
  <c r="R158" i="1"/>
  <c r="N159" i="1"/>
  <c r="F161" i="1"/>
  <c r="AD161" i="1"/>
  <c r="Q164" i="1"/>
  <c r="M165" i="1"/>
  <c r="H166" i="1"/>
  <c r="AD167" i="1"/>
  <c r="Z168" i="1"/>
  <c r="V169" i="1"/>
  <c r="Q170" i="1"/>
  <c r="H172" i="1"/>
  <c r="AB174" i="1"/>
  <c r="Y175" i="1"/>
  <c r="U176" i="1"/>
  <c r="P178" i="1"/>
  <c r="I182" i="1"/>
  <c r="G183" i="1"/>
  <c r="AD186" i="1"/>
  <c r="AB187" i="1"/>
  <c r="W189" i="1"/>
  <c r="X192" i="1"/>
  <c r="Y193" i="1"/>
  <c r="X194" i="1"/>
  <c r="X195" i="1"/>
  <c r="V196" i="1"/>
  <c r="X197" i="1"/>
  <c r="Y199" i="1"/>
  <c r="AC202" i="1"/>
  <c r="AB211" i="1"/>
  <c r="AE212" i="1"/>
  <c r="H214" i="1"/>
  <c r="N215" i="1"/>
  <c r="S216" i="1"/>
  <c r="AB217" i="1"/>
  <c r="Y223" i="1"/>
  <c r="G225" i="1"/>
  <c r="T227" i="1"/>
  <c r="M231" i="1"/>
  <c r="N235" i="1"/>
  <c r="X236" i="1"/>
  <c r="F238" i="1"/>
  <c r="Y243" i="1"/>
  <c r="G245" i="1"/>
  <c r="R246" i="1"/>
  <c r="P249" i="1"/>
  <c r="F255" i="1"/>
  <c r="K258" i="1"/>
  <c r="Q261" i="1"/>
  <c r="K263" i="1"/>
  <c r="X266" i="1"/>
  <c r="U268" i="1"/>
  <c r="V268" i="1"/>
  <c r="R270" i="1"/>
  <c r="G161" i="1"/>
  <c r="AE161" i="1"/>
  <c r="Y163" i="1"/>
  <c r="J166" i="1"/>
  <c r="F167" i="1"/>
  <c r="AE167" i="1"/>
  <c r="X169" i="1"/>
  <c r="J172" i="1"/>
  <c r="F173" i="1"/>
  <c r="X176" i="1"/>
  <c r="R178" i="1"/>
  <c r="O180" i="1"/>
  <c r="N181" i="1"/>
  <c r="H183" i="1"/>
  <c r="G185" i="1"/>
  <c r="AE186" i="1"/>
  <c r="AD187" i="1"/>
  <c r="AC188" i="1"/>
  <c r="AC190" i="1"/>
  <c r="AA196" i="1"/>
  <c r="AA197" i="1"/>
  <c r="AB199" i="1"/>
  <c r="AD201" i="1"/>
  <c r="I206" i="1"/>
  <c r="L207" i="1"/>
  <c r="N208" i="1"/>
  <c r="R209" i="1"/>
  <c r="O215" i="1"/>
  <c r="AA223" i="1"/>
  <c r="Q226" i="1"/>
  <c r="Y227" i="1"/>
  <c r="P231" i="1"/>
  <c r="AC232" i="1"/>
  <c r="AA236" i="1"/>
  <c r="H238" i="1"/>
  <c r="F241" i="1"/>
  <c r="AD243" i="1"/>
  <c r="T246" i="1"/>
  <c r="S249" i="1"/>
  <c r="Q252" i="1"/>
  <c r="AC256" i="1"/>
  <c r="U261" i="1"/>
  <c r="R263" i="1"/>
  <c r="G265" i="1"/>
  <c r="AA266" i="1"/>
  <c r="L152" i="1"/>
  <c r="G155" i="1"/>
  <c r="AC155" i="1"/>
  <c r="AA158" i="1"/>
  <c r="S159" i="1"/>
  <c r="K160" i="1"/>
  <c r="R162" i="1"/>
  <c r="J163" i="1"/>
  <c r="P165" i="1"/>
  <c r="G166" i="1"/>
  <c r="V167" i="1"/>
  <c r="T170" i="1"/>
  <c r="L174" i="1"/>
  <c r="P177" i="1"/>
  <c r="AE178" i="1"/>
  <c r="Z179" i="1"/>
  <c r="S180" i="1"/>
  <c r="O181" i="1"/>
  <c r="V184" i="1"/>
  <c r="P185" i="1"/>
  <c r="Y188" i="1"/>
  <c r="S189" i="1"/>
  <c r="N190" i="1"/>
  <c r="J191" i="1"/>
  <c r="AD192" i="1"/>
  <c r="Z193" i="1"/>
  <c r="T194" i="1"/>
  <c r="R195" i="1"/>
  <c r="L196" i="1"/>
  <c r="AD198" i="1"/>
  <c r="O203" i="1"/>
  <c r="L204" i="1"/>
  <c r="L205" i="1"/>
  <c r="J206" i="1"/>
  <c r="I207" i="1"/>
  <c r="I208" i="1"/>
  <c r="H209" i="1"/>
  <c r="H210" i="1"/>
  <c r="H212" i="1"/>
  <c r="H213" i="1"/>
  <c r="G214" i="1"/>
  <c r="J215" i="1"/>
  <c r="K216" i="1"/>
  <c r="J219" i="1"/>
  <c r="M220" i="1"/>
  <c r="M221" i="1"/>
  <c r="N223" i="1"/>
  <c r="V225" i="1"/>
  <c r="W226" i="1"/>
  <c r="AA227" i="1"/>
  <c r="F231" i="1"/>
  <c r="J233" i="1"/>
  <c r="U235" i="1"/>
  <c r="I240" i="1"/>
  <c r="Q241" i="1"/>
  <c r="AA243" i="1"/>
  <c r="G246" i="1"/>
  <c r="AA249" i="1"/>
  <c r="J257" i="1"/>
  <c r="V258" i="1"/>
  <c r="AB259" i="1"/>
  <c r="N262" i="1"/>
  <c r="H265" i="1"/>
  <c r="X270" i="1"/>
  <c r="AD259" i="1"/>
  <c r="K261" i="1"/>
  <c r="S262" i="1"/>
  <c r="AD263" i="1"/>
  <c r="T266" i="1"/>
  <c r="AD103" i="1"/>
  <c r="Q104" i="1"/>
  <c r="R105" i="1"/>
  <c r="S106" i="1"/>
  <c r="F107" i="1"/>
  <c r="U107" i="1"/>
  <c r="G108" i="1"/>
  <c r="V108" i="1"/>
  <c r="H109" i="1"/>
  <c r="W109" i="1"/>
  <c r="AA111" i="1"/>
  <c r="M112" i="1"/>
  <c r="AB112" i="1"/>
  <c r="O113" i="1"/>
  <c r="AD113" i="1"/>
  <c r="P114" i="1"/>
  <c r="AE114" i="1"/>
  <c r="Q115" i="1"/>
  <c r="S116" i="1"/>
  <c r="H119" i="1"/>
  <c r="W119" i="1"/>
  <c r="I120" i="1"/>
  <c r="X120" i="1"/>
  <c r="J121" i="1"/>
  <c r="Y121" i="1"/>
  <c r="L122" i="1"/>
  <c r="AA122" i="1"/>
  <c r="M123" i="1"/>
  <c r="AB123" i="1"/>
  <c r="Q125" i="1"/>
  <c r="F127" i="1"/>
  <c r="I128" i="1"/>
  <c r="K129" i="1"/>
  <c r="AA129" i="1"/>
  <c r="AC130" i="1"/>
  <c r="R131" i="1"/>
  <c r="G132" i="1"/>
  <c r="Y132" i="1"/>
  <c r="W134" i="1"/>
  <c r="AD135" i="1"/>
  <c r="S136" i="1"/>
  <c r="H137" i="1"/>
  <c r="AA137" i="1"/>
  <c r="W139" i="1"/>
  <c r="M140" i="1"/>
  <c r="AE140" i="1"/>
  <c r="J142" i="1"/>
  <c r="R143" i="1"/>
  <c r="H144" i="1"/>
  <c r="W146" i="1"/>
  <c r="K149" i="1"/>
  <c r="AD149" i="1"/>
  <c r="S150" i="1"/>
  <c r="J151" i="1"/>
  <c r="L153" i="1"/>
  <c r="I156" i="1"/>
  <c r="AC159" i="1"/>
  <c r="U160" i="1"/>
  <c r="N161" i="1"/>
  <c r="AB162" i="1"/>
  <c r="Y165" i="1"/>
  <c r="H170" i="1"/>
  <c r="AC170" i="1"/>
  <c r="G173" i="1"/>
  <c r="AC173" i="1"/>
  <c r="V174" i="1"/>
  <c r="H176" i="1"/>
  <c r="AE176" i="1"/>
  <c r="S178" i="1"/>
  <c r="AD180" i="1"/>
  <c r="O183" i="1"/>
  <c r="AA185" i="1"/>
  <c r="V191" i="1"/>
  <c r="R192" i="1"/>
  <c r="L193" i="1"/>
  <c r="H194" i="1"/>
  <c r="AC195" i="1"/>
  <c r="X196" i="1"/>
  <c r="T197" i="1"/>
  <c r="AD202" i="1"/>
  <c r="AB203" i="1"/>
  <c r="Y204" i="1"/>
  <c r="X205" i="1"/>
  <c r="U207" i="1"/>
  <c r="T209" i="1"/>
  <c r="T211" i="1"/>
  <c r="Y218" i="1"/>
  <c r="X221" i="1"/>
  <c r="AB222" i="1"/>
  <c r="AB223" i="1"/>
  <c r="H227" i="1"/>
  <c r="L228" i="1"/>
  <c r="P229" i="1"/>
  <c r="P230" i="1"/>
  <c r="V231" i="1"/>
  <c r="W232" i="1"/>
  <c r="F236" i="1"/>
  <c r="L237" i="1"/>
  <c r="T238" i="1"/>
  <c r="I243" i="1"/>
  <c r="S244" i="1"/>
  <c r="S245" i="1"/>
  <c r="Y246" i="1"/>
  <c r="AD247" i="1"/>
  <c r="H249" i="1"/>
  <c r="O250" i="1"/>
  <c r="X261" i="1"/>
  <c r="AE66" i="1"/>
  <c r="P67" i="1"/>
  <c r="Q68" i="1"/>
  <c r="Q69" i="1"/>
  <c r="Q70" i="1"/>
  <c r="R71" i="1"/>
  <c r="R72" i="1"/>
  <c r="F74" i="1"/>
  <c r="U74" i="1"/>
  <c r="G75" i="1"/>
  <c r="V75" i="1"/>
  <c r="H76" i="1"/>
  <c r="W76" i="1"/>
  <c r="O81" i="1"/>
  <c r="AD81" i="1"/>
  <c r="G86" i="1"/>
  <c r="V86" i="1"/>
  <c r="H87" i="1"/>
  <c r="W87" i="1"/>
  <c r="I88" i="1"/>
  <c r="T95" i="1"/>
  <c r="F96" i="1"/>
  <c r="U96" i="1"/>
  <c r="I98" i="1"/>
  <c r="X98" i="1"/>
  <c r="J99" i="1"/>
  <c r="Y99" i="1"/>
  <c r="K100" i="1"/>
  <c r="Z100" i="1"/>
  <c r="M101" i="1"/>
  <c r="AB101" i="1"/>
  <c r="N102" i="1"/>
  <c r="X109" i="1"/>
  <c r="K110" i="1"/>
  <c r="Z110" i="1"/>
  <c r="T116" i="1"/>
  <c r="F117" i="1"/>
  <c r="U117" i="1"/>
  <c r="G118" i="1"/>
  <c r="V118" i="1"/>
  <c r="AC123" i="1"/>
  <c r="O124" i="1"/>
  <c r="AD124" i="1"/>
  <c r="R125" i="1"/>
  <c r="T126" i="1"/>
  <c r="V127" i="1"/>
  <c r="Y128" i="1"/>
  <c r="L129" i="1"/>
  <c r="N130" i="1"/>
  <c r="AD130" i="1"/>
  <c r="O133" i="1"/>
  <c r="L135" i="1"/>
  <c r="P138" i="1"/>
  <c r="X139" i="1"/>
  <c r="V141" i="1"/>
  <c r="AB142" i="1"/>
  <c r="S143" i="1"/>
  <c r="Z144" i="1"/>
  <c r="P145" i="1"/>
  <c r="N147" i="1"/>
  <c r="U148" i="1"/>
  <c r="K151" i="1"/>
  <c r="AD151" i="1"/>
  <c r="U152" i="1"/>
  <c r="M153" i="1"/>
  <c r="Y154" i="1"/>
  <c r="R155" i="1"/>
  <c r="AE156" i="1"/>
  <c r="X157" i="1"/>
  <c r="P158" i="1"/>
  <c r="H159" i="1"/>
  <c r="AD159" i="1"/>
  <c r="H162" i="1"/>
  <c r="S166" i="1"/>
  <c r="L167" i="1"/>
  <c r="R169" i="1"/>
  <c r="W171" i="1"/>
  <c r="O172" i="1"/>
  <c r="Q175" i="1"/>
  <c r="I176" i="1"/>
  <c r="Z177" i="1"/>
  <c r="I180" i="1"/>
  <c r="T182" i="1"/>
  <c r="R187" i="1"/>
  <c r="L188" i="1"/>
  <c r="AD189" i="1"/>
  <c r="AB190" i="1"/>
  <c r="M193" i="1"/>
  <c r="AD195" i="1"/>
  <c r="N199" i="1"/>
  <c r="K200" i="1"/>
  <c r="F202" i="1"/>
  <c r="AC203" i="1"/>
  <c r="Y205" i="1"/>
  <c r="X206" i="1"/>
  <c r="X207" i="1"/>
  <c r="V210" i="1"/>
  <c r="X212" i="1"/>
  <c r="U214" i="1"/>
  <c r="X215" i="1"/>
  <c r="AA217" i="1"/>
  <c r="AD223" i="1"/>
  <c r="I227" i="1"/>
  <c r="S230" i="1"/>
  <c r="W231" i="1"/>
  <c r="AA232" i="1"/>
  <c r="AB233" i="1"/>
  <c r="AE234" i="1"/>
  <c r="U239" i="1"/>
  <c r="P250" i="1"/>
  <c r="V251" i="1"/>
  <c r="L255" i="1"/>
  <c r="T256" i="1"/>
  <c r="AC257" i="1"/>
  <c r="H259" i="1"/>
  <c r="Z261" i="1"/>
  <c r="F263" i="1"/>
  <c r="Y265" i="1"/>
  <c r="AA110" i="1"/>
  <c r="M111" i="1"/>
  <c r="AB111" i="1"/>
  <c r="N112" i="1"/>
  <c r="AC112" i="1"/>
  <c r="P113" i="1"/>
  <c r="AE113" i="1"/>
  <c r="Q114" i="1"/>
  <c r="R115" i="1"/>
  <c r="I119" i="1"/>
  <c r="X119" i="1"/>
  <c r="J120" i="1"/>
  <c r="Y120" i="1"/>
  <c r="K121" i="1"/>
  <c r="Z121" i="1"/>
  <c r="M122" i="1"/>
  <c r="AB122" i="1"/>
  <c r="N123" i="1"/>
  <c r="AE124" i="1"/>
  <c r="G127" i="1"/>
  <c r="J128" i="1"/>
  <c r="AB129" i="1"/>
  <c r="H132" i="1"/>
  <c r="Z132" i="1"/>
  <c r="X134" i="1"/>
  <c r="M135" i="1"/>
  <c r="AE135" i="1"/>
  <c r="T136" i="1"/>
  <c r="J137" i="1"/>
  <c r="AB137" i="1"/>
  <c r="F139" i="1"/>
  <c r="N140" i="1"/>
  <c r="K142" i="1"/>
  <c r="T143" i="1"/>
  <c r="I144" i="1"/>
  <c r="F146" i="1"/>
  <c r="W148" i="1"/>
  <c r="L149" i="1"/>
  <c r="AE149" i="1"/>
  <c r="L151" i="1"/>
  <c r="S155" i="1"/>
  <c r="K156" i="1"/>
  <c r="AE159" i="1"/>
  <c r="O161" i="1"/>
  <c r="U163" i="1"/>
  <c r="M164" i="1"/>
  <c r="F165" i="1"/>
  <c r="Z165" i="1"/>
  <c r="Y168" i="1"/>
  <c r="J170" i="1"/>
  <c r="AD173" i="1"/>
  <c r="W174" i="1"/>
  <c r="R175" i="1"/>
  <c r="K176" i="1"/>
  <c r="T178" i="1"/>
  <c r="P179" i="1"/>
  <c r="Z181" i="1"/>
  <c r="V182" i="1"/>
  <c r="P183" i="1"/>
  <c r="J184" i="1"/>
  <c r="F185" i="1"/>
  <c r="AB185" i="1"/>
  <c r="Y186" i="1"/>
  <c r="W191" i="1"/>
  <c r="S192" i="1"/>
  <c r="N193" i="1"/>
  <c r="I194" i="1"/>
  <c r="Z196" i="1"/>
  <c r="L200" i="1"/>
  <c r="H201" i="1"/>
  <c r="Z207" i="1"/>
  <c r="Y208" i="1"/>
  <c r="W209" i="1"/>
  <c r="V211" i="1"/>
  <c r="Y212" i="1"/>
  <c r="W213" i="1"/>
  <c r="Y215" i="1"/>
  <c r="Y216" i="1"/>
  <c r="AA219" i="1"/>
  <c r="AC220" i="1"/>
  <c r="AC221" i="1"/>
  <c r="AD222" i="1"/>
  <c r="L227" i="1"/>
  <c r="O228" i="1"/>
  <c r="Q229" i="1"/>
  <c r="T230" i="1"/>
  <c r="K236" i="1"/>
  <c r="M237" i="1"/>
  <c r="V238" i="1"/>
  <c r="J243" i="1"/>
  <c r="T244" i="1"/>
  <c r="AC246" i="1"/>
  <c r="L249" i="1"/>
  <c r="Q250" i="1"/>
  <c r="F254" i="1"/>
  <c r="AE257" i="1"/>
  <c r="I259" i="1"/>
  <c r="AB261" i="1"/>
  <c r="J267" i="1"/>
  <c r="W238" i="1"/>
  <c r="P243" i="1"/>
  <c r="V245" i="1"/>
  <c r="X251" i="1"/>
  <c r="AE252" i="1"/>
  <c r="N255" i="1"/>
  <c r="W256" i="1"/>
  <c r="M259" i="1"/>
  <c r="G263" i="1"/>
  <c r="S264" i="1"/>
  <c r="Y268" i="1"/>
  <c r="G270" i="1"/>
  <c r="S131" i="1"/>
  <c r="G133" i="1"/>
  <c r="W133" i="1"/>
  <c r="Z134" i="1"/>
  <c r="AB135" i="1"/>
  <c r="AD136" i="1"/>
  <c r="Q137" i="1"/>
  <c r="T138" i="1"/>
  <c r="V139" i="1"/>
  <c r="Y140" i="1"/>
  <c r="AA141" i="1"/>
  <c r="AC142" i="1"/>
  <c r="Q143" i="1"/>
  <c r="S144" i="1"/>
  <c r="Y146" i="1"/>
  <c r="AA147" i="1"/>
  <c r="R149" i="1"/>
  <c r="AE152" i="1"/>
  <c r="P155" i="1"/>
  <c r="M157" i="1"/>
  <c r="AE157" i="1"/>
  <c r="U158" i="1"/>
  <c r="O162" i="1"/>
  <c r="W163" i="1"/>
  <c r="L164" i="1"/>
  <c r="AD164" i="1"/>
  <c r="S165" i="1"/>
  <c r="R167" i="1"/>
  <c r="X168" i="1"/>
  <c r="M169" i="1"/>
  <c r="J171" i="1"/>
  <c r="AC171" i="1"/>
  <c r="H173" i="1"/>
  <c r="AA173" i="1"/>
  <c r="N176" i="1"/>
  <c r="W177" i="1"/>
  <c r="W179" i="1"/>
  <c r="M180" i="1"/>
  <c r="AE180" i="1"/>
  <c r="U181" i="1"/>
  <c r="AE182" i="1"/>
  <c r="AD184" i="1"/>
  <c r="M186" i="1"/>
  <c r="X187" i="1"/>
  <c r="N188" i="1"/>
  <c r="P190" i="1"/>
  <c r="G191" i="1"/>
  <c r="AA191" i="1"/>
  <c r="J193" i="1"/>
  <c r="AD193" i="1"/>
  <c r="W194" i="1"/>
  <c r="M195" i="1"/>
  <c r="V199" i="1"/>
  <c r="N200" i="1"/>
  <c r="G201" i="1"/>
  <c r="AC201" i="1"/>
  <c r="N203" i="1"/>
  <c r="F204" i="1"/>
  <c r="AC204" i="1"/>
  <c r="G208" i="1"/>
  <c r="AD208" i="1"/>
  <c r="N211" i="1"/>
  <c r="AA213" i="1"/>
  <c r="W214" i="1"/>
  <c r="P216" i="1"/>
  <c r="J217" i="1"/>
  <c r="Z219" i="1"/>
  <c r="M222" i="1"/>
  <c r="J223" i="1"/>
  <c r="AC225" i="1"/>
  <c r="AA226" i="1"/>
  <c r="Z227" i="1"/>
  <c r="W228" i="1"/>
  <c r="S229" i="1"/>
  <c r="R230" i="1"/>
  <c r="M232" i="1"/>
  <c r="AC239" i="1"/>
  <c r="AA240" i="1"/>
  <c r="AC243" i="1"/>
  <c r="X245" i="1"/>
  <c r="Y251" i="1"/>
  <c r="X253" i="1"/>
  <c r="W254" i="1"/>
  <c r="AD257" i="1"/>
  <c r="AE258" i="1"/>
  <c r="H261" i="1"/>
  <c r="P264" i="1"/>
  <c r="Q265" i="1"/>
  <c r="AB267" i="1"/>
  <c r="J270" i="1"/>
  <c r="T271" i="1"/>
  <c r="V132" i="1"/>
  <c r="I133" i="1"/>
  <c r="L134" i="1"/>
  <c r="N135" i="1"/>
  <c r="P136" i="1"/>
  <c r="S137" i="1"/>
  <c r="F138" i="1"/>
  <c r="H139" i="1"/>
  <c r="K140" i="1"/>
  <c r="M141" i="1"/>
  <c r="O142" i="1"/>
  <c r="AE142" i="1"/>
  <c r="H145" i="1"/>
  <c r="K146" i="1"/>
  <c r="M147" i="1"/>
  <c r="AC147" i="1"/>
  <c r="P148" i="1"/>
  <c r="T149" i="1"/>
  <c r="G150" i="1"/>
  <c r="AB151" i="1"/>
  <c r="P152" i="1"/>
  <c r="U153" i="1"/>
  <c r="AB154" i="1"/>
  <c r="G156" i="1"/>
  <c r="Z156" i="1"/>
  <c r="O157" i="1"/>
  <c r="I161" i="1"/>
  <c r="AB161" i="1"/>
  <c r="G163" i="1"/>
  <c r="N164" i="1"/>
  <c r="AC166" i="1"/>
  <c r="H168" i="1"/>
  <c r="W170" i="1"/>
  <c r="M171" i="1"/>
  <c r="AE171" i="1"/>
  <c r="T172" i="1"/>
  <c r="J173" i="1"/>
  <c r="Z175" i="1"/>
  <c r="P176" i="1"/>
  <c r="F177" i="1"/>
  <c r="Y177" i="1"/>
  <c r="F179" i="1"/>
  <c r="Y179" i="1"/>
  <c r="W183" i="1"/>
  <c r="M184" i="1"/>
  <c r="Y185" i="1"/>
  <c r="F187" i="1"/>
  <c r="AA189" i="1"/>
  <c r="R190" i="1"/>
  <c r="P195" i="1"/>
  <c r="AB196" i="1"/>
  <c r="S197" i="1"/>
  <c r="J198" i="1"/>
  <c r="X199" i="1"/>
  <c r="AE201" i="1"/>
  <c r="X202" i="1"/>
  <c r="H204" i="1"/>
  <c r="AE204" i="1"/>
  <c r="O207" i="1"/>
  <c r="J208" i="1"/>
  <c r="W210" i="1"/>
  <c r="Q211" i="1"/>
  <c r="K212" i="1"/>
  <c r="G213" i="1"/>
  <c r="AC213" i="1"/>
  <c r="R216" i="1"/>
  <c r="M217" i="1"/>
  <c r="AB219" i="1"/>
  <c r="AC227" i="1"/>
  <c r="W229" i="1"/>
  <c r="U230" i="1"/>
  <c r="J234" i="1"/>
  <c r="G235" i="1"/>
  <c r="AE241" i="1"/>
  <c r="AD245" i="1"/>
  <c r="AD246" i="1"/>
  <c r="AB247" i="1"/>
  <c r="AA252" i="1"/>
  <c r="Z254" i="1"/>
  <c r="AE256" i="1"/>
  <c r="K260" i="1"/>
  <c r="J262" i="1"/>
  <c r="R264" i="1"/>
  <c r="AD267" i="1"/>
  <c r="G269" i="1"/>
  <c r="O270" i="1"/>
  <c r="X174" i="1"/>
  <c r="V176" i="1"/>
  <c r="U178" i="1"/>
  <c r="U180" i="1"/>
  <c r="J181" i="1"/>
  <c r="AD181" i="1"/>
  <c r="AC183" i="1"/>
  <c r="K185" i="1"/>
  <c r="AE185" i="1"/>
  <c r="L187" i="1"/>
  <c r="W188" i="1"/>
  <c r="M189" i="1"/>
  <c r="P191" i="1"/>
  <c r="G192" i="1"/>
  <c r="AA192" i="1"/>
  <c r="V195" i="1"/>
  <c r="M196" i="1"/>
  <c r="R198" i="1"/>
  <c r="J199" i="1"/>
  <c r="AD199" i="1"/>
  <c r="V200" i="1"/>
  <c r="I202" i="1"/>
  <c r="X203" i="1"/>
  <c r="J205" i="1"/>
  <c r="Y211" i="1"/>
  <c r="S212" i="1"/>
  <c r="O213" i="1"/>
  <c r="AE220" i="1"/>
  <c r="Q224" i="1"/>
  <c r="G228" i="1"/>
  <c r="Z231" i="1"/>
  <c r="X232" i="1"/>
  <c r="T233" i="1"/>
  <c r="Q234" i="1"/>
  <c r="S235" i="1"/>
  <c r="O237" i="1"/>
  <c r="M238" i="1"/>
  <c r="J241" i="1"/>
  <c r="K243" i="1"/>
  <c r="K245" i="1"/>
  <c r="H246" i="1"/>
  <c r="I247" i="1"/>
  <c r="F248" i="1"/>
  <c r="G250" i="1"/>
  <c r="G251" i="1"/>
  <c r="H254" i="1"/>
  <c r="I255" i="1"/>
  <c r="L258" i="1"/>
  <c r="P259" i="1"/>
  <c r="R260" i="1"/>
  <c r="S261" i="1"/>
  <c r="W262" i="1"/>
  <c r="Z263" i="1"/>
  <c r="AC264" i="1"/>
  <c r="G267" i="1"/>
  <c r="V269" i="1"/>
  <c r="Y270" i="1"/>
  <c r="M73" i="1"/>
  <c r="N74" i="1"/>
  <c r="N75" i="1"/>
  <c r="N76" i="1"/>
  <c r="AC77" i="1"/>
  <c r="AC78" i="1"/>
  <c r="AC79" i="1"/>
  <c r="P80" i="1"/>
  <c r="P81" i="1"/>
  <c r="P82" i="1"/>
  <c r="Q83" i="1"/>
  <c r="Q84" i="1"/>
  <c r="Q85" i="1"/>
  <c r="R86" i="1"/>
  <c r="R87" i="1"/>
  <c r="R88" i="1"/>
  <c r="S89" i="1"/>
  <c r="S90" i="1"/>
  <c r="S91" i="1"/>
  <c r="T92" i="1"/>
  <c r="T93" i="1"/>
  <c r="F94" i="1"/>
  <c r="G95" i="1"/>
  <c r="G96" i="1"/>
  <c r="G97" i="1"/>
  <c r="V98" i="1"/>
  <c r="V99" i="1"/>
  <c r="V100" i="1"/>
  <c r="W101" i="1"/>
  <c r="W102" i="1"/>
  <c r="W103" i="1"/>
  <c r="X104" i="1"/>
  <c r="X105" i="1"/>
  <c r="X106" i="1"/>
  <c r="Y107" i="1"/>
  <c r="K108" i="1"/>
  <c r="K109" i="1"/>
  <c r="L110" i="1"/>
  <c r="L111" i="1"/>
  <c r="L112" i="1"/>
  <c r="M113" i="1"/>
  <c r="M114" i="1"/>
  <c r="M115" i="1"/>
  <c r="N116" i="1"/>
  <c r="N117" i="1"/>
  <c r="N118" i="1"/>
  <c r="AC119" i="1"/>
  <c r="AC120" i="1"/>
  <c r="AC121" i="1"/>
  <c r="P122" i="1"/>
  <c r="P123" i="1"/>
  <c r="P124" i="1"/>
  <c r="K131" i="1"/>
  <c r="Z131" i="1"/>
  <c r="L132" i="1"/>
  <c r="N133" i="1"/>
  <c r="F136" i="1"/>
  <c r="V136" i="1"/>
  <c r="I137" i="1"/>
  <c r="K138" i="1"/>
  <c r="AC139" i="1"/>
  <c r="S141" i="1"/>
  <c r="F142" i="1"/>
  <c r="I143" i="1"/>
  <c r="K144" i="1"/>
  <c r="M145" i="1"/>
  <c r="AC145" i="1"/>
  <c r="V148" i="1"/>
  <c r="M150" i="1"/>
  <c r="AC150" i="1"/>
  <c r="Q151" i="1"/>
  <c r="V152" i="1"/>
  <c r="F155" i="1"/>
  <c r="U157" i="1"/>
  <c r="K158" i="1"/>
  <c r="R159" i="1"/>
  <c r="F162" i="1"/>
  <c r="L163" i="1"/>
  <c r="AE163" i="1"/>
  <c r="G167" i="1"/>
  <c r="Y167" i="1"/>
  <c r="S171" i="1"/>
  <c r="M175" i="1"/>
  <c r="W176" i="1"/>
  <c r="L177" i="1"/>
  <c r="L179" i="1"/>
  <c r="U182" i="1"/>
  <c r="U184" i="1"/>
  <c r="N189" i="1"/>
  <c r="Y190" i="1"/>
  <c r="H192" i="1"/>
  <c r="L194" i="1"/>
  <c r="N196" i="1"/>
  <c r="F197" i="1"/>
  <c r="Z197" i="1"/>
  <c r="AE199" i="1"/>
  <c r="W200" i="1"/>
  <c r="AE202" i="1"/>
  <c r="Y203" i="1"/>
  <c r="Q204" i="1"/>
  <c r="K205" i="1"/>
  <c r="F206" i="1"/>
  <c r="AC206" i="1"/>
  <c r="W207" i="1"/>
  <c r="S208" i="1"/>
  <c r="M209" i="1"/>
  <c r="F210" i="1"/>
  <c r="AE210" i="1"/>
  <c r="T212" i="1"/>
  <c r="J214" i="1"/>
  <c r="AE215" i="1"/>
  <c r="Z216" i="1"/>
  <c r="Q218" i="1"/>
  <c r="K219" i="1"/>
  <c r="I220" i="1"/>
  <c r="AD221" i="1"/>
  <c r="X222" i="1"/>
  <c r="N226" i="1"/>
  <c r="J227" i="1"/>
  <c r="V233" i="1"/>
  <c r="T234" i="1"/>
  <c r="Q237" i="1"/>
  <c r="P239" i="1"/>
  <c r="L240" i="1"/>
  <c r="K241" i="1"/>
  <c r="O242" i="1"/>
  <c r="M244" i="1"/>
  <c r="I246" i="1"/>
  <c r="G248" i="1"/>
  <c r="J249" i="1"/>
  <c r="H250" i="1"/>
  <c r="I252" i="1"/>
  <c r="I253" i="1"/>
  <c r="I254" i="1"/>
  <c r="K256" i="1"/>
  <c r="Q259" i="1"/>
  <c r="T261" i="1"/>
  <c r="AA263" i="1"/>
  <c r="H267" i="1"/>
  <c r="AB132" i="1"/>
  <c r="AD133" i="1"/>
  <c r="R134" i="1"/>
  <c r="T135" i="1"/>
  <c r="G136" i="1"/>
  <c r="Y137" i="1"/>
  <c r="N139" i="1"/>
  <c r="Q140" i="1"/>
  <c r="T141" i="1"/>
  <c r="V142" i="1"/>
  <c r="Y143" i="1"/>
  <c r="AA144" i="1"/>
  <c r="Q146" i="1"/>
  <c r="S147" i="1"/>
  <c r="F148" i="1"/>
  <c r="J149" i="1"/>
  <c r="Z149" i="1"/>
  <c r="AD150" i="1"/>
  <c r="R151" i="1"/>
  <c r="F152" i="1"/>
  <c r="K153" i="1"/>
  <c r="Q154" i="1"/>
  <c r="O156" i="1"/>
  <c r="L158" i="1"/>
  <c r="AD158" i="1"/>
  <c r="P161" i="1"/>
  <c r="X162" i="1"/>
  <c r="M163" i="1"/>
  <c r="U164" i="1"/>
  <c r="J165" i="1"/>
  <c r="AC165" i="1"/>
  <c r="R166" i="1"/>
  <c r="P168" i="1"/>
  <c r="W169" i="1"/>
  <c r="L170" i="1"/>
  <c r="AD170" i="1"/>
  <c r="T171" i="1"/>
  <c r="I172" i="1"/>
  <c r="AA172" i="1"/>
  <c r="R173" i="1"/>
  <c r="G174" i="1"/>
  <c r="Y174" i="1"/>
  <c r="N175" i="1"/>
  <c r="V180" i="1"/>
  <c r="M181" i="1"/>
  <c r="AE181" i="1"/>
  <c r="K183" i="1"/>
  <c r="M185" i="1"/>
  <c r="W186" i="1"/>
  <c r="M187" i="1"/>
  <c r="F190" i="1"/>
  <c r="Z190" i="1"/>
  <c r="Q191" i="1"/>
  <c r="T193" i="1"/>
  <c r="T198" i="1"/>
  <c r="K199" i="1"/>
  <c r="X200" i="1"/>
  <c r="J202" i="1"/>
  <c r="AD206" i="1"/>
  <c r="T208" i="1"/>
  <c r="Q213" i="1"/>
  <c r="X217" i="1"/>
  <c r="J220" i="1"/>
  <c r="U223" i="1"/>
  <c r="R224" i="1"/>
  <c r="Q225" i="1"/>
  <c r="J228" i="1"/>
  <c r="AE230" i="1"/>
  <c r="AA231" i="1"/>
  <c r="T235" i="1"/>
  <c r="S236" i="1"/>
  <c r="Q238" i="1"/>
  <c r="J247" i="1"/>
  <c r="H248" i="1"/>
  <c r="K249" i="1"/>
  <c r="I251" i="1"/>
  <c r="J253" i="1"/>
  <c r="J255" i="1"/>
  <c r="M257" i="1"/>
  <c r="S260" i="1"/>
  <c r="W269" i="1"/>
  <c r="AB270" i="1"/>
  <c r="F154" i="1"/>
  <c r="V154" i="1"/>
  <c r="J155" i="1"/>
  <c r="Z155" i="1"/>
  <c r="AB156" i="1"/>
  <c r="AD157" i="1"/>
  <c r="T159" i="1"/>
  <c r="V160" i="1"/>
  <c r="Y161" i="1"/>
  <c r="N163" i="1"/>
  <c r="F166" i="1"/>
  <c r="I167" i="1"/>
  <c r="K168" i="1"/>
  <c r="N169" i="1"/>
  <c r="AD169" i="1"/>
  <c r="F172" i="1"/>
  <c r="I173" i="1"/>
  <c r="Y173" i="1"/>
  <c r="AA174" i="1"/>
  <c r="AD175" i="1"/>
  <c r="R176" i="1"/>
  <c r="V177" i="1"/>
  <c r="I178" i="1"/>
  <c r="Y178" i="1"/>
  <c r="T181" i="1"/>
  <c r="H182" i="1"/>
  <c r="X182" i="1"/>
  <c r="P184" i="1"/>
  <c r="Z186" i="1"/>
  <c r="S188" i="1"/>
  <c r="G189" i="1"/>
  <c r="X189" i="1"/>
  <c r="AD190" i="1"/>
  <c r="S191" i="1"/>
  <c r="Z195" i="1"/>
  <c r="U197" i="1"/>
  <c r="F200" i="1"/>
  <c r="Y200" i="1"/>
  <c r="Y206" i="1"/>
  <c r="AA208" i="1"/>
  <c r="M212" i="1"/>
  <c r="H215" i="1"/>
  <c r="K217" i="1"/>
  <c r="L219" i="1"/>
  <c r="Q221" i="1"/>
  <c r="N224" i="1"/>
  <c r="AA225" i="1"/>
  <c r="S226" i="1"/>
  <c r="AB228" i="1"/>
  <c r="O230" i="1"/>
  <c r="G231" i="1"/>
  <c r="AD231" i="1"/>
  <c r="V232" i="1"/>
  <c r="P233" i="1"/>
  <c r="AD238" i="1"/>
  <c r="X239" i="1"/>
  <c r="M241" i="1"/>
  <c r="V244" i="1"/>
  <c r="P245" i="1"/>
  <c r="L246" i="1"/>
  <c r="AC247" i="1"/>
  <c r="V248" i="1"/>
  <c r="P254" i="1"/>
  <c r="J256" i="1"/>
  <c r="AA258" i="1"/>
  <c r="Y259" i="1"/>
  <c r="T260" i="1"/>
  <c r="R261" i="1"/>
  <c r="H264" i="1"/>
  <c r="AE268" i="1"/>
  <c r="AB269" i="1"/>
  <c r="S132" i="1"/>
  <c r="T133" i="1"/>
  <c r="G134" i="1"/>
  <c r="V134" i="1"/>
  <c r="K137" i="1"/>
  <c r="Z137" i="1"/>
  <c r="L138" i="1"/>
  <c r="AA138" i="1"/>
  <c r="M139" i="1"/>
  <c r="AB139" i="1"/>
  <c r="O140" i="1"/>
  <c r="AD140" i="1"/>
  <c r="P141" i="1"/>
  <c r="AE141" i="1"/>
  <c r="U144" i="1"/>
  <c r="G145" i="1"/>
  <c r="V145" i="1"/>
  <c r="I146" i="1"/>
  <c r="X146" i="1"/>
  <c r="J147" i="1"/>
  <c r="Y147" i="1"/>
  <c r="K148" i="1"/>
  <c r="Z148" i="1"/>
  <c r="P151" i="1"/>
  <c r="S152" i="1"/>
  <c r="F153" i="1"/>
  <c r="H154" i="1"/>
  <c r="L155" i="1"/>
  <c r="N156" i="1"/>
  <c r="P157" i="1"/>
  <c r="S158" i="1"/>
  <c r="F159" i="1"/>
  <c r="H160" i="1"/>
  <c r="K161" i="1"/>
  <c r="AC162" i="1"/>
  <c r="S164" i="1"/>
  <c r="U165" i="1"/>
  <c r="W166" i="1"/>
  <c r="M168" i="1"/>
  <c r="AC168" i="1"/>
  <c r="P169" i="1"/>
  <c r="S170" i="1"/>
  <c r="U171" i="1"/>
  <c r="W172" i="1"/>
  <c r="K173" i="1"/>
  <c r="M174" i="1"/>
  <c r="T176" i="1"/>
  <c r="G177" i="1"/>
  <c r="O179" i="1"/>
  <c r="AE179" i="1"/>
  <c r="R180" i="1"/>
  <c r="AD183" i="1"/>
  <c r="K186" i="1"/>
  <c r="I189" i="1"/>
  <c r="Z189" i="1"/>
  <c r="U191" i="1"/>
  <c r="I192" i="1"/>
  <c r="Z192" i="1"/>
  <c r="V194" i="1"/>
  <c r="W197" i="1"/>
  <c r="K198" i="1"/>
  <c r="AC198" i="1"/>
  <c r="AB200" i="1"/>
  <c r="Q201" i="1"/>
  <c r="G202" i="1"/>
  <c r="P203" i="1"/>
  <c r="G206" i="1"/>
  <c r="R207" i="1"/>
  <c r="AC208" i="1"/>
  <c r="S209" i="1"/>
  <c r="O212" i="1"/>
  <c r="Z213" i="1"/>
  <c r="R214" i="1"/>
  <c r="AD215" i="1"/>
  <c r="U216" i="1"/>
  <c r="G220" i="1"/>
  <c r="AB220" i="1"/>
  <c r="J222" i="1"/>
  <c r="V223" i="1"/>
  <c r="U226" i="1"/>
  <c r="O227" i="1"/>
  <c r="I228" i="1"/>
  <c r="AD228" i="1"/>
  <c r="V229" i="1"/>
  <c r="Y232" i="1"/>
  <c r="AB235" i="1"/>
  <c r="P237" i="1"/>
  <c r="I238" i="1"/>
  <c r="U240" i="1"/>
  <c r="L242" i="1"/>
  <c r="G243" i="1"/>
  <c r="AE243" i="1"/>
  <c r="Y244" i="1"/>
  <c r="R245" i="1"/>
  <c r="N246" i="1"/>
  <c r="H247" i="1"/>
  <c r="AE247" i="1"/>
  <c r="T249" i="1"/>
  <c r="F252" i="1"/>
  <c r="AD258" i="1"/>
  <c r="P262" i="1"/>
  <c r="Q263" i="1"/>
  <c r="M264" i="1"/>
  <c r="I265" i="1"/>
  <c r="G266" i="1"/>
  <c r="F268" i="1"/>
  <c r="H2" i="4"/>
  <c r="Y214" i="1"/>
  <c r="P215" i="1"/>
  <c r="T217" i="1"/>
  <c r="K218" i="1"/>
  <c r="Q222" i="1"/>
  <c r="U224" i="1"/>
  <c r="M225" i="1"/>
  <c r="G226" i="1"/>
  <c r="I229" i="1"/>
  <c r="X230" i="1"/>
  <c r="J232" i="1"/>
  <c r="Y233" i="1"/>
  <c r="R234" i="1"/>
  <c r="W237" i="1"/>
  <c r="R238" i="1"/>
  <c r="AC240" i="1"/>
  <c r="N243" i="1"/>
  <c r="H244" i="1"/>
  <c r="AE244" i="1"/>
  <c r="Z245" i="1"/>
  <c r="O247" i="1"/>
  <c r="AC249" i="1"/>
  <c r="R251" i="1"/>
  <c r="G253" i="1"/>
  <c r="X255" i="1"/>
  <c r="M258" i="1"/>
  <c r="AD261" i="1"/>
  <c r="T264" i="1"/>
  <c r="R265" i="1"/>
  <c r="O268" i="1"/>
  <c r="M269" i="1"/>
  <c r="P270" i="1"/>
  <c r="N271" i="1"/>
  <c r="N154" i="1"/>
  <c r="Q155" i="1"/>
  <c r="S156" i="1"/>
  <c r="I158" i="1"/>
  <c r="K159" i="1"/>
  <c r="AA159" i="1"/>
  <c r="AC160" i="1"/>
  <c r="F163" i="1"/>
  <c r="I164" i="1"/>
  <c r="K165" i="1"/>
  <c r="M166" i="1"/>
  <c r="Q167" i="1"/>
  <c r="S168" i="1"/>
  <c r="U169" i="1"/>
  <c r="X170" i="1"/>
  <c r="M172" i="1"/>
  <c r="P173" i="1"/>
  <c r="U175" i="1"/>
  <c r="M177" i="1"/>
  <c r="U179" i="1"/>
  <c r="H180" i="1"/>
  <c r="X180" i="1"/>
  <c r="L181" i="1"/>
  <c r="AB181" i="1"/>
  <c r="P182" i="1"/>
  <c r="G184" i="1"/>
  <c r="X184" i="1"/>
  <c r="L185" i="1"/>
  <c r="AA188" i="1"/>
  <c r="O189" i="1"/>
  <c r="I191" i="1"/>
  <c r="Z191" i="1"/>
  <c r="V193" i="1"/>
  <c r="K194" i="1"/>
  <c r="AB194" i="1"/>
  <c r="Q195" i="1"/>
  <c r="S198" i="1"/>
  <c r="Z199" i="1"/>
  <c r="O200" i="1"/>
  <c r="W201" i="1"/>
  <c r="V203" i="1"/>
  <c r="M204" i="1"/>
  <c r="V205" i="1"/>
  <c r="M206" i="1"/>
  <c r="P208" i="1"/>
  <c r="AB209" i="1"/>
  <c r="J211" i="1"/>
  <c r="I216" i="1"/>
  <c r="AB216" i="1"/>
  <c r="U217" i="1"/>
  <c r="L218" i="1"/>
  <c r="W219" i="1"/>
  <c r="N220" i="1"/>
  <c r="F221" i="1"/>
  <c r="Z221" i="1"/>
  <c r="AC223" i="1"/>
  <c r="H226" i="1"/>
  <c r="X227" i="1"/>
  <c r="P228" i="1"/>
  <c r="Q231" i="1"/>
  <c r="K232" i="1"/>
  <c r="M235" i="1"/>
  <c r="AC236" i="1"/>
  <c r="N239" i="1"/>
  <c r="G240" i="1"/>
  <c r="X241" i="1"/>
  <c r="T242" i="1"/>
  <c r="AA245" i="1"/>
  <c r="P247" i="1"/>
  <c r="L248" i="1"/>
  <c r="W250" i="1"/>
  <c r="H253" i="1"/>
  <c r="AB254" i="1"/>
  <c r="P257" i="1"/>
  <c r="L259" i="1"/>
  <c r="Q266" i="1"/>
  <c r="Q267" i="1"/>
  <c r="P268" i="1"/>
  <c r="P271" i="1"/>
  <c r="AE147" i="1"/>
  <c r="Q148" i="1"/>
  <c r="S149" i="1"/>
  <c r="T150" i="1"/>
  <c r="V151" i="1"/>
  <c r="J152" i="1"/>
  <c r="Z152" i="1"/>
  <c r="AB153" i="1"/>
  <c r="AD154" i="1"/>
  <c r="F157" i="1"/>
  <c r="V157" i="1"/>
  <c r="Y158" i="1"/>
  <c r="L159" i="1"/>
  <c r="N160" i="1"/>
  <c r="Q161" i="1"/>
  <c r="T162" i="1"/>
  <c r="V163" i="1"/>
  <c r="Y164" i="1"/>
  <c r="AA165" i="1"/>
  <c r="N166" i="1"/>
  <c r="AD166" i="1"/>
  <c r="F169" i="1"/>
  <c r="I170" i="1"/>
  <c r="K171" i="1"/>
  <c r="AA171" i="1"/>
  <c r="AC172" i="1"/>
  <c r="S174" i="1"/>
  <c r="J176" i="1"/>
  <c r="AD177" i="1"/>
  <c r="Q178" i="1"/>
  <c r="T183" i="1"/>
  <c r="AC185" i="1"/>
  <c r="Q186" i="1"/>
  <c r="K188" i="1"/>
  <c r="U190" i="1"/>
  <c r="W196" i="1"/>
  <c r="L197" i="1"/>
  <c r="AE197" i="1"/>
  <c r="N202" i="1"/>
  <c r="W205" i="1"/>
  <c r="I209" i="1"/>
  <c r="S210" i="1"/>
  <c r="AE211" i="1"/>
  <c r="F214" i="1"/>
  <c r="Z214" i="1"/>
  <c r="R215" i="1"/>
  <c r="AD216" i="1"/>
  <c r="R222" i="1"/>
  <c r="I223" i="1"/>
  <c r="V224" i="1"/>
  <c r="I226" i="1"/>
  <c r="AE226" i="1"/>
  <c r="Q228" i="1"/>
  <c r="Y230" i="1"/>
  <c r="Z233" i="1"/>
  <c r="S234" i="1"/>
  <c r="H236" i="1"/>
  <c r="O239" i="1"/>
  <c r="AE240" i="1"/>
  <c r="U242" i="1"/>
  <c r="O243" i="1"/>
  <c r="I244" i="1"/>
  <c r="V246" i="1"/>
  <c r="R247" i="1"/>
  <c r="F249" i="1"/>
  <c r="AD249" i="1"/>
  <c r="T251" i="1"/>
  <c r="N252" i="1"/>
  <c r="Z255" i="1"/>
  <c r="V256" i="1"/>
  <c r="Q257" i="1"/>
  <c r="P258" i="1"/>
  <c r="H260" i="1"/>
  <c r="AE261" i="1"/>
  <c r="AB262" i="1"/>
  <c r="Y263" i="1"/>
  <c r="U265" i="1"/>
  <c r="Q269" i="1"/>
  <c r="Q270" i="1"/>
  <c r="P266" i="1"/>
  <c r="L267" i="1"/>
  <c r="H268" i="1"/>
  <c r="AD269" i="1"/>
  <c r="G224" i="1"/>
  <c r="Z224" i="1"/>
  <c r="J226" i="1"/>
  <c r="AD226" i="1"/>
  <c r="V227" i="1"/>
  <c r="Y229" i="1"/>
  <c r="Q230" i="1"/>
  <c r="I231" i="1"/>
  <c r="AB231" i="1"/>
  <c r="T232" i="1"/>
  <c r="P235" i="1"/>
  <c r="I236" i="1"/>
  <c r="V237" i="1"/>
  <c r="O238" i="1"/>
  <c r="P244" i="1"/>
  <c r="I245" i="1"/>
  <c r="AE245" i="1"/>
  <c r="W246" i="1"/>
  <c r="J248" i="1"/>
  <c r="J251" i="1"/>
  <c r="Y252" i="1"/>
  <c r="S253" i="1"/>
  <c r="L254" i="1"/>
  <c r="H255" i="1"/>
  <c r="S257" i="1"/>
  <c r="N258" i="1"/>
  <c r="AC260" i="1"/>
  <c r="V261" i="1"/>
  <c r="M263" i="1"/>
  <c r="F265" i="1"/>
  <c r="AC265" i="1"/>
  <c r="U267" i="1"/>
  <c r="S268" i="1"/>
  <c r="L270" i="1"/>
  <c r="H271" i="1"/>
  <c r="AC205" i="1"/>
  <c r="J207" i="1"/>
  <c r="U208" i="1"/>
  <c r="AD209" i="1"/>
  <c r="T210" i="1"/>
  <c r="K211" i="1"/>
  <c r="AD211" i="1"/>
  <c r="U212" i="1"/>
  <c r="W218" i="1"/>
  <c r="Y220" i="1"/>
  <c r="AB224" i="1"/>
  <c r="S225" i="1"/>
  <c r="W227" i="1"/>
  <c r="N228" i="1"/>
  <c r="Z229" i="1"/>
  <c r="AC231" i="1"/>
  <c r="L233" i="1"/>
  <c r="R235" i="1"/>
  <c r="H239" i="1"/>
  <c r="AD239" i="1"/>
  <c r="V240" i="1"/>
  <c r="O241" i="1"/>
  <c r="I242" i="1"/>
  <c r="X243" i="1"/>
  <c r="Q244" i="1"/>
  <c r="J245" i="1"/>
  <c r="X246" i="1"/>
  <c r="K248" i="1"/>
  <c r="Y249" i="1"/>
  <c r="R250" i="1"/>
  <c r="Z252" i="1"/>
  <c r="M254" i="1"/>
  <c r="AD255" i="1"/>
  <c r="Y256" i="1"/>
  <c r="T257" i="1"/>
  <c r="W261" i="1"/>
  <c r="O263" i="1"/>
  <c r="Z266" i="1"/>
  <c r="V267" i="1"/>
  <c r="O269" i="1"/>
  <c r="I271" i="1"/>
  <c r="S271" i="1"/>
  <c r="H4" i="4"/>
  <c r="I4" i="4" s="1" a="1"/>
  <c r="I4" i="4" s="1"/>
  <c r="I155" i="1"/>
  <c r="X155" i="1"/>
  <c r="J156" i="1"/>
  <c r="S162" i="1"/>
  <c r="T163" i="1"/>
  <c r="G164" i="1"/>
  <c r="V164" i="1"/>
  <c r="H165" i="1"/>
  <c r="W165" i="1"/>
  <c r="I166" i="1"/>
  <c r="X166" i="1"/>
  <c r="K167" i="1"/>
  <c r="Z167" i="1"/>
  <c r="L168" i="1"/>
  <c r="AA168" i="1"/>
  <c r="AE170" i="1"/>
  <c r="Q171" i="1"/>
  <c r="R172" i="1"/>
  <c r="T173" i="1"/>
  <c r="F174" i="1"/>
  <c r="U174" i="1"/>
  <c r="G175" i="1"/>
  <c r="W175" i="1"/>
  <c r="Z176" i="1"/>
  <c r="O178" i="1"/>
  <c r="R179" i="1"/>
  <c r="G181" i="1"/>
  <c r="J182" i="1"/>
  <c r="Z182" i="1"/>
  <c r="AB183" i="1"/>
  <c r="O184" i="1"/>
  <c r="X186" i="1"/>
  <c r="K187" i="1"/>
  <c r="AA187" i="1"/>
  <c r="W190" i="1"/>
  <c r="K191" i="1"/>
  <c r="P192" i="1"/>
  <c r="J194" i="1"/>
  <c r="N195" i="1"/>
  <c r="S196" i="1"/>
  <c r="L198" i="1"/>
  <c r="Z200" i="1"/>
  <c r="O201" i="1"/>
  <c r="V202" i="1"/>
  <c r="AD203" i="1"/>
  <c r="Y207" i="1"/>
  <c r="N210" i="1"/>
  <c r="U213" i="1"/>
  <c r="K214" i="1"/>
  <c r="AC214" i="1"/>
  <c r="I218" i="1"/>
  <c r="AB218" i="1"/>
  <c r="H220" i="1"/>
  <c r="AA220" i="1"/>
  <c r="Z222" i="1"/>
  <c r="O223" i="1"/>
  <c r="F224" i="1"/>
  <c r="X224" i="1"/>
  <c r="O225" i="1"/>
  <c r="Z226" i="1"/>
  <c r="AA228" i="1"/>
  <c r="I230" i="1"/>
  <c r="AB230" i="1"/>
  <c r="S231" i="1"/>
  <c r="L234" i="1"/>
  <c r="O236" i="1"/>
  <c r="G237" i="1"/>
  <c r="AB237" i="1"/>
  <c r="S238" i="1"/>
  <c r="W240" i="1"/>
  <c r="AC242" i="1"/>
  <c r="N244" i="1"/>
  <c r="AB245" i="1"/>
  <c r="S246" i="1"/>
  <c r="K247" i="1"/>
  <c r="Y248" i="1"/>
  <c r="I250" i="1"/>
  <c r="AE250" i="1"/>
  <c r="P252" i="1"/>
  <c r="AB253" i="1"/>
  <c r="N259" i="1"/>
  <c r="J260" i="1"/>
  <c r="T262" i="1"/>
  <c r="P263" i="1"/>
  <c r="AA265" i="1"/>
  <c r="W266" i="1"/>
  <c r="I269" i="1"/>
  <c r="AE270" i="1"/>
  <c r="AB271" i="1"/>
  <c r="AB125" i="1"/>
  <c r="N126" i="1"/>
  <c r="N127" i="1"/>
  <c r="O128" i="1"/>
  <c r="O129" i="1"/>
  <c r="O130" i="1"/>
  <c r="P131" i="1"/>
  <c r="P132" i="1"/>
  <c r="P133" i="1"/>
  <c r="Q134" i="1"/>
  <c r="Q135" i="1"/>
  <c r="Q136" i="1"/>
  <c r="R137" i="1"/>
  <c r="R138" i="1"/>
  <c r="R139" i="1"/>
  <c r="F143" i="1"/>
  <c r="F144" i="1"/>
  <c r="F145" i="1"/>
  <c r="G146" i="1"/>
  <c r="G147" i="1"/>
  <c r="G148" i="1"/>
  <c r="H149" i="1"/>
  <c r="H150" i="1"/>
  <c r="H151" i="1"/>
  <c r="I152" i="1"/>
  <c r="I153" i="1"/>
  <c r="X153" i="1"/>
  <c r="X154" i="1"/>
  <c r="Y155" i="1"/>
  <c r="Y156" i="1"/>
  <c r="Y157" i="1"/>
  <c r="Z158" i="1"/>
  <c r="Z159" i="1"/>
  <c r="Z160" i="1"/>
  <c r="AA161" i="1"/>
  <c r="AA162" i="1"/>
  <c r="AA163" i="1"/>
  <c r="AB164" i="1"/>
  <c r="AB165" i="1"/>
  <c r="AB166" i="1"/>
  <c r="O167" i="1"/>
  <c r="O168" i="1"/>
  <c r="O169" i="1"/>
  <c r="P170" i="1"/>
  <c r="P171" i="1"/>
  <c r="P172" i="1"/>
  <c r="Q173" i="1"/>
  <c r="Q174" i="1"/>
  <c r="G178" i="1"/>
  <c r="V178" i="1"/>
  <c r="I179" i="1"/>
  <c r="X179" i="1"/>
  <c r="J180" i="1"/>
  <c r="Y180" i="1"/>
  <c r="AE184" i="1"/>
  <c r="R185" i="1"/>
  <c r="S186" i="1"/>
  <c r="T187" i="1"/>
  <c r="J190" i="1"/>
  <c r="O192" i="1"/>
  <c r="AE192" i="1"/>
  <c r="W195" i="1"/>
  <c r="Y196" i="1"/>
  <c r="O198" i="1"/>
  <c r="S199" i="1"/>
  <c r="AB201" i="1"/>
  <c r="I204" i="1"/>
  <c r="Z204" i="1"/>
  <c r="U206" i="1"/>
  <c r="O208" i="1"/>
  <c r="W212" i="1"/>
  <c r="K213" i="1"/>
  <c r="AB213" i="1"/>
  <c r="G215" i="1"/>
  <c r="S217" i="1"/>
  <c r="G218" i="1"/>
  <c r="H221" i="1"/>
  <c r="T223" i="1"/>
  <c r="I224" i="1"/>
  <c r="AA224" i="1"/>
  <c r="P225" i="1"/>
  <c r="L230" i="1"/>
  <c r="AD230" i="1"/>
  <c r="R231" i="1"/>
  <c r="M233" i="1"/>
  <c r="H235" i="1"/>
  <c r="AA235" i="1"/>
  <c r="R236" i="1"/>
  <c r="X237" i="1"/>
  <c r="N238" i="1"/>
  <c r="V239" i="1"/>
  <c r="AD242" i="1"/>
  <c r="T243" i="1"/>
  <c r="AA246" i="1"/>
  <c r="Q247" i="1"/>
  <c r="Z248" i="1"/>
  <c r="X250" i="1"/>
  <c r="X252" i="1"/>
  <c r="M253" i="1"/>
  <c r="Y254" i="1"/>
  <c r="O255" i="1"/>
  <c r="G256" i="1"/>
  <c r="AA256" i="1"/>
  <c r="R257" i="1"/>
  <c r="O260" i="1"/>
  <c r="R262" i="1"/>
  <c r="AE263" i="1"/>
  <c r="W264" i="1"/>
  <c r="P265" i="1"/>
  <c r="AC266" i="1"/>
  <c r="W270" i="1"/>
  <c r="R271" i="1"/>
  <c r="AE183" i="1"/>
  <c r="V187" i="1"/>
  <c r="I188" i="1"/>
  <c r="X188" i="1"/>
  <c r="J189" i="1"/>
  <c r="Y189" i="1"/>
  <c r="AA190" i="1"/>
  <c r="AD191" i="1"/>
  <c r="Q192" i="1"/>
  <c r="S193" i="1"/>
  <c r="I195" i="1"/>
  <c r="K196" i="1"/>
  <c r="AD197" i="1"/>
  <c r="Q198" i="1"/>
  <c r="H200" i="1"/>
  <c r="M201" i="1"/>
  <c r="Q202" i="1"/>
  <c r="W203" i="1"/>
  <c r="K204" i="1"/>
  <c r="AB204" i="1"/>
  <c r="W206" i="1"/>
  <c r="K207" i="1"/>
  <c r="Q208" i="1"/>
  <c r="G209" i="1"/>
  <c r="X209" i="1"/>
  <c r="L210" i="1"/>
  <c r="AD210" i="1"/>
  <c r="R211" i="1"/>
  <c r="G212" i="1"/>
  <c r="I215" i="1"/>
  <c r="Z215" i="1"/>
  <c r="Z218" i="1"/>
  <c r="O219" i="1"/>
  <c r="U220" i="1"/>
  <c r="AB221" i="1"/>
  <c r="P222" i="1"/>
  <c r="K224" i="1"/>
  <c r="F226" i="1"/>
  <c r="X226" i="1"/>
  <c r="AD227" i="1"/>
  <c r="R228" i="1"/>
  <c r="F229" i="1"/>
  <c r="T231" i="1"/>
  <c r="I232" i="1"/>
  <c r="Z232" i="1"/>
  <c r="U234" i="1"/>
  <c r="K235" i="1"/>
  <c r="AC235" i="1"/>
  <c r="H237" i="1"/>
  <c r="AA237" i="1"/>
  <c r="P238" i="1"/>
  <c r="F239" i="1"/>
  <c r="N240" i="1"/>
  <c r="V241" i="1"/>
  <c r="M242" i="1"/>
  <c r="V243" i="1"/>
  <c r="AD244" i="1"/>
  <c r="J246" i="1"/>
  <c r="I248" i="1"/>
  <c r="AB248" i="1"/>
  <c r="R249" i="1"/>
  <c r="Z250" i="1"/>
  <c r="Q255" i="1"/>
  <c r="I256" i="1"/>
  <c r="V257" i="1"/>
  <c r="Q260" i="1"/>
  <c r="J266" i="1"/>
  <c r="Z270" i="1"/>
  <c r="F225" i="1"/>
  <c r="W225" i="1"/>
  <c r="AC226" i="1"/>
  <c r="F228" i="1"/>
  <c r="AD229" i="1"/>
  <c r="AE232" i="1"/>
  <c r="Q235" i="1"/>
  <c r="G236" i="1"/>
  <c r="Y236" i="1"/>
  <c r="N237" i="1"/>
  <c r="L239" i="1"/>
  <c r="I241" i="1"/>
  <c r="S242" i="1"/>
  <c r="P246" i="1"/>
  <c r="F247" i="1"/>
  <c r="Y247" i="1"/>
  <c r="W249" i="1"/>
  <c r="W251" i="1"/>
  <c r="V253" i="1"/>
  <c r="H257" i="1"/>
  <c r="AA257" i="1"/>
  <c r="S258" i="1"/>
  <c r="K259" i="1"/>
  <c r="V260" i="1"/>
  <c r="F262" i="1"/>
  <c r="Z262" i="1"/>
  <c r="S263" i="1"/>
  <c r="X265" i="1"/>
  <c r="X268" i="1"/>
  <c r="P269" i="1"/>
  <c r="Z271" i="1"/>
  <c r="M190" i="1"/>
  <c r="AB191" i="1"/>
  <c r="AB192" i="1"/>
  <c r="AB193" i="1"/>
  <c r="AC194" i="1"/>
  <c r="O195" i="1"/>
  <c r="O196" i="1"/>
  <c r="P197" i="1"/>
  <c r="P198" i="1"/>
  <c r="P199" i="1"/>
  <c r="Q200" i="1"/>
  <c r="R201" i="1"/>
  <c r="S202" i="1"/>
  <c r="F203" i="1"/>
  <c r="U203" i="1"/>
  <c r="G204" i="1"/>
  <c r="V204" i="1"/>
  <c r="I205" i="1"/>
  <c r="L206" i="1"/>
  <c r="AD207" i="1"/>
  <c r="G210" i="1"/>
  <c r="I211" i="1"/>
  <c r="L212" i="1"/>
  <c r="N213" i="1"/>
  <c r="Q214" i="1"/>
  <c r="T215" i="1"/>
  <c r="V216" i="1"/>
  <c r="I217" i="1"/>
  <c r="AA218" i="1"/>
  <c r="N219" i="1"/>
  <c r="P220" i="1"/>
  <c r="F222" i="1"/>
  <c r="H223" i="1"/>
  <c r="N225" i="1"/>
  <c r="P226" i="1"/>
  <c r="S227" i="1"/>
  <c r="V228" i="1"/>
  <c r="X229" i="1"/>
  <c r="AA230" i="1"/>
  <c r="P232" i="1"/>
  <c r="F234" i="1"/>
  <c r="V234" i="1"/>
  <c r="Z235" i="1"/>
  <c r="N236" i="1"/>
  <c r="AD236" i="1"/>
  <c r="R237" i="1"/>
  <c r="U238" i="1"/>
  <c r="I239" i="1"/>
  <c r="Y239" i="1"/>
  <c r="M240" i="1"/>
  <c r="AD240" i="1"/>
  <c r="W242" i="1"/>
  <c r="AB243" i="1"/>
  <c r="U245" i="1"/>
  <c r="N247" i="1"/>
  <c r="S248" i="1"/>
  <c r="L250" i="1"/>
  <c r="AC250" i="1"/>
  <c r="Q251" i="1"/>
  <c r="V252" i="1"/>
  <c r="Z253" i="1"/>
  <c r="O254" i="1"/>
  <c r="L256" i="1"/>
  <c r="U257" i="1"/>
  <c r="J258" i="1"/>
  <c r="F260" i="1"/>
  <c r="Z260" i="1"/>
  <c r="O261" i="1"/>
  <c r="L263" i="1"/>
  <c r="U264" i="1"/>
  <c r="J265" i="1"/>
  <c r="AD265" i="1"/>
  <c r="K267" i="1"/>
  <c r="K269" i="1"/>
  <c r="AE269" i="1"/>
  <c r="V270" i="1"/>
  <c r="X204" i="1"/>
  <c r="Z205" i="1"/>
  <c r="N206" i="1"/>
  <c r="P207" i="1"/>
  <c r="R208" i="1"/>
  <c r="V209" i="1"/>
  <c r="X210" i="1"/>
  <c r="Z211" i="1"/>
  <c r="AC212" i="1"/>
  <c r="P213" i="1"/>
  <c r="F215" i="1"/>
  <c r="H216" i="1"/>
  <c r="X216" i="1"/>
  <c r="Z217" i="1"/>
  <c r="M218" i="1"/>
  <c r="AC218" i="1"/>
  <c r="AE219" i="1"/>
  <c r="U221" i="1"/>
  <c r="W222" i="1"/>
  <c r="Z223" i="1"/>
  <c r="AC224" i="1"/>
  <c r="AE225" i="1"/>
  <c r="H228" i="1"/>
  <c r="J229" i="1"/>
  <c r="M230" i="1"/>
  <c r="AC230" i="1"/>
  <c r="AE231" i="1"/>
  <c r="U233" i="1"/>
  <c r="X234" i="1"/>
  <c r="O240" i="1"/>
  <c r="H242" i="1"/>
  <c r="M243" i="1"/>
  <c r="F245" i="1"/>
  <c r="AB246" i="1"/>
  <c r="Z249" i="1"/>
  <c r="S251" i="1"/>
  <c r="G252" i="1"/>
  <c r="K253" i="1"/>
  <c r="Y255" i="1"/>
  <c r="W257" i="1"/>
  <c r="AC258" i="1"/>
  <c r="R259" i="1"/>
  <c r="X262" i="1"/>
  <c r="N263" i="1"/>
  <c r="W268" i="1"/>
  <c r="O175" i="1"/>
  <c r="AC175" i="1"/>
  <c r="O176" i="1"/>
  <c r="AC176" i="1"/>
  <c r="N177" i="1"/>
  <c r="AB177" i="1"/>
  <c r="M178" i="1"/>
  <c r="AA178" i="1"/>
  <c r="M179" i="1"/>
  <c r="AA179" i="1"/>
  <c r="L180" i="1"/>
  <c r="Z180" i="1"/>
  <c r="K181" i="1"/>
  <c r="Y181" i="1"/>
  <c r="K182" i="1"/>
  <c r="Y182" i="1"/>
  <c r="J183" i="1"/>
  <c r="X183" i="1"/>
  <c r="I184" i="1"/>
  <c r="W184" i="1"/>
  <c r="I185" i="1"/>
  <c r="W185" i="1"/>
  <c r="H186" i="1"/>
  <c r="V186" i="1"/>
  <c r="G187" i="1"/>
  <c r="U187" i="1"/>
  <c r="G188" i="1"/>
  <c r="U188" i="1"/>
  <c r="F189" i="1"/>
  <c r="T189" i="1"/>
  <c r="T190" i="1"/>
  <c r="F191" i="1"/>
  <c r="F192" i="1"/>
  <c r="F193" i="1"/>
  <c r="G194" i="1"/>
  <c r="G195" i="1"/>
  <c r="G196" i="1"/>
  <c r="H197" i="1"/>
  <c r="H198" i="1"/>
  <c r="H199" i="1"/>
  <c r="I200" i="1"/>
  <c r="K202" i="1"/>
  <c r="P205" i="1"/>
  <c r="S206" i="1"/>
  <c r="F207" i="1"/>
  <c r="V207" i="1"/>
  <c r="X208" i="1"/>
  <c r="AA209" i="1"/>
  <c r="P211" i="1"/>
  <c r="F213" i="1"/>
  <c r="X214" i="1"/>
  <c r="AA215" i="1"/>
  <c r="AC216" i="1"/>
  <c r="P217" i="1"/>
  <c r="S218" i="1"/>
  <c r="U219" i="1"/>
  <c r="W220" i="1"/>
  <c r="K221" i="1"/>
  <c r="AA221" i="1"/>
  <c r="AC222" i="1"/>
  <c r="AE223" i="1"/>
  <c r="U225" i="1"/>
  <c r="K227" i="1"/>
  <c r="AC228" i="1"/>
  <c r="AE229" i="1"/>
  <c r="U231" i="1"/>
  <c r="K233" i="1"/>
  <c r="AD234" i="1"/>
  <c r="Y237" i="1"/>
  <c r="AC238" i="1"/>
  <c r="Q239" i="1"/>
  <c r="H241" i="1"/>
  <c r="N242" i="1"/>
  <c r="S243" i="1"/>
  <c r="L245" i="1"/>
  <c r="AC245" i="1"/>
  <c r="U247" i="1"/>
  <c r="AA248" i="1"/>
  <c r="O249" i="1"/>
  <c r="H251" i="1"/>
  <c r="L252" i="1"/>
  <c r="AC252" i="1"/>
  <c r="G254" i="1"/>
  <c r="M255" i="1"/>
  <c r="U256" i="1"/>
  <c r="R258" i="1"/>
  <c r="P260" i="1"/>
  <c r="AE262" i="1"/>
  <c r="U263" i="1"/>
  <c r="K264" i="1"/>
  <c r="AD264" i="1"/>
  <c r="T265" i="1"/>
  <c r="AD266" i="1"/>
  <c r="T267" i="1"/>
  <c r="AD268" i="1"/>
  <c r="W271" i="1"/>
  <c r="K201" i="1"/>
  <c r="Z201" i="1"/>
  <c r="Z202" i="1"/>
  <c r="AA203" i="1"/>
  <c r="AA204" i="1"/>
  <c r="AA205" i="1"/>
  <c r="AB206" i="1"/>
  <c r="AB207" i="1"/>
  <c r="AB208" i="1"/>
  <c r="AC209" i="1"/>
  <c r="AC210" i="1"/>
  <c r="AC211" i="1"/>
  <c r="AD212" i="1"/>
  <c r="AD213" i="1"/>
  <c r="AD214" i="1"/>
  <c r="Q215" i="1"/>
  <c r="Q216" i="1"/>
  <c r="Q217" i="1"/>
  <c r="R218" i="1"/>
  <c r="R219" i="1"/>
  <c r="R220" i="1"/>
  <c r="S221" i="1"/>
  <c r="S222" i="1"/>
  <c r="S223" i="1"/>
  <c r="T224" i="1"/>
  <c r="T225" i="1"/>
  <c r="T226" i="1"/>
  <c r="U227" i="1"/>
  <c r="U228" i="1"/>
  <c r="G229" i="1"/>
  <c r="H230" i="1"/>
  <c r="H231" i="1"/>
  <c r="H232" i="1"/>
  <c r="I233" i="1"/>
  <c r="I234" i="1"/>
  <c r="I235" i="1"/>
  <c r="J236" i="1"/>
  <c r="J237" i="1"/>
  <c r="J238" i="1"/>
  <c r="K239" i="1"/>
  <c r="K240" i="1"/>
  <c r="Z240" i="1"/>
  <c r="L241" i="1"/>
  <c r="W248" i="1"/>
  <c r="I249" i="1"/>
  <c r="X249" i="1"/>
  <c r="J250" i="1"/>
  <c r="Y250" i="1"/>
  <c r="L251" i="1"/>
  <c r="AA251" i="1"/>
  <c r="M252" i="1"/>
  <c r="AB252" i="1"/>
  <c r="N253" i="1"/>
  <c r="AC253" i="1"/>
  <c r="Q254" i="1"/>
  <c r="U255" i="1"/>
  <c r="H256" i="1"/>
  <c r="X256" i="1"/>
  <c r="L257" i="1"/>
  <c r="AB257" i="1"/>
  <c r="O258" i="1"/>
  <c r="W260" i="1"/>
  <c r="AA261" i="1"/>
  <c r="T263" i="1"/>
  <c r="X264" i="1"/>
  <c r="L265" i="1"/>
  <c r="R266" i="1"/>
  <c r="F267" i="1"/>
  <c r="W267" i="1"/>
  <c r="K268" i="1"/>
  <c r="H270" i="1"/>
  <c r="Y234" i="1"/>
  <c r="Y235" i="1"/>
  <c r="Z236" i="1"/>
  <c r="Z237" i="1"/>
  <c r="Z238" i="1"/>
  <c r="AA239" i="1"/>
  <c r="AB240" i="1"/>
  <c r="N241" i="1"/>
  <c r="AC241" i="1"/>
  <c r="P242" i="1"/>
  <c r="AE242" i="1"/>
  <c r="Q243" i="1"/>
  <c r="R244" i="1"/>
  <c r="T245" i="1"/>
  <c r="F246" i="1"/>
  <c r="U246" i="1"/>
  <c r="G247" i="1"/>
  <c r="V247" i="1"/>
  <c r="AD252" i="1"/>
  <c r="P253" i="1"/>
  <c r="AE253" i="1"/>
  <c r="S254" i="1"/>
  <c r="Q258" i="1"/>
  <c r="T259" i="1"/>
  <c r="Y260" i="1"/>
  <c r="AC261" i="1"/>
  <c r="I264" i="1"/>
  <c r="Z264" i="1"/>
  <c r="AE265" i="1"/>
  <c r="U269" i="1"/>
  <c r="AA270" i="1"/>
  <c r="Q271" i="1"/>
  <c r="F209" i="1"/>
  <c r="U209" i="1"/>
  <c r="U210" i="1"/>
  <c r="U211" i="1"/>
  <c r="V212" i="1"/>
  <c r="V213" i="1"/>
  <c r="V214" i="1"/>
  <c r="W215" i="1"/>
  <c r="W216" i="1"/>
  <c r="W217" i="1"/>
  <c r="X218" i="1"/>
  <c r="X219" i="1"/>
  <c r="X220" i="1"/>
  <c r="Y221" i="1"/>
  <c r="Y222" i="1"/>
  <c r="K223" i="1"/>
  <c r="L224" i="1"/>
  <c r="L225" i="1"/>
  <c r="L226" i="1"/>
  <c r="M227" i="1"/>
  <c r="M228" i="1"/>
  <c r="M229" i="1"/>
  <c r="N230" i="1"/>
  <c r="N231" i="1"/>
  <c r="N232" i="1"/>
  <c r="O233" i="1"/>
  <c r="O234" i="1"/>
  <c r="O235" i="1"/>
  <c r="P236" i="1"/>
  <c r="AE236" i="1"/>
  <c r="AE237" i="1"/>
  <c r="AE238" i="1"/>
  <c r="Y245" i="1"/>
  <c r="K246" i="1"/>
  <c r="Z246" i="1"/>
  <c r="L247" i="1"/>
  <c r="AA247" i="1"/>
  <c r="T252" i="1"/>
  <c r="F253" i="1"/>
  <c r="U253" i="1"/>
  <c r="X254" i="1"/>
  <c r="K255" i="1"/>
  <c r="AA255" i="1"/>
  <c r="N256" i="1"/>
  <c r="AD256" i="1"/>
  <c r="W258" i="1"/>
  <c r="J259" i="1"/>
  <c r="Z259" i="1"/>
  <c r="N260" i="1"/>
  <c r="U262" i="1"/>
  <c r="J263" i="1"/>
  <c r="O264" i="1"/>
  <c r="Y266" i="1"/>
  <c r="T268" i="1"/>
  <c r="V271" i="1"/>
  <c r="AD254" i="1"/>
  <c r="P255" i="1"/>
  <c r="AE255" i="1"/>
  <c r="U258" i="1"/>
  <c r="G259" i="1"/>
  <c r="V259" i="1"/>
  <c r="I260" i="1"/>
  <c r="X260" i="1"/>
  <c r="J261" i="1"/>
  <c r="Y261" i="1"/>
  <c r="K262" i="1"/>
  <c r="Q264" i="1"/>
  <c r="S265" i="1"/>
  <c r="V266" i="1"/>
  <c r="I267" i="1"/>
  <c r="Y267" i="1"/>
  <c r="L268" i="1"/>
  <c r="AC268" i="1"/>
  <c r="U270" i="1"/>
  <c r="Y271" i="1"/>
  <c r="Y240" i="1"/>
  <c r="Y241" i="1"/>
  <c r="Z242" i="1"/>
  <c r="L243" i="1"/>
  <c r="L244" i="1"/>
  <c r="M245" i="1"/>
  <c r="M246" i="1"/>
  <c r="M247" i="1"/>
  <c r="N248" i="1"/>
  <c r="N249" i="1"/>
  <c r="N250" i="1"/>
  <c r="O251" i="1"/>
  <c r="O252" i="1"/>
  <c r="O253" i="1"/>
  <c r="R255" i="1"/>
  <c r="S256" i="1"/>
  <c r="M262" i="1"/>
  <c r="H266" i="1"/>
  <c r="N268" i="1"/>
  <c r="R269" i="1"/>
  <c r="F270" i="1"/>
  <c r="J271" i="1"/>
  <c r="F257" i="1"/>
  <c r="F258" i="1"/>
  <c r="F259" i="1"/>
  <c r="G260" i="1"/>
  <c r="G261" i="1"/>
  <c r="G262" i="1"/>
  <c r="V262" i="1"/>
  <c r="I263" i="1"/>
  <c r="X263" i="1"/>
  <c r="J264" i="1"/>
  <c r="Y264" i="1"/>
  <c r="K265" i="1"/>
  <c r="Z265" i="1"/>
  <c r="M266" i="1"/>
  <c r="O267" i="1"/>
  <c r="R268" i="1"/>
  <c r="AA271" i="1"/>
  <c r="AA269" i="1"/>
  <c r="M270" i="1"/>
  <c r="O271" i="1"/>
  <c r="AD271" i="1"/>
  <c r="AA262" i="1"/>
  <c r="AB263" i="1"/>
  <c r="AB264" i="1"/>
  <c r="N265" i="1"/>
  <c r="O266" i="1"/>
  <c r="P267" i="1"/>
  <c r="AE267" i="1"/>
  <c r="Q268" i="1"/>
  <c r="S269" i="1"/>
  <c r="T270" i="1"/>
  <c r="F271" i="1"/>
  <c r="U271" i="1"/>
  <c r="M267" i="1"/>
  <c r="M268" i="1"/>
  <c r="N269" i="1"/>
  <c r="AC269" i="1"/>
  <c r="AC270" i="1"/>
  <c r="AC271" i="1"/>
  <c r="B6" i="26"/>
  <c r="G4" i="92"/>
  <c r="G3" i="4"/>
  <c r="F4" i="4"/>
  <c r="G2" i="92"/>
  <c r="F2" i="92"/>
  <c r="F4" i="92"/>
  <c r="F3" i="9"/>
  <c r="D1" i="35"/>
  <c r="C1" i="35"/>
  <c r="B2" i="35"/>
  <c r="F3" i="92"/>
  <c r="F3" i="11"/>
  <c r="G4" i="3"/>
  <c r="F2" i="5"/>
  <c r="F4" i="3"/>
  <c r="F4" i="91"/>
  <c r="G3" i="92"/>
  <c r="G2" i="6"/>
  <c r="B6" i="6" s="1"/>
  <c r="F3" i="6"/>
  <c r="G2" i="15"/>
  <c r="B2" i="21"/>
  <c r="C1" i="21"/>
  <c r="D1" i="21"/>
  <c r="B6" i="45"/>
  <c r="F3" i="5"/>
  <c r="G2" i="5"/>
  <c r="F2" i="6"/>
  <c r="F3" i="28"/>
  <c r="F3" i="3"/>
  <c r="F2" i="9"/>
  <c r="B4" i="9" s="1"/>
  <c r="G2" i="9"/>
  <c r="B6" i="9" s="1"/>
  <c r="B2" i="87"/>
  <c r="D1" i="87"/>
  <c r="C1" i="87"/>
  <c r="M12" i="2"/>
  <c r="S13" i="2" s="1"/>
  <c r="G3" i="6"/>
  <c r="G2" i="16"/>
  <c r="F3" i="16"/>
  <c r="G4" i="10"/>
  <c r="B2" i="16"/>
  <c r="C1" i="16"/>
  <c r="D1" i="16"/>
  <c r="F2" i="12"/>
  <c r="F4" i="14"/>
  <c r="F2" i="20"/>
  <c r="D1" i="9"/>
  <c r="C1" i="9"/>
  <c r="B2" i="9"/>
  <c r="F3" i="19"/>
  <c r="B6" i="37"/>
  <c r="B4" i="38"/>
  <c r="B6" i="18"/>
  <c r="G2" i="7"/>
  <c r="B6" i="7" s="1"/>
  <c r="G2" i="8"/>
  <c r="B6" i="8" s="1"/>
  <c r="F3" i="12"/>
  <c r="F4" i="17"/>
  <c r="G2" i="19"/>
  <c r="F2" i="63"/>
  <c r="F4" i="15"/>
  <c r="F2" i="18"/>
  <c r="B4" i="18" s="1"/>
  <c r="F4" i="20"/>
  <c r="G4" i="5"/>
  <c r="C1" i="14"/>
  <c r="B2" i="14"/>
  <c r="D1" i="14"/>
  <c r="F2" i="41"/>
  <c r="G2" i="41"/>
  <c r="B6" i="41" s="1"/>
  <c r="F4" i="41"/>
  <c r="C1" i="5"/>
  <c r="B2" i="5"/>
  <c r="D1" i="5"/>
  <c r="G4" i="7"/>
  <c r="F3" i="10"/>
  <c r="B4" i="10" s="1"/>
  <c r="F2" i="11"/>
  <c r="F4" i="11"/>
  <c r="F4" i="5"/>
  <c r="B2" i="7"/>
  <c r="C1" i="12"/>
  <c r="B2" i="12"/>
  <c r="D1" i="12"/>
  <c r="F2" i="15"/>
  <c r="F2" i="25"/>
  <c r="B4" i="25" s="1"/>
  <c r="F4" i="31"/>
  <c r="F3" i="22"/>
  <c r="F3" i="59"/>
  <c r="G3" i="16"/>
  <c r="F4" i="21"/>
  <c r="D1" i="30"/>
  <c r="C1" i="30"/>
  <c r="F3" i="31"/>
  <c r="D1" i="15"/>
  <c r="C1" i="15"/>
  <c r="B2" i="15"/>
  <c r="B6" i="53"/>
  <c r="O12" i="2"/>
  <c r="G4" i="12"/>
  <c r="D1" i="68"/>
  <c r="C1" i="68"/>
  <c r="G4" i="20"/>
  <c r="F2" i="13"/>
  <c r="F3" i="13"/>
  <c r="F3" i="45"/>
  <c r="G2" i="3"/>
  <c r="B6" i="3" s="1"/>
  <c r="D6" i="3" s="1"/>
  <c r="F4" i="6"/>
  <c r="F3" i="20"/>
  <c r="G3" i="20"/>
  <c r="G4" i="28"/>
  <c r="F3" i="44"/>
  <c r="G2" i="17"/>
  <c r="C1" i="22"/>
  <c r="B2" i="22"/>
  <c r="G2" i="33"/>
  <c r="F3" i="33"/>
  <c r="G3" i="33"/>
  <c r="F2" i="4"/>
  <c r="F3" i="15"/>
  <c r="B2" i="41"/>
  <c r="D1" i="41"/>
  <c r="C1" i="41"/>
  <c r="D1" i="60"/>
  <c r="C1" i="60"/>
  <c r="B2" i="60"/>
  <c r="G2" i="11"/>
  <c r="F2" i="8"/>
  <c r="G2" i="10"/>
  <c r="B6" i="10" s="1"/>
  <c r="D1" i="19"/>
  <c r="C1" i="19"/>
  <c r="B2" i="19"/>
  <c r="D1" i="43"/>
  <c r="C1" i="43"/>
  <c r="B2" i="43"/>
  <c r="G3" i="40"/>
  <c r="C1" i="46"/>
  <c r="B2" i="46"/>
  <c r="D1" i="46"/>
  <c r="G2" i="34"/>
  <c r="D1" i="63"/>
  <c r="C1" i="63"/>
  <c r="B2" i="63"/>
  <c r="C1" i="74"/>
  <c r="B2" i="74"/>
  <c r="D1" i="74"/>
  <c r="G3" i="3"/>
  <c r="F3" i="8"/>
  <c r="G2" i="12"/>
  <c r="B6" i="12" s="1"/>
  <c r="G2" i="57"/>
  <c r="B6" i="57" s="1"/>
  <c r="F2" i="69"/>
  <c r="F2" i="3"/>
  <c r="B4" i="3" s="1"/>
  <c r="D4" i="3" s="1"/>
  <c r="F2" i="14"/>
  <c r="F3" i="14"/>
  <c r="G4" i="18"/>
  <c r="F4" i="26"/>
  <c r="F3" i="32"/>
  <c r="F4" i="58"/>
  <c r="F2" i="75"/>
  <c r="B2" i="76"/>
  <c r="C1" i="76"/>
  <c r="D1" i="76"/>
  <c r="G3" i="5"/>
  <c r="G4" i="6"/>
  <c r="G2" i="28"/>
  <c r="F3" i="39"/>
  <c r="G3" i="39"/>
  <c r="F4" i="39"/>
  <c r="G2" i="38"/>
  <c r="B6" i="38" s="1"/>
  <c r="F2" i="43"/>
  <c r="B4" i="43" s="1"/>
  <c r="B2" i="45"/>
  <c r="D1" i="45"/>
  <c r="C1" i="45"/>
  <c r="D1" i="31"/>
  <c r="C1" i="31"/>
  <c r="B2" i="31"/>
  <c r="C1" i="4"/>
  <c r="F2" i="32"/>
  <c r="B4" i="32" s="1"/>
  <c r="G2" i="32"/>
  <c r="F2" i="47"/>
  <c r="D1" i="91"/>
  <c r="C1" i="91"/>
  <c r="B2" i="91"/>
  <c r="G3" i="7"/>
  <c r="F4" i="7"/>
  <c r="G3" i="31"/>
  <c r="G2" i="35"/>
  <c r="B6" i="35" s="1"/>
  <c r="F4" i="69"/>
  <c r="F3" i="89"/>
  <c r="F2" i="30"/>
  <c r="B4" i="30" s="1"/>
  <c r="G2" i="55"/>
  <c r="F4" i="63"/>
  <c r="G3" i="9"/>
  <c r="F4" i="16"/>
  <c r="F2" i="22"/>
  <c r="G3" i="43"/>
  <c r="B6" i="43" s="1"/>
  <c r="G4" i="55"/>
  <c r="G3" i="56"/>
  <c r="G3" i="8"/>
  <c r="B2" i="10"/>
  <c r="D1" i="10"/>
  <c r="F2" i="16"/>
  <c r="B4" i="16" s="1"/>
  <c r="G4" i="27"/>
  <c r="F2" i="31"/>
  <c r="B6" i="50"/>
  <c r="F3" i="4"/>
  <c r="F2" i="7"/>
  <c r="B4" i="7" s="1"/>
  <c r="G3" i="28"/>
  <c r="F4" i="28"/>
  <c r="G2" i="30"/>
  <c r="B6" i="30" s="1"/>
  <c r="F2" i="77"/>
  <c r="B4" i="77" s="1"/>
  <c r="C1" i="17"/>
  <c r="B2" i="17"/>
  <c r="D1" i="17"/>
  <c r="F4" i="70"/>
  <c r="G4" i="19"/>
  <c r="G3" i="25"/>
  <c r="F2" i="35"/>
  <c r="B4" i="35" s="1"/>
  <c r="F2" i="36"/>
  <c r="B4" i="36" s="1"/>
  <c r="F4" i="44"/>
  <c r="B2" i="86"/>
  <c r="G3" i="23"/>
  <c r="F3" i="24"/>
  <c r="F3" i="40"/>
  <c r="G3" i="82"/>
  <c r="G3" i="65"/>
  <c r="G4" i="65"/>
  <c r="U12" i="2"/>
  <c r="G4" i="4"/>
  <c r="G2" i="14"/>
  <c r="B6" i="14" s="1"/>
  <c r="G3" i="18"/>
  <c r="G4" i="33"/>
  <c r="F3" i="62"/>
  <c r="G2" i="29"/>
  <c r="G2" i="36"/>
  <c r="G4" i="46"/>
  <c r="G3" i="63"/>
  <c r="F2" i="71"/>
  <c r="G2" i="79"/>
  <c r="B2" i="90"/>
  <c r="D1" i="90"/>
  <c r="C1" i="90"/>
  <c r="G2" i="20"/>
  <c r="D1" i="32"/>
  <c r="C1" i="32"/>
  <c r="F2" i="34"/>
  <c r="F3" i="34"/>
  <c r="F4" i="34"/>
  <c r="B6" i="74"/>
  <c r="G2" i="4"/>
  <c r="G2" i="23"/>
  <c r="F2" i="24"/>
  <c r="F2" i="26"/>
  <c r="G4" i="31"/>
  <c r="B2" i="32"/>
  <c r="G2" i="42"/>
  <c r="G3" i="45"/>
  <c r="F3" i="46"/>
  <c r="F4" i="51"/>
  <c r="G4" i="51"/>
  <c r="F4" i="57"/>
  <c r="F4" i="85"/>
  <c r="D1" i="57"/>
  <c r="C1" i="57"/>
  <c r="B2" i="57"/>
  <c r="G3" i="57"/>
  <c r="G4" i="57"/>
  <c r="G3" i="81"/>
  <c r="B6" i="81" s="1"/>
  <c r="G3" i="52"/>
  <c r="B6" i="52" s="1"/>
  <c r="F4" i="52"/>
  <c r="B4" i="60"/>
  <c r="F3" i="57"/>
  <c r="B4" i="57" s="1"/>
  <c r="D1" i="66"/>
  <c r="C1" i="66"/>
  <c r="B2" i="66"/>
  <c r="F2" i="68"/>
  <c r="G3" i="17"/>
  <c r="F2" i="27"/>
  <c r="B4" i="27" s="1"/>
  <c r="G2" i="27"/>
  <c r="F3" i="36"/>
  <c r="G3" i="36"/>
  <c r="B2" i="50"/>
  <c r="D1" i="50"/>
  <c r="C1" i="50"/>
  <c r="G3" i="51"/>
  <c r="G4" i="56"/>
  <c r="G4" i="62"/>
  <c r="G3" i="70"/>
  <c r="F4" i="74"/>
  <c r="B4" i="74" s="1"/>
  <c r="G4" i="86"/>
  <c r="G4" i="32"/>
  <c r="D1" i="49"/>
  <c r="C1" i="49"/>
  <c r="F4" i="56"/>
  <c r="F2" i="59"/>
  <c r="F2" i="83"/>
  <c r="G4" i="29"/>
  <c r="G3" i="47"/>
  <c r="G2" i="86"/>
  <c r="B2" i="8"/>
  <c r="G3" i="13"/>
  <c r="C1" i="29"/>
  <c r="D1" i="29"/>
  <c r="F4" i="47"/>
  <c r="G2" i="70"/>
  <c r="F3" i="80"/>
  <c r="G3" i="88"/>
  <c r="F3" i="47"/>
  <c r="F3" i="82"/>
  <c r="F4" i="78"/>
  <c r="F3" i="79"/>
  <c r="G3" i="79"/>
  <c r="F2" i="86"/>
  <c r="G2" i="13"/>
  <c r="G4" i="15"/>
  <c r="F2" i="19"/>
  <c r="G3" i="21"/>
  <c r="C1" i="26"/>
  <c r="D1" i="26"/>
  <c r="D1" i="38"/>
  <c r="C1" i="38"/>
  <c r="B2" i="38"/>
  <c r="G2" i="49"/>
  <c r="G4" i="59"/>
  <c r="G2" i="80"/>
  <c r="G4" i="21"/>
  <c r="G3" i="30"/>
  <c r="B4" i="39"/>
  <c r="F4" i="46"/>
  <c r="B4" i="46" s="1"/>
  <c r="G3" i="49"/>
  <c r="B2" i="59"/>
  <c r="D1" i="59"/>
  <c r="C1" i="59"/>
  <c r="G4" i="74"/>
  <c r="F3" i="77"/>
  <c r="C1" i="85"/>
  <c r="B2" i="85"/>
  <c r="F2" i="33"/>
  <c r="B4" i="33" s="1"/>
  <c r="F3" i="50"/>
  <c r="G3" i="50"/>
  <c r="F2" i="82"/>
  <c r="G2" i="82"/>
  <c r="F4" i="90"/>
  <c r="D1" i="71"/>
  <c r="C1" i="71"/>
  <c r="B2" i="71"/>
  <c r="F4" i="83"/>
  <c r="F2" i="85"/>
  <c r="G2" i="85"/>
  <c r="G4" i="64"/>
  <c r="F3" i="83"/>
  <c r="F3" i="84"/>
  <c r="G3" i="84"/>
  <c r="F2" i="90"/>
  <c r="F3" i="90"/>
  <c r="F2" i="17"/>
  <c r="B4" i="17" s="1"/>
  <c r="F2" i="21"/>
  <c r="B2" i="33"/>
  <c r="D1" i="33"/>
  <c r="C1" i="33"/>
  <c r="B2" i="34"/>
  <c r="G4" i="40"/>
  <c r="F4" i="42"/>
  <c r="F2" i="53"/>
  <c r="B4" i="53" s="1"/>
  <c r="F4" i="62"/>
  <c r="F2" i="66"/>
  <c r="B4" i="66" s="1"/>
  <c r="G2" i="66"/>
  <c r="B2" i="70"/>
  <c r="D1" i="70"/>
  <c r="C1" i="70"/>
  <c r="F2" i="84"/>
  <c r="G3" i="89"/>
  <c r="G2" i="22"/>
  <c r="B6" i="22" s="1"/>
  <c r="D1" i="27"/>
  <c r="C1" i="27"/>
  <c r="B2" i="27"/>
  <c r="G4" i="37"/>
  <c r="F4" i="54"/>
  <c r="G4" i="54"/>
  <c r="F2" i="58"/>
  <c r="B4" i="58" s="1"/>
  <c r="G3" i="62"/>
  <c r="F3" i="72"/>
  <c r="B4" i="72" s="1"/>
  <c r="G3" i="72"/>
  <c r="B6" i="72" s="1"/>
  <c r="F4" i="81"/>
  <c r="F4" i="37"/>
  <c r="G4" i="41"/>
  <c r="F4" i="61"/>
  <c r="G2" i="88"/>
  <c r="G3" i="19"/>
  <c r="F3" i="35"/>
  <c r="F3" i="27"/>
  <c r="F4" i="29"/>
  <c r="F4" i="38"/>
  <c r="G4" i="48"/>
  <c r="F2" i="55"/>
  <c r="G4" i="63"/>
  <c r="G4" i="67"/>
  <c r="G4" i="69"/>
  <c r="F4" i="73"/>
  <c r="G4" i="73"/>
  <c r="F3" i="75"/>
  <c r="D1" i="88"/>
  <c r="C1" i="88"/>
  <c r="B2" i="88"/>
  <c r="F4" i="89"/>
  <c r="G3" i="11"/>
  <c r="G3" i="29"/>
  <c r="B2" i="42"/>
  <c r="G4" i="42"/>
  <c r="G4" i="47"/>
  <c r="B2" i="56"/>
  <c r="C1" i="56"/>
  <c r="G4" i="58"/>
  <c r="G4" i="60"/>
  <c r="G2" i="75"/>
  <c r="F4" i="33"/>
  <c r="F3" i="43"/>
  <c r="F2" i="45"/>
  <c r="F2" i="51"/>
  <c r="B4" i="51" s="1"/>
  <c r="G2" i="51"/>
  <c r="G2" i="71"/>
  <c r="B6" i="71" s="1"/>
  <c r="C1" i="81"/>
  <c r="F3" i="87"/>
  <c r="G3" i="87"/>
  <c r="B2" i="13"/>
  <c r="G3" i="14"/>
  <c r="F4" i="19"/>
  <c r="G4" i="25"/>
  <c r="F4" i="32"/>
  <c r="F4" i="55"/>
  <c r="F3" i="64"/>
  <c r="B4" i="64" s="1"/>
  <c r="F3" i="67"/>
  <c r="G3" i="67"/>
  <c r="G2" i="69"/>
  <c r="F4" i="84"/>
  <c r="G2" i="24"/>
  <c r="F4" i="25"/>
  <c r="F3" i="49"/>
  <c r="F3" i="53"/>
  <c r="F2" i="56"/>
  <c r="B4" i="56" s="1"/>
  <c r="G2" i="68"/>
  <c r="B6" i="68" s="1"/>
  <c r="F2" i="23"/>
  <c r="G3" i="32"/>
  <c r="F4" i="35"/>
  <c r="F2" i="40"/>
  <c r="G2" i="40"/>
  <c r="F2" i="44"/>
  <c r="B4" i="44" s="1"/>
  <c r="F3" i="60"/>
  <c r="G4" i="80"/>
  <c r="G2" i="87"/>
  <c r="G2" i="21"/>
  <c r="G4" i="26"/>
  <c r="F2" i="29"/>
  <c r="B4" i="29" s="1"/>
  <c r="G3" i="34"/>
  <c r="F3" i="42"/>
  <c r="F2" i="48"/>
  <c r="B4" i="48" s="1"/>
  <c r="G2" i="58"/>
  <c r="F4" i="64"/>
  <c r="G2" i="65"/>
  <c r="D1" i="79"/>
  <c r="C1" i="79"/>
  <c r="F2" i="89"/>
  <c r="G2" i="89"/>
  <c r="G3" i="35"/>
  <c r="F3" i="61"/>
  <c r="G3" i="61"/>
  <c r="F2" i="65"/>
  <c r="B4" i="65" s="1"/>
  <c r="D1" i="77"/>
  <c r="C1" i="77"/>
  <c r="B2" i="77"/>
  <c r="B2" i="81"/>
  <c r="G2" i="44"/>
  <c r="F2" i="49"/>
  <c r="G4" i="61"/>
  <c r="B2" i="62"/>
  <c r="D1" i="62"/>
  <c r="C1" i="62"/>
  <c r="F3" i="68"/>
  <c r="F4" i="80"/>
  <c r="G4" i="81"/>
  <c r="F2" i="88"/>
  <c r="B4" i="88" s="1"/>
  <c r="F4" i="23"/>
  <c r="G2" i="39"/>
  <c r="B6" i="39" s="1"/>
  <c r="F4" i="71"/>
  <c r="G2" i="78"/>
  <c r="B6" i="78" s="1"/>
  <c r="G3" i="80"/>
  <c r="D1" i="83"/>
  <c r="C1" i="83"/>
  <c r="G2" i="25"/>
  <c r="G3" i="55"/>
  <c r="G2" i="61"/>
  <c r="C1" i="23"/>
  <c r="G2" i="47"/>
  <c r="B6" i="47" s="1"/>
  <c r="F4" i="49"/>
  <c r="G2" i="54"/>
  <c r="G2" i="83"/>
  <c r="F4" i="86"/>
  <c r="G4" i="88"/>
  <c r="F4" i="12"/>
  <c r="G3" i="15"/>
  <c r="B2" i="25"/>
  <c r="F3" i="29"/>
  <c r="F3" i="37"/>
  <c r="B4" i="37" s="1"/>
  <c r="F4" i="76"/>
  <c r="B4" i="76" s="1"/>
  <c r="G3" i="85"/>
  <c r="G4" i="17"/>
  <c r="B2" i="18"/>
  <c r="B2" i="23"/>
  <c r="F3" i="26"/>
  <c r="G3" i="42"/>
  <c r="F2" i="61"/>
  <c r="B4" i="61" s="1"/>
  <c r="G2" i="63"/>
  <c r="B6" i="63" s="1"/>
  <c r="G3" i="64"/>
  <c r="B6" i="64" s="1"/>
  <c r="F2" i="81"/>
  <c r="F4" i="88"/>
  <c r="G3" i="24"/>
  <c r="F4" i="43"/>
  <c r="G4" i="44"/>
  <c r="F2" i="54"/>
  <c r="F3" i="74"/>
  <c r="G2" i="84"/>
  <c r="G4" i="90"/>
  <c r="G2" i="73"/>
  <c r="G4" i="75"/>
  <c r="G3" i="76"/>
  <c r="G4" i="78"/>
  <c r="F3" i="85"/>
  <c r="G4" i="38"/>
  <c r="B2" i="44"/>
  <c r="F3" i="54"/>
  <c r="F2" i="79"/>
  <c r="G4" i="89"/>
  <c r="F3" i="30"/>
  <c r="B2" i="53"/>
  <c r="C1" i="53"/>
  <c r="G4" i="66"/>
  <c r="G3" i="69"/>
  <c r="F2" i="87"/>
  <c r="C1" i="54"/>
  <c r="F2" i="62"/>
  <c r="F3" i="63"/>
  <c r="G4" i="71"/>
  <c r="F4" i="75"/>
  <c r="G4" i="79"/>
  <c r="D1" i="24"/>
  <c r="B2" i="51"/>
  <c r="D1" i="65"/>
  <c r="D1" i="80"/>
  <c r="G3" i="90"/>
  <c r="F3" i="41"/>
  <c r="G2" i="46"/>
  <c r="B6" i="46" s="1"/>
  <c r="B2" i="48"/>
  <c r="B2" i="54"/>
  <c r="F4" i="60"/>
  <c r="B2" i="69"/>
  <c r="G3" i="71"/>
  <c r="G4" i="72"/>
  <c r="F2" i="80"/>
  <c r="F4" i="82"/>
  <c r="G4" i="82"/>
  <c r="G4" i="87"/>
  <c r="G4" i="91"/>
  <c r="B2" i="40"/>
  <c r="G2" i="59"/>
  <c r="B2" i="65"/>
  <c r="B2" i="73"/>
  <c r="G3" i="75"/>
  <c r="F4" i="79"/>
  <c r="B2" i="80"/>
  <c r="G4" i="83"/>
  <c r="G2" i="56"/>
  <c r="B6" i="56" s="1"/>
  <c r="G3" i="60"/>
  <c r="B6" i="60" s="1"/>
  <c r="G2" i="31"/>
  <c r="B6" i="31" s="1"/>
  <c r="G3" i="44"/>
  <c r="G3" i="53"/>
  <c r="D1" i="55"/>
  <c r="F3" i="56"/>
  <c r="F2" i="70"/>
  <c r="B4" i="70" s="1"/>
  <c r="F3" i="71"/>
  <c r="F4" i="87"/>
  <c r="B2" i="28"/>
  <c r="F2" i="28"/>
  <c r="F3" i="55"/>
  <c r="G2" i="67"/>
  <c r="B6" i="67" s="1"/>
  <c r="F2" i="73"/>
  <c r="G3" i="86"/>
  <c r="F3" i="38"/>
  <c r="G4" i="52"/>
  <c r="F2" i="67"/>
  <c r="B4" i="67" s="1"/>
  <c r="F3" i="86"/>
  <c r="G2" i="90"/>
  <c r="G3" i="91"/>
  <c r="B6" i="91" s="1"/>
  <c r="F3" i="52"/>
  <c r="B4" i="52" s="1"/>
  <c r="G2" i="76"/>
  <c r="B6" i="76" s="1"/>
  <c r="F2" i="78"/>
  <c r="F2" i="42"/>
  <c r="F3" i="66"/>
  <c r="G4" i="77"/>
  <c r="B6" i="77" s="1"/>
  <c r="B2" i="78"/>
  <c r="G2" i="48"/>
  <c r="B6" i="48" s="1"/>
  <c r="G3" i="58"/>
  <c r="C1" i="82"/>
  <c r="F3" i="91"/>
  <c r="D1" i="72"/>
  <c r="G3" i="83"/>
  <c r="G3" i="41"/>
  <c r="G4" i="43"/>
  <c r="G4" i="49"/>
  <c r="F2" i="50"/>
  <c r="B4" i="50" s="1"/>
  <c r="F3" i="58"/>
  <c r="G2" i="62"/>
  <c r="B2" i="72"/>
  <c r="F4" i="77"/>
  <c r="B2" i="82"/>
  <c r="B2" i="84"/>
  <c r="B2" i="39"/>
  <c r="B2" i="67"/>
  <c r="E7" i="1" a="1"/>
  <c r="C3" i="1" a="1"/>
  <c r="A6" i="4" a="1"/>
  <c r="A4" i="4" a="1"/>
  <c r="H3" i="5" a="1"/>
  <c r="E6" i="1" a="1"/>
  <c r="H4" i="5" a="1"/>
  <c r="C4" i="1" a="1"/>
  <c r="C4" i="1" l="1"/>
  <c r="H4" i="5"/>
  <c r="I4" i="5" s="1" a="1"/>
  <c r="I4" i="5" s="1"/>
  <c r="E6" i="1"/>
  <c r="H3" i="5"/>
  <c r="I3" i="5" s="1" a="1"/>
  <c r="I3" i="5" s="1"/>
  <c r="A4" i="4"/>
  <c r="A6" i="4"/>
  <c r="C3" i="1"/>
  <c r="E7" i="1"/>
  <c r="B6" i="90"/>
  <c r="B4" i="79"/>
  <c r="B6" i="51"/>
  <c r="B6" i="82"/>
  <c r="B4" i="40"/>
  <c r="B6" i="49"/>
  <c r="B4" i="31"/>
  <c r="B4" i="13"/>
  <c r="B6" i="40"/>
  <c r="B4" i="82"/>
  <c r="B6" i="62"/>
  <c r="B4" i="45"/>
  <c r="B6" i="20"/>
  <c r="E22" i="2"/>
  <c r="E2" i="2"/>
  <c r="E7" i="2"/>
  <c r="E24" i="2"/>
  <c r="E13" i="2"/>
  <c r="E6" i="2"/>
  <c r="E25" i="2"/>
  <c r="E27" i="2"/>
  <c r="E9" i="2"/>
  <c r="E3" i="2"/>
  <c r="E16" i="2"/>
  <c r="E5" i="2"/>
  <c r="E19" i="2"/>
  <c r="E18" i="2"/>
  <c r="E10" i="2"/>
  <c r="E21" i="2"/>
  <c r="E12" i="2"/>
  <c r="E20" i="2"/>
  <c r="E14" i="2"/>
  <c r="E26" i="2"/>
  <c r="E23" i="2"/>
  <c r="E17" i="2"/>
  <c r="E4" i="2"/>
  <c r="E15" i="2"/>
  <c r="E8" i="2"/>
  <c r="E11" i="2"/>
  <c r="B6" i="21"/>
  <c r="B4" i="20"/>
  <c r="B4" i="6"/>
  <c r="B6" i="28"/>
  <c r="B4" i="47"/>
  <c r="B4" i="4"/>
  <c r="B4" i="15"/>
  <c r="B6" i="5"/>
  <c r="B6" i="89"/>
  <c r="B4" i="90"/>
  <c r="B6" i="86"/>
  <c r="B6" i="27"/>
  <c r="B6" i="32"/>
  <c r="B4" i="12"/>
  <c r="B4" i="28"/>
  <c r="B4" i="80"/>
  <c r="B6" i="33"/>
  <c r="B4" i="11"/>
  <c r="B4" i="34"/>
  <c r="B6" i="87"/>
  <c r="B6" i="80"/>
  <c r="B4" i="89"/>
  <c r="B4" i="55"/>
  <c r="U13" i="2"/>
  <c r="B6" i="54"/>
  <c r="B4" i="84"/>
  <c r="B4" i="91"/>
  <c r="B6" i="84"/>
  <c r="B6" i="24"/>
  <c r="B4" i="68"/>
  <c r="B6" i="79"/>
  <c r="B6" i="75"/>
  <c r="B4" i="83"/>
  <c r="B4" i="71"/>
  <c r="B4" i="42"/>
  <c r="B6" i="73"/>
  <c r="B4" i="54"/>
  <c r="B6" i="69"/>
  <c r="B4" i="59"/>
  <c r="B6" i="42"/>
  <c r="B4" i="22"/>
  <c r="AD1" i="3"/>
  <c r="B4" i="23"/>
  <c r="B4" i="21"/>
  <c r="B6" i="83"/>
  <c r="B4" i="19"/>
  <c r="B4" i="8"/>
  <c r="AC1" i="4"/>
  <c r="I2" i="4" a="1"/>
  <c r="I2" i="4" s="1"/>
  <c r="B6" i="70"/>
  <c r="B4" i="62"/>
  <c r="B6" i="61"/>
  <c r="B6" i="44"/>
  <c r="B6" i="36"/>
  <c r="B4" i="75"/>
  <c r="B6" i="11"/>
  <c r="B4" i="92"/>
  <c r="B6" i="65"/>
  <c r="B6" i="88"/>
  <c r="B6" i="13"/>
  <c r="B4" i="26"/>
  <c r="B6" i="29"/>
  <c r="B6" i="34"/>
  <c r="B4" i="63"/>
  <c r="B6" i="92"/>
  <c r="B4" i="5"/>
  <c r="B6" i="59"/>
  <c r="B4" i="41"/>
  <c r="B4" i="73"/>
  <c r="B4" i="86"/>
  <c r="B4" i="24"/>
  <c r="B6" i="19"/>
  <c r="B4" i="14"/>
  <c r="B4" i="69"/>
  <c r="B4" i="78"/>
  <c r="B4" i="49"/>
  <c r="B6" i="25"/>
  <c r="B4" i="81"/>
  <c r="B6" i="58"/>
  <c r="B6" i="85"/>
  <c r="B6" i="23"/>
  <c r="B6" i="17"/>
  <c r="B6" i="15"/>
  <c r="B4" i="87"/>
  <c r="B6" i="66"/>
  <c r="B4" i="85"/>
  <c r="B6" i="4"/>
  <c r="B6" i="55"/>
  <c r="B6" i="16"/>
  <c r="E10" i="1" a="1"/>
  <c r="H4" i="7" a="1"/>
  <c r="E5" i="1" a="1"/>
  <c r="H2" i="5" a="1"/>
  <c r="H3" i="7" a="1"/>
  <c r="E9" i="1" a="1"/>
  <c r="AF2" i="1" a="1"/>
  <c r="AF6" i="1" a="1"/>
  <c r="AF6" i="1" l="1"/>
  <c r="AF2" i="1"/>
  <c r="E9" i="1"/>
  <c r="H3" i="7"/>
  <c r="I3" i="7" s="1" a="1"/>
  <c r="I3" i="7" s="1"/>
  <c r="H2" i="5"/>
  <c r="E5" i="1"/>
  <c r="H4" i="7"/>
  <c r="I4" i="7" s="1" a="1"/>
  <c r="I4" i="7" s="1"/>
  <c r="E10" i="1"/>
  <c r="E28" i="2" a="1"/>
  <c r="E28" i="2" s="1"/>
  <c r="E29" i="2" s="1"/>
  <c r="D6" i="4"/>
  <c r="D4" i="4"/>
  <c r="E12" i="1" a="1"/>
  <c r="H3" i="6" a="1"/>
  <c r="C7" i="1" a="1"/>
  <c r="A6" i="5" a="1"/>
  <c r="A4" i="5" a="1"/>
  <c r="C6" i="1" a="1"/>
  <c r="E13" i="1" a="1"/>
  <c r="H4" i="6" a="1"/>
  <c r="H4" i="6" l="1"/>
  <c r="I4" i="6" s="1" a="1"/>
  <c r="I4" i="6" s="1"/>
  <c r="E13" i="1"/>
  <c r="C6" i="1"/>
  <c r="A4" i="5"/>
  <c r="D4" i="5" s="1"/>
  <c r="A6" i="5"/>
  <c r="D6" i="5" s="1"/>
  <c r="C7" i="1"/>
  <c r="H3" i="6"/>
  <c r="I3" i="6" s="1" a="1"/>
  <c r="I3" i="6" s="1"/>
  <c r="E12" i="1"/>
  <c r="I2" i="5" a="1"/>
  <c r="I2" i="5" s="1"/>
  <c r="AC1" i="5"/>
  <c r="AD1" i="4"/>
  <c r="AF9" i="1" a="1"/>
  <c r="AF5" i="1" a="1"/>
  <c r="E16" i="1" a="1"/>
  <c r="H4" i="8" a="1"/>
  <c r="A4" i="7" a="1"/>
  <c r="C9" i="1" a="1"/>
  <c r="E15" i="1" a="1"/>
  <c r="H3" i="8" a="1"/>
  <c r="C10" i="1" a="1"/>
  <c r="A6" i="7" a="1"/>
  <c r="H2" i="7" a="1"/>
  <c r="E8" i="1" a="1"/>
  <c r="E8" i="1" l="1"/>
  <c r="H2" i="7"/>
  <c r="A6" i="7"/>
  <c r="D6" i="7" s="1"/>
  <c r="C10" i="1"/>
  <c r="H3" i="8"/>
  <c r="I3" i="8" s="1" a="1"/>
  <c r="I3" i="8" s="1"/>
  <c r="E15" i="1"/>
  <c r="C9" i="1"/>
  <c r="A4" i="7"/>
  <c r="D4" i="7" s="1"/>
  <c r="H4" i="8"/>
  <c r="I4" i="8" s="1" a="1"/>
  <c r="I4" i="8" s="1"/>
  <c r="E16" i="1"/>
  <c r="AF5" i="1"/>
  <c r="AF9" i="1"/>
  <c r="AD1" i="5"/>
  <c r="A6" i="6" a="1"/>
  <c r="C13" i="1" a="1"/>
  <c r="H3" i="9" a="1"/>
  <c r="E18" i="1" a="1"/>
  <c r="A4" i="6" a="1"/>
  <c r="C12" i="1" a="1"/>
  <c r="AF8" i="1" a="1"/>
  <c r="H4" i="9" a="1"/>
  <c r="E19" i="1" a="1"/>
  <c r="E19" i="1" l="1"/>
  <c r="H4" i="9"/>
  <c r="I4" i="9" s="1" a="1"/>
  <c r="I4" i="9" s="1"/>
  <c r="AF8" i="1"/>
  <c r="C12" i="1"/>
  <c r="A4" i="6"/>
  <c r="D4" i="6" s="1"/>
  <c r="E18" i="1"/>
  <c r="H3" i="9"/>
  <c r="I3" i="9" s="1" a="1"/>
  <c r="I3" i="9" s="1"/>
  <c r="C13" i="1"/>
  <c r="A6" i="6"/>
  <c r="D6" i="6" s="1"/>
  <c r="AD1" i="7"/>
  <c r="I2" i="7" a="1"/>
  <c r="I2" i="7" s="1"/>
  <c r="AC1" i="7"/>
  <c r="C15" i="1" a="1"/>
  <c r="A4" i="8" a="1"/>
  <c r="E21" i="1" a="1"/>
  <c r="H3" i="10" a="1"/>
  <c r="A6" i="8" a="1"/>
  <c r="C16" i="1" a="1"/>
  <c r="AF11" i="1" a="1"/>
  <c r="E11" i="1" a="1"/>
  <c r="H2" i="6" a="1"/>
  <c r="AF12" i="1" a="1"/>
  <c r="H4" i="10" a="1"/>
  <c r="E22" i="1" a="1"/>
  <c r="E22" i="1" l="1"/>
  <c r="H4" i="10"/>
  <c r="I4" i="10" s="1" a="1"/>
  <c r="I4" i="10" s="1"/>
  <c r="AF12" i="1"/>
  <c r="H2" i="6"/>
  <c r="E11" i="1"/>
  <c r="AF11" i="1"/>
  <c r="C16" i="1"/>
  <c r="A6" i="8"/>
  <c r="D6" i="8" s="1"/>
  <c r="H3" i="10"/>
  <c r="I3" i="10" s="1" a="1"/>
  <c r="I3" i="10" s="1"/>
  <c r="E21" i="1"/>
  <c r="A4" i="8"/>
  <c r="D4" i="8" s="1"/>
  <c r="C15" i="1"/>
  <c r="AD1" i="6"/>
  <c r="E25" i="1" a="1"/>
  <c r="H4" i="11" a="1"/>
  <c r="A6" i="9" a="1"/>
  <c r="C19" i="1" a="1"/>
  <c r="H3" i="11" a="1"/>
  <c r="E24" i="1" a="1"/>
  <c r="A4" i="9" a="1"/>
  <c r="C18" i="1" a="1"/>
  <c r="AF14" i="1" a="1"/>
  <c r="AF14" i="1" l="1"/>
  <c r="C18" i="1"/>
  <c r="A4" i="9"/>
  <c r="D4" i="9" s="1"/>
  <c r="E24" i="1"/>
  <c r="H3" i="11"/>
  <c r="I3" i="11" s="1" a="1"/>
  <c r="I3" i="11" s="1"/>
  <c r="C19" i="1"/>
  <c r="A6" i="9"/>
  <c r="D6" i="9" s="1"/>
  <c r="H4" i="11"/>
  <c r="I4" i="11" s="1" a="1"/>
  <c r="I4" i="11" s="1"/>
  <c r="E25" i="1"/>
  <c r="AC1" i="6"/>
  <c r="I2" i="6" a="1"/>
  <c r="I2" i="6" s="1"/>
  <c r="AD1" i="8"/>
  <c r="A4" i="10" a="1"/>
  <c r="C21" i="1" a="1"/>
  <c r="H3" i="12" a="1"/>
  <c r="E27" i="1" a="1"/>
  <c r="C22" i="1" a="1"/>
  <c r="A6" i="10" a="1"/>
  <c r="H4" i="12" a="1"/>
  <c r="E28" i="1" a="1"/>
  <c r="AF15" i="1" a="1"/>
  <c r="E14" i="1" a="1"/>
  <c r="H2" i="8" a="1"/>
  <c r="AF17" i="1" a="1"/>
  <c r="AF17" i="1" l="1"/>
  <c r="H2" i="8"/>
  <c r="E14" i="1"/>
  <c r="AF15" i="1"/>
  <c r="E28" i="1"/>
  <c r="H4" i="12"/>
  <c r="I4" i="12" s="1" a="1"/>
  <c r="I4" i="12" s="1"/>
  <c r="A6" i="10"/>
  <c r="D6" i="10" s="1"/>
  <c r="C22" i="1"/>
  <c r="E27" i="1"/>
  <c r="H3" i="12"/>
  <c r="I3" i="12" s="1" a="1"/>
  <c r="I3" i="12" s="1"/>
  <c r="C21" i="1"/>
  <c r="A4" i="10"/>
  <c r="D4" i="10" s="1"/>
  <c r="AD1" i="9"/>
  <c r="E31" i="1" a="1"/>
  <c r="H4" i="13" a="1"/>
  <c r="H3" i="13" a="1"/>
  <c r="E30" i="1" a="1"/>
  <c r="C24" i="1" a="1"/>
  <c r="A4" i="11" a="1"/>
  <c r="A6" i="11" a="1"/>
  <c r="C25" i="1" a="1"/>
  <c r="AF20" i="1" a="1"/>
  <c r="AF20" i="1" l="1"/>
  <c r="C25" i="1"/>
  <c r="A6" i="11"/>
  <c r="D6" i="11" s="1"/>
  <c r="A4" i="11"/>
  <c r="D4" i="11" s="1"/>
  <c r="C24" i="1"/>
  <c r="E30" i="1"/>
  <c r="H3" i="13"/>
  <c r="I3" i="13" s="1" a="1"/>
  <c r="I3" i="13" s="1"/>
  <c r="H4" i="13"/>
  <c r="I4" i="13" s="1" a="1"/>
  <c r="I4" i="13" s="1"/>
  <c r="E31" i="1"/>
  <c r="I2" i="8" a="1"/>
  <c r="I2" i="8" s="1"/>
  <c r="AC1" i="8"/>
  <c r="AD1" i="10"/>
  <c r="H3" i="14" a="1"/>
  <c r="E33" i="1" a="1"/>
  <c r="AF18" i="1" a="1"/>
  <c r="A6" i="12" a="1"/>
  <c r="C28" i="1" a="1"/>
  <c r="E34" i="1" a="1"/>
  <c r="H4" i="14" a="1"/>
  <c r="A4" i="12" a="1"/>
  <c r="C27" i="1" a="1"/>
  <c r="H2" i="9" a="1"/>
  <c r="E17" i="1" a="1"/>
  <c r="AF23" i="1" a="1"/>
  <c r="AF23" i="1" l="1"/>
  <c r="E17" i="1"/>
  <c r="H2" i="9"/>
  <c r="C27" i="1"/>
  <c r="A4" i="12"/>
  <c r="D4" i="12" s="1"/>
  <c r="H4" i="14"/>
  <c r="I4" i="14" s="1" a="1"/>
  <c r="I4" i="14" s="1"/>
  <c r="E34" i="1"/>
  <c r="C28" i="1"/>
  <c r="A6" i="12"/>
  <c r="D6" i="12" s="1"/>
  <c r="AF18" i="1"/>
  <c r="E33" i="1"/>
  <c r="H3" i="14"/>
  <c r="I3" i="14" s="1" a="1"/>
  <c r="I3" i="14" s="1"/>
  <c r="AD1" i="11"/>
  <c r="C31" i="1" a="1"/>
  <c r="A6" i="13" a="1"/>
  <c r="H3" i="15" a="1"/>
  <c r="E36" i="1" a="1"/>
  <c r="C30" i="1" a="1"/>
  <c r="A4" i="13" a="1"/>
  <c r="H4" i="15" a="1"/>
  <c r="E37" i="1" a="1"/>
  <c r="AF26" i="1" a="1"/>
  <c r="AF26" i="1" l="1"/>
  <c r="E37" i="1"/>
  <c r="H4" i="15"/>
  <c r="I4" i="15" s="1" a="1"/>
  <c r="I4" i="15" s="1"/>
  <c r="A4" i="13"/>
  <c r="D4" i="13" s="1"/>
  <c r="C30" i="1"/>
  <c r="E36" i="1"/>
  <c r="H3" i="15"/>
  <c r="I3" i="15" s="1" a="1"/>
  <c r="I3" i="15" s="1"/>
  <c r="A6" i="13"/>
  <c r="D6" i="13" s="1"/>
  <c r="C31" i="1"/>
  <c r="AD1" i="12"/>
  <c r="I2" i="9" a="1"/>
  <c r="I2" i="9" s="1"/>
  <c r="AC1" i="9"/>
  <c r="H4" i="16" a="1"/>
  <c r="E40" i="1" a="1"/>
  <c r="C33" i="1" a="1"/>
  <c r="A4" i="14" a="1"/>
  <c r="H3" i="16" a="1"/>
  <c r="E39" i="1" a="1"/>
  <c r="A6" i="14" a="1"/>
  <c r="C34" i="1" a="1"/>
  <c r="AF29" i="1" a="1"/>
  <c r="E20" i="1" a="1"/>
  <c r="H2" i="10" a="1"/>
  <c r="AF21" i="1" a="1"/>
  <c r="AF21" i="1" l="1"/>
  <c r="H2" i="10"/>
  <c r="E20" i="1"/>
  <c r="AF29" i="1"/>
  <c r="C34" i="1"/>
  <c r="A6" i="14"/>
  <c r="D6" i="14" s="1"/>
  <c r="E39" i="1"/>
  <c r="H3" i="16"/>
  <c r="I3" i="16" s="1" a="1"/>
  <c r="I3" i="16" s="1"/>
  <c r="A4" i="14"/>
  <c r="D4" i="14" s="1"/>
  <c r="C33" i="1"/>
  <c r="E40" i="1"/>
  <c r="H4" i="16"/>
  <c r="I4" i="16" s="1" a="1"/>
  <c r="I4" i="16" s="1"/>
  <c r="AD1" i="13"/>
  <c r="H4" i="17" a="1"/>
  <c r="E43" i="1" a="1"/>
  <c r="A6" i="15" a="1"/>
  <c r="C37" i="1" a="1"/>
  <c r="E42" i="1" a="1"/>
  <c r="H3" i="17" a="1"/>
  <c r="A4" i="15" a="1"/>
  <c r="C36" i="1" a="1"/>
  <c r="AF32" i="1" a="1"/>
  <c r="AF32" i="1" l="1"/>
  <c r="C36" i="1"/>
  <c r="A4" i="15"/>
  <c r="D4" i="15" s="1"/>
  <c r="H3" i="17"/>
  <c r="I3" i="17" s="1" a="1"/>
  <c r="I3" i="17" s="1"/>
  <c r="E42" i="1"/>
  <c r="C37" i="1"/>
  <c r="A6" i="15"/>
  <c r="D6" i="15" s="1"/>
  <c r="E43" i="1"/>
  <c r="H4" i="17"/>
  <c r="I4" i="17" s="1" a="1"/>
  <c r="I4" i="17" s="1"/>
  <c r="AD1" i="14"/>
  <c r="I2" i="10" a="1"/>
  <c r="I2" i="10" s="1"/>
  <c r="AC1" i="10"/>
  <c r="AF35" i="1" a="1"/>
  <c r="E23" i="1" a="1"/>
  <c r="H2" i="11" a="1"/>
  <c r="A4" i="16" a="1"/>
  <c r="C39" i="1" a="1"/>
  <c r="H3" i="18" a="1"/>
  <c r="E45" i="1" a="1"/>
  <c r="A6" i="16" a="1"/>
  <c r="C40" i="1" a="1"/>
  <c r="H4" i="18" a="1"/>
  <c r="E46" i="1" a="1"/>
  <c r="AF24" i="1" a="1"/>
  <c r="AF24" i="1" l="1"/>
  <c r="E46" i="1"/>
  <c r="H4" i="18"/>
  <c r="I4" i="18" s="1" a="1"/>
  <c r="I4" i="18" s="1"/>
  <c r="C40" i="1"/>
  <c r="A6" i="16"/>
  <c r="D6" i="16" s="1"/>
  <c r="E45" i="1"/>
  <c r="H3" i="18"/>
  <c r="I3" i="18" s="1" a="1"/>
  <c r="I3" i="18" s="1"/>
  <c r="C39" i="1"/>
  <c r="A4" i="16"/>
  <c r="D4" i="16" s="1"/>
  <c r="H2" i="11"/>
  <c r="E23" i="1"/>
  <c r="AF35" i="1"/>
  <c r="AD1" i="15"/>
  <c r="AF38" i="1" a="1"/>
  <c r="H4" i="19" a="1"/>
  <c r="E49" i="1" a="1"/>
  <c r="A6" i="17" a="1"/>
  <c r="C43" i="1" a="1"/>
  <c r="H3" i="19" a="1"/>
  <c r="E48" i="1" a="1"/>
  <c r="A4" i="17" a="1"/>
  <c r="C42" i="1" a="1"/>
  <c r="C42" i="1" l="1"/>
  <c r="A4" i="17"/>
  <c r="D4" i="17" s="1"/>
  <c r="E48" i="1"/>
  <c r="H3" i="19"/>
  <c r="I3" i="19" s="1" a="1"/>
  <c r="I3" i="19" s="1"/>
  <c r="C43" i="1"/>
  <c r="A6" i="17"/>
  <c r="D6" i="17" s="1"/>
  <c r="E49" i="1"/>
  <c r="H4" i="19"/>
  <c r="I4" i="19" s="1" a="1"/>
  <c r="I4" i="19" s="1"/>
  <c r="AF38" i="1"/>
  <c r="AD1" i="16"/>
  <c r="AC1" i="11"/>
  <c r="I2" i="11" a="1"/>
  <c r="I2" i="11" s="1"/>
  <c r="AF41" i="1" a="1"/>
  <c r="AF27" i="1" a="1"/>
  <c r="C45" i="1" a="1"/>
  <c r="A4" i="18" a="1"/>
  <c r="E51" i="1" a="1"/>
  <c r="H3" i="20" a="1"/>
  <c r="C46" i="1" a="1"/>
  <c r="A6" i="18" a="1"/>
  <c r="E52" i="1" a="1"/>
  <c r="H4" i="20" a="1"/>
  <c r="H2" i="12" a="1"/>
  <c r="E26" i="1" a="1"/>
  <c r="E26" i="1" l="1"/>
  <c r="H2" i="12"/>
  <c r="H4" i="20"/>
  <c r="I4" i="20" s="1" a="1"/>
  <c r="I4" i="20" s="1"/>
  <c r="E52" i="1"/>
  <c r="A6" i="18"/>
  <c r="D6" i="18" s="1"/>
  <c r="C46" i="1"/>
  <c r="H3" i="20"/>
  <c r="I3" i="20" s="1" a="1"/>
  <c r="I3" i="20" s="1"/>
  <c r="E51" i="1"/>
  <c r="A4" i="18"/>
  <c r="D4" i="18" s="1"/>
  <c r="C45" i="1"/>
  <c r="AF27" i="1"/>
  <c r="AF41" i="1"/>
  <c r="AD1" i="17"/>
  <c r="AF44" i="1" a="1"/>
  <c r="A4" i="19" a="1"/>
  <c r="C48" i="1" a="1"/>
  <c r="H4" i="21" a="1"/>
  <c r="E55" i="1" a="1"/>
  <c r="C49" i="1" a="1"/>
  <c r="A6" i="19" a="1"/>
  <c r="H3" i="21" a="1"/>
  <c r="E54" i="1" a="1"/>
  <c r="E54" i="1" l="1"/>
  <c r="H3" i="21"/>
  <c r="I3" i="21" s="1" a="1"/>
  <c r="I3" i="21" s="1"/>
  <c r="A6" i="19"/>
  <c r="D6" i="19" s="1"/>
  <c r="C49" i="1"/>
  <c r="E55" i="1"/>
  <c r="H4" i="21"/>
  <c r="I4" i="21" s="1" a="1"/>
  <c r="I4" i="21" s="1"/>
  <c r="C48" i="1"/>
  <c r="A4" i="19"/>
  <c r="D4" i="19" s="1"/>
  <c r="AF44" i="1"/>
  <c r="I2" i="12" a="1"/>
  <c r="I2" i="12" s="1"/>
  <c r="AC1" i="12"/>
  <c r="AD1" i="18"/>
  <c r="E29" i="1" a="1"/>
  <c r="H2" i="13" a="1"/>
  <c r="H3" i="22" a="1"/>
  <c r="E57" i="1" a="1"/>
  <c r="C52" i="1" a="1"/>
  <c r="A6" i="20" a="1"/>
  <c r="H4" i="22" a="1"/>
  <c r="E58" i="1" a="1"/>
  <c r="C51" i="1" a="1"/>
  <c r="A4" i="20" a="1"/>
  <c r="AF30" i="1" a="1"/>
  <c r="AF47" i="1" a="1"/>
  <c r="AF47" i="1" l="1"/>
  <c r="AF30" i="1"/>
  <c r="A4" i="20"/>
  <c r="D4" i="20" s="1"/>
  <c r="C51" i="1"/>
  <c r="E58" i="1"/>
  <c r="H4" i="22"/>
  <c r="I4" i="22" s="1" a="1"/>
  <c r="I4" i="22" s="1"/>
  <c r="A6" i="20"/>
  <c r="D6" i="20" s="1"/>
  <c r="C52" i="1"/>
  <c r="E57" i="1"/>
  <c r="H3" i="22"/>
  <c r="I3" i="22" s="1" a="1"/>
  <c r="I3" i="22" s="1"/>
  <c r="H2" i="13"/>
  <c r="E29" i="1"/>
  <c r="AD1" i="19"/>
  <c r="A6" i="21" a="1"/>
  <c r="C55" i="1" a="1"/>
  <c r="E60" i="1" a="1"/>
  <c r="H3" i="23" a="1"/>
  <c r="A4" i="21" a="1"/>
  <c r="C54" i="1" a="1"/>
  <c r="E61" i="1" a="1"/>
  <c r="H4" i="23" a="1"/>
  <c r="AF50" i="1" a="1"/>
  <c r="AF50" i="1" l="1"/>
  <c r="H4" i="23"/>
  <c r="I4" i="23" s="1" a="1"/>
  <c r="I4" i="23" s="1"/>
  <c r="E61" i="1"/>
  <c r="C54" i="1"/>
  <c r="A4" i="21"/>
  <c r="D4" i="21" s="1"/>
  <c r="H3" i="23"/>
  <c r="I3" i="23" s="1" a="1"/>
  <c r="I3" i="23" s="1"/>
  <c r="E60" i="1"/>
  <c r="C55" i="1"/>
  <c r="A6" i="21"/>
  <c r="D6" i="21" s="1"/>
  <c r="AD1" i="20"/>
  <c r="I2" i="13" a="1"/>
  <c r="I2" i="13" s="1"/>
  <c r="AC1" i="13"/>
  <c r="AF53" i="1" a="1"/>
  <c r="H2" i="14" a="1"/>
  <c r="E32" i="1" a="1"/>
  <c r="E64" i="1" a="1"/>
  <c r="H4" i="24" a="1"/>
  <c r="A4" i="22" a="1"/>
  <c r="C57" i="1" a="1"/>
  <c r="H3" i="24" a="1"/>
  <c r="E63" i="1" a="1"/>
  <c r="A6" i="22" a="1"/>
  <c r="C58" i="1" a="1"/>
  <c r="AF33" i="1" a="1"/>
  <c r="AF33" i="1" l="1"/>
  <c r="C58" i="1"/>
  <c r="A6" i="22"/>
  <c r="D6" i="22" s="1"/>
  <c r="E63" i="1"/>
  <c r="H3" i="24"/>
  <c r="I3" i="24" s="1" a="1"/>
  <c r="I3" i="24" s="1"/>
  <c r="C57" i="1"/>
  <c r="A4" i="22"/>
  <c r="D4" i="22" s="1"/>
  <c r="H4" i="24"/>
  <c r="I4" i="24" s="1" a="1"/>
  <c r="I4" i="24" s="1"/>
  <c r="E64" i="1"/>
  <c r="E32" i="1"/>
  <c r="H2" i="14"/>
  <c r="AF53" i="1"/>
  <c r="AD1" i="21"/>
  <c r="C61" i="1" a="1"/>
  <c r="A6" i="23" a="1"/>
  <c r="E66" i="1" a="1"/>
  <c r="H3" i="25" a="1"/>
  <c r="A4" i="23" a="1"/>
  <c r="C60" i="1" a="1"/>
  <c r="E67" i="1" a="1"/>
  <c r="H4" i="25" a="1"/>
  <c r="AF56" i="1" a="1"/>
  <c r="AF56" i="1" l="1"/>
  <c r="H4" i="25"/>
  <c r="I4" i="25" s="1" a="1"/>
  <c r="I4" i="25" s="1"/>
  <c r="E67" i="1"/>
  <c r="C60" i="1"/>
  <c r="A4" i="23"/>
  <c r="D4" i="23" s="1"/>
  <c r="H3" i="25"/>
  <c r="I3" i="25" s="1" a="1"/>
  <c r="I3" i="25" s="1"/>
  <c r="E66" i="1"/>
  <c r="A6" i="23"/>
  <c r="D6" i="23" s="1"/>
  <c r="C61" i="1"/>
  <c r="AC1" i="14"/>
  <c r="I2" i="14" a="1"/>
  <c r="I2" i="14" s="1"/>
  <c r="AD1" i="22"/>
  <c r="H3" i="26" a="1"/>
  <c r="E69" i="1" a="1"/>
  <c r="C64" i="1" a="1"/>
  <c r="A6" i="24" a="1"/>
  <c r="AF36" i="1" a="1"/>
  <c r="AF59" i="1" a="1"/>
  <c r="H4" i="26" a="1"/>
  <c r="E70" i="1" a="1"/>
  <c r="C63" i="1" a="1"/>
  <c r="A4" i="24" a="1"/>
  <c r="H2" i="15" a="1"/>
  <c r="E35" i="1" a="1"/>
  <c r="E35" i="1" l="1"/>
  <c r="H2" i="15"/>
  <c r="A4" i="24"/>
  <c r="D4" i="24" s="1"/>
  <c r="C63" i="1"/>
  <c r="E70" i="1"/>
  <c r="H4" i="26"/>
  <c r="I4" i="26" s="1" a="1"/>
  <c r="I4" i="26" s="1"/>
  <c r="AF59" i="1"/>
  <c r="AF36" i="1"/>
  <c r="A6" i="24"/>
  <c r="D6" i="24" s="1"/>
  <c r="C64" i="1"/>
  <c r="E69" i="1"/>
  <c r="H3" i="26"/>
  <c r="I3" i="26" s="1" a="1"/>
  <c r="I3" i="26" s="1"/>
  <c r="AD1" i="23"/>
  <c r="H4" i="27" a="1"/>
  <c r="E73" i="1" a="1"/>
  <c r="A4" i="25" a="1"/>
  <c r="C66" i="1" a="1"/>
  <c r="AF62" i="1" a="1"/>
  <c r="C67" i="1" a="1"/>
  <c r="A6" i="25" a="1"/>
  <c r="H3" i="27" a="1"/>
  <c r="E72" i="1" a="1"/>
  <c r="E72" i="1" l="1"/>
  <c r="H3" i="27"/>
  <c r="I3" i="27" s="1" a="1"/>
  <c r="I3" i="27" s="1"/>
  <c r="A6" i="25"/>
  <c r="D6" i="25" s="1"/>
  <c r="C67" i="1"/>
  <c r="AF62" i="1"/>
  <c r="C66" i="1"/>
  <c r="A4" i="25"/>
  <c r="D4" i="25" s="1"/>
  <c r="E73" i="1"/>
  <c r="H4" i="27"/>
  <c r="I4" i="27" s="1" a="1"/>
  <c r="I4" i="27" s="1"/>
  <c r="AD1" i="24"/>
  <c r="AC1" i="15"/>
  <c r="I2" i="15" a="1"/>
  <c r="I2" i="15" s="1"/>
  <c r="E76" i="1" a="1"/>
  <c r="H4" i="28" a="1"/>
  <c r="C69" i="1" a="1"/>
  <c r="A4" i="26" a="1"/>
  <c r="AF65" i="1" a="1"/>
  <c r="H2" i="16" a="1"/>
  <c r="E38" i="1" a="1"/>
  <c r="AF39" i="1" a="1"/>
  <c r="E75" i="1" a="1"/>
  <c r="H3" i="28" a="1"/>
  <c r="A6" i="26" a="1"/>
  <c r="C70" i="1" a="1"/>
  <c r="C70" i="1" l="1"/>
  <c r="A6" i="26"/>
  <c r="D6" i="26" s="1"/>
  <c r="H3" i="28"/>
  <c r="I3" i="28" s="1" a="1"/>
  <c r="I3" i="28" s="1"/>
  <c r="E75" i="1"/>
  <c r="AF39" i="1"/>
  <c r="E38" i="1"/>
  <c r="H2" i="16"/>
  <c r="AF65" i="1"/>
  <c r="A4" i="26"/>
  <c r="D4" i="26" s="1"/>
  <c r="C69" i="1"/>
  <c r="H4" i="28"/>
  <c r="I4" i="28" s="1" a="1"/>
  <c r="I4" i="28" s="1"/>
  <c r="E76" i="1"/>
  <c r="AD1" i="25"/>
  <c r="C73" i="1" a="1"/>
  <c r="A6" i="27" a="1"/>
  <c r="E78" i="1" a="1"/>
  <c r="H3" i="29" a="1"/>
  <c r="C72" i="1" a="1"/>
  <c r="A4" i="27" a="1"/>
  <c r="H4" i="29" a="1"/>
  <c r="E79" i="1" a="1"/>
  <c r="AF68" i="1" a="1"/>
  <c r="AF68" i="1" l="1"/>
  <c r="E79" i="1"/>
  <c r="H4" i="29"/>
  <c r="I4" i="29" s="1" a="1"/>
  <c r="I4" i="29" s="1"/>
  <c r="A4" i="27"/>
  <c r="D4" i="27" s="1"/>
  <c r="C72" i="1"/>
  <c r="H3" i="29"/>
  <c r="I3" i="29" s="1" a="1"/>
  <c r="I3" i="29" s="1"/>
  <c r="E78" i="1"/>
  <c r="A6" i="27"/>
  <c r="D6" i="27" s="1"/>
  <c r="C73" i="1"/>
  <c r="AD1" i="26"/>
  <c r="I2" i="16" a="1"/>
  <c r="I2" i="16" s="1"/>
  <c r="AC1" i="16"/>
  <c r="H4" i="30" a="1"/>
  <c r="E82" i="1" a="1"/>
  <c r="C75" i="1" a="1"/>
  <c r="A4" i="28" a="1"/>
  <c r="H3" i="30" a="1"/>
  <c r="E81" i="1" a="1"/>
  <c r="A6" i="28" a="1"/>
  <c r="C76" i="1" a="1"/>
  <c r="AF71" i="1" a="1"/>
  <c r="H2" i="17" a="1"/>
  <c r="E41" i="1" a="1"/>
  <c r="AF42" i="1" a="1"/>
  <c r="AF42" i="1" l="1"/>
  <c r="E41" i="1"/>
  <c r="H2" i="17"/>
  <c r="AF71" i="1"/>
  <c r="C76" i="1"/>
  <c r="A6" i="28"/>
  <c r="D6" i="28" s="1"/>
  <c r="E81" i="1"/>
  <c r="H3" i="30"/>
  <c r="I3" i="30" s="1" a="1"/>
  <c r="I3" i="30" s="1"/>
  <c r="A4" i="28"/>
  <c r="D4" i="28" s="1"/>
  <c r="C75" i="1"/>
  <c r="E82" i="1"/>
  <c r="H4" i="30"/>
  <c r="I4" i="30" s="1" a="1"/>
  <c r="I4" i="30" s="1"/>
  <c r="AD1" i="27"/>
  <c r="H4" i="31" a="1"/>
  <c r="E85" i="1" a="1"/>
  <c r="A6" i="29" a="1"/>
  <c r="C79" i="1" a="1"/>
  <c r="E84" i="1" a="1"/>
  <c r="H3" i="31" a="1"/>
  <c r="A4" i="29" a="1"/>
  <c r="C78" i="1" a="1"/>
  <c r="AF74" i="1" a="1"/>
  <c r="AF74" i="1" l="1"/>
  <c r="C78" i="1"/>
  <c r="A4" i="29"/>
  <c r="D4" i="29" s="1"/>
  <c r="H3" i="31"/>
  <c r="I3" i="31" s="1" a="1"/>
  <c r="I3" i="31" s="1"/>
  <c r="E84" i="1"/>
  <c r="C79" i="1"/>
  <c r="A6" i="29"/>
  <c r="D6" i="29" s="1"/>
  <c r="E85" i="1"/>
  <c r="H4" i="31"/>
  <c r="I4" i="31" s="1" a="1"/>
  <c r="I4" i="31" s="1"/>
  <c r="AD1" i="28"/>
  <c r="I2" i="17" a="1"/>
  <c r="I2" i="17" s="1"/>
  <c r="AC1" i="17"/>
  <c r="AF77" i="1" a="1"/>
  <c r="E44" i="1" a="1"/>
  <c r="H2" i="18" a="1"/>
  <c r="A4" i="30" a="1"/>
  <c r="C81" i="1" a="1"/>
  <c r="H3" i="32" a="1"/>
  <c r="E87" i="1" a="1"/>
  <c r="A6" i="30" a="1"/>
  <c r="C82" i="1" a="1"/>
  <c r="H4" i="32" a="1"/>
  <c r="E88" i="1" a="1"/>
  <c r="AF45" i="1" a="1"/>
  <c r="AF45" i="1" l="1"/>
  <c r="E88" i="1"/>
  <c r="H4" i="32"/>
  <c r="I4" i="32" s="1" a="1"/>
  <c r="I4" i="32" s="1"/>
  <c r="C82" i="1"/>
  <c r="A6" i="30"/>
  <c r="D6" i="30" s="1"/>
  <c r="E87" i="1"/>
  <c r="H3" i="32"/>
  <c r="I3" i="32" s="1" a="1"/>
  <c r="I3" i="32" s="1"/>
  <c r="C81" i="1"/>
  <c r="A4" i="30"/>
  <c r="D4" i="30" s="1"/>
  <c r="H2" i="18"/>
  <c r="E44" i="1"/>
  <c r="AF77" i="1"/>
  <c r="AD1" i="29"/>
  <c r="AF80" i="1" a="1"/>
  <c r="H4" i="33" a="1"/>
  <c r="E91" i="1" a="1"/>
  <c r="A6" i="31" a="1"/>
  <c r="C85" i="1" a="1"/>
  <c r="H3" i="33" a="1"/>
  <c r="E90" i="1" a="1"/>
  <c r="A4" i="31" a="1"/>
  <c r="C84" i="1" a="1"/>
  <c r="C84" i="1" l="1"/>
  <c r="A4" i="31"/>
  <c r="D4" i="31" s="1"/>
  <c r="E90" i="1"/>
  <c r="H3" i="33"/>
  <c r="I3" i="33" s="1" a="1"/>
  <c r="I3" i="33" s="1"/>
  <c r="C85" i="1"/>
  <c r="A6" i="31"/>
  <c r="D6" i="31" s="1"/>
  <c r="E91" i="1"/>
  <c r="H4" i="33"/>
  <c r="I4" i="33" s="1" a="1"/>
  <c r="I4" i="33" s="1"/>
  <c r="AF80" i="1"/>
  <c r="AD1" i="30"/>
  <c r="AC1" i="18"/>
  <c r="I2" i="18" a="1"/>
  <c r="I2" i="18" s="1"/>
  <c r="H4" i="34" a="1"/>
  <c r="E94" i="1" a="1"/>
  <c r="A4" i="32" a="1"/>
  <c r="C87" i="1" a="1"/>
  <c r="AF83" i="1" a="1"/>
  <c r="AF48" i="1" a="1"/>
  <c r="A6" i="32" a="1"/>
  <c r="C88" i="1" a="1"/>
  <c r="E47" i="1" a="1"/>
  <c r="H2" i="19" a="1"/>
  <c r="H3" i="34" a="1"/>
  <c r="E93" i="1" a="1"/>
  <c r="E93" i="1" l="1"/>
  <c r="H3" i="34"/>
  <c r="I3" i="34" s="1" a="1"/>
  <c r="I3" i="34" s="1"/>
  <c r="H2" i="19"/>
  <c r="E47" i="1"/>
  <c r="C88" i="1"/>
  <c r="A6" i="32"/>
  <c r="D6" i="32" s="1"/>
  <c r="AF48" i="1"/>
  <c r="AF83" i="1"/>
  <c r="C87" i="1"/>
  <c r="A4" i="32"/>
  <c r="D4" i="32" s="1"/>
  <c r="E94" i="1"/>
  <c r="H4" i="34"/>
  <c r="I4" i="34" s="1" a="1"/>
  <c r="I4" i="34" s="1"/>
  <c r="AD1" i="31"/>
  <c r="A6" i="33" a="1"/>
  <c r="C91" i="1" a="1"/>
  <c r="C90" i="1" a="1"/>
  <c r="A4" i="33" a="1"/>
  <c r="AF86" i="1" a="1"/>
  <c r="H3" i="35" a="1"/>
  <c r="E96" i="1" a="1"/>
  <c r="H4" i="35" a="1"/>
  <c r="E97" i="1" a="1"/>
  <c r="E97" i="1" l="1"/>
  <c r="H4" i="35"/>
  <c r="I4" i="35" s="1" a="1"/>
  <c r="I4" i="35" s="1"/>
  <c r="E96" i="1"/>
  <c r="H3" i="35"/>
  <c r="I3" i="35" s="1" a="1"/>
  <c r="I3" i="35" s="1"/>
  <c r="AF86" i="1"/>
  <c r="A4" i="33"/>
  <c r="D4" i="33" s="1"/>
  <c r="C90" i="1"/>
  <c r="C91" i="1"/>
  <c r="A6" i="33"/>
  <c r="D6" i="33" s="1"/>
  <c r="AD1" i="32"/>
  <c r="I2" i="19" a="1"/>
  <c r="I2" i="19" s="1"/>
  <c r="AC1" i="19"/>
  <c r="E100" i="1" a="1"/>
  <c r="H4" i="36" a="1"/>
  <c r="A6" i="34" a="1"/>
  <c r="C94" i="1" a="1"/>
  <c r="AF89" i="1" a="1"/>
  <c r="AF51" i="1" a="1"/>
  <c r="E99" i="1" a="1"/>
  <c r="H3" i="36" a="1"/>
  <c r="A4" i="34" a="1"/>
  <c r="C93" i="1" a="1"/>
  <c r="E50" i="1" a="1"/>
  <c r="H2" i="20" a="1"/>
  <c r="H2" i="20" l="1"/>
  <c r="E50" i="1"/>
  <c r="C93" i="1"/>
  <c r="A4" i="34"/>
  <c r="D4" i="34" s="1"/>
  <c r="H3" i="36"/>
  <c r="I3" i="36" s="1" a="1"/>
  <c r="I3" i="36" s="1"/>
  <c r="E99" i="1"/>
  <c r="AF51" i="1"/>
  <c r="AF89" i="1"/>
  <c r="C94" i="1"/>
  <c r="A6" i="34"/>
  <c r="D6" i="34" s="1"/>
  <c r="H4" i="36"/>
  <c r="I4" i="36" s="1" a="1"/>
  <c r="I4" i="36" s="1"/>
  <c r="E100" i="1"/>
  <c r="AD1" i="33"/>
  <c r="A4" i="35" a="1"/>
  <c r="C96" i="1" a="1"/>
  <c r="H4" i="37" a="1"/>
  <c r="E103" i="1" a="1"/>
  <c r="E102" i="1" a="1"/>
  <c r="H3" i="37" a="1"/>
  <c r="A6" i="35" a="1"/>
  <c r="C97" i="1" a="1"/>
  <c r="AF92" i="1" a="1"/>
  <c r="AF92" i="1" l="1"/>
  <c r="C97" i="1"/>
  <c r="A6" i="35"/>
  <c r="D6" i="35" s="1"/>
  <c r="H3" i="37"/>
  <c r="I3" i="37" s="1" a="1"/>
  <c r="I3" i="37" s="1"/>
  <c r="E102" i="1"/>
  <c r="E103" i="1"/>
  <c r="H4" i="37"/>
  <c r="I4" i="37" s="1" a="1"/>
  <c r="I4" i="37" s="1"/>
  <c r="C96" i="1"/>
  <c r="A4" i="35"/>
  <c r="D4" i="35" s="1"/>
  <c r="AD1" i="34"/>
  <c r="I2" i="20" a="1"/>
  <c r="I2" i="20" s="1"/>
  <c r="AC1" i="20"/>
  <c r="C100" i="1" a="1"/>
  <c r="A6" i="36" a="1"/>
  <c r="H4" i="38" a="1"/>
  <c r="E106" i="1" a="1"/>
  <c r="AF54" i="1" a="1"/>
  <c r="H3" i="38" a="1"/>
  <c r="E105" i="1" a="1"/>
  <c r="C99" i="1" a="1"/>
  <c r="A4" i="36" a="1"/>
  <c r="AF95" i="1" a="1"/>
  <c r="H2" i="21" a="1"/>
  <c r="E53" i="1" a="1"/>
  <c r="E53" i="1" l="1"/>
  <c r="H2" i="21"/>
  <c r="AF95" i="1"/>
  <c r="A4" i="36"/>
  <c r="D4" i="36" s="1"/>
  <c r="C99" i="1"/>
  <c r="E105" i="1"/>
  <c r="H3" i="38"/>
  <c r="I3" i="38" s="1" a="1"/>
  <c r="I3" i="38" s="1"/>
  <c r="AF54" i="1"/>
  <c r="E106" i="1"/>
  <c r="H4" i="38"/>
  <c r="I4" i="38" s="1" a="1"/>
  <c r="I4" i="38" s="1"/>
  <c r="A6" i="36"/>
  <c r="D6" i="36" s="1"/>
  <c r="C100" i="1"/>
  <c r="AD1" i="35"/>
  <c r="A4" i="37" a="1"/>
  <c r="C102" i="1" a="1"/>
  <c r="AF98" i="1" a="1"/>
  <c r="E108" i="1" a="1"/>
  <c r="H3" i="39" a="1"/>
  <c r="E109" i="1" a="1"/>
  <c r="H4" i="39" a="1"/>
  <c r="C103" i="1" a="1"/>
  <c r="A6" i="37" a="1"/>
  <c r="A6" i="37" l="1"/>
  <c r="D6" i="37" s="1"/>
  <c r="C103" i="1"/>
  <c r="H4" i="39"/>
  <c r="I4" i="39" s="1" a="1"/>
  <c r="I4" i="39" s="1"/>
  <c r="E109" i="1"/>
  <c r="H3" i="39"/>
  <c r="I3" i="39" s="1" a="1"/>
  <c r="I3" i="39" s="1"/>
  <c r="E108" i="1"/>
  <c r="AF98" i="1"/>
  <c r="C102" i="1"/>
  <c r="A4" i="37"/>
  <c r="D4" i="37" s="1"/>
  <c r="I2" i="21" a="1"/>
  <c r="I2" i="21" s="1"/>
  <c r="AC1" i="21"/>
  <c r="AD1" i="36"/>
  <c r="C106" i="1" a="1"/>
  <c r="A6" i="38" a="1"/>
  <c r="E111" i="1" a="1"/>
  <c r="H3" i="40" a="1"/>
  <c r="AF101" i="1" a="1"/>
  <c r="A4" i="38" a="1"/>
  <c r="C105" i="1" a="1"/>
  <c r="AF57" i="1" a="1"/>
  <c r="E112" i="1" a="1"/>
  <c r="H4" i="40" a="1"/>
  <c r="H2" i="22" a="1"/>
  <c r="E56" i="1" a="1"/>
  <c r="E56" i="1" l="1"/>
  <c r="H2" i="22"/>
  <c r="H4" i="40"/>
  <c r="I4" i="40" s="1" a="1"/>
  <c r="I4" i="40" s="1"/>
  <c r="E112" i="1"/>
  <c r="AF57" i="1"/>
  <c r="C105" i="1"/>
  <c r="A4" i="38"/>
  <c r="D4" i="38" s="1"/>
  <c r="AF101" i="1"/>
  <c r="H3" i="40"/>
  <c r="I3" i="40" s="1" a="1"/>
  <c r="I3" i="40" s="1"/>
  <c r="E111" i="1"/>
  <c r="A6" i="38"/>
  <c r="D6" i="38" s="1"/>
  <c r="C106" i="1"/>
  <c r="AD1" i="37"/>
  <c r="H4" i="41" a="1"/>
  <c r="E115" i="1" a="1"/>
  <c r="C109" i="1" a="1"/>
  <c r="A6" i="39" a="1"/>
  <c r="C108" i="1" a="1"/>
  <c r="A4" i="39" a="1"/>
  <c r="AF104" i="1" a="1"/>
  <c r="H3" i="41" a="1"/>
  <c r="E114" i="1" a="1"/>
  <c r="E114" i="1" l="1"/>
  <c r="H3" i="41"/>
  <c r="I3" i="41" s="1" a="1"/>
  <c r="I3" i="41" s="1"/>
  <c r="AF104" i="1"/>
  <c r="A4" i="39"/>
  <c r="D4" i="39" s="1"/>
  <c r="C108" i="1"/>
  <c r="A6" i="39"/>
  <c r="D6" i="39" s="1"/>
  <c r="C109" i="1"/>
  <c r="E115" i="1"/>
  <c r="H4" i="41"/>
  <c r="I4" i="41" s="1" a="1"/>
  <c r="I4" i="41" s="1"/>
  <c r="AD1" i="38"/>
  <c r="AC1" i="22"/>
  <c r="I2" i="22" a="1"/>
  <c r="I2" i="22" s="1"/>
  <c r="A4" i="40" a="1"/>
  <c r="C111" i="1" a="1"/>
  <c r="H4" i="42" a="1"/>
  <c r="E118" i="1" a="1"/>
  <c r="E117" i="1" a="1"/>
  <c r="H3" i="42" a="1"/>
  <c r="AF60" i="1" a="1"/>
  <c r="C112" i="1" a="1"/>
  <c r="A6" i="40" a="1"/>
  <c r="E59" i="1" a="1"/>
  <c r="H2" i="23" a="1"/>
  <c r="AF107" i="1" a="1"/>
  <c r="AF107" i="1" l="1"/>
  <c r="H2" i="23"/>
  <c r="E59" i="1"/>
  <c r="A6" i="40"/>
  <c r="D6" i="40" s="1"/>
  <c r="C112" i="1"/>
  <c r="AF60" i="1"/>
  <c r="H3" i="42"/>
  <c r="I3" i="42" s="1" a="1"/>
  <c r="I3" i="42" s="1"/>
  <c r="E117" i="1"/>
  <c r="E118" i="1"/>
  <c r="H4" i="42"/>
  <c r="I4" i="42" s="1" a="1"/>
  <c r="I4" i="42" s="1"/>
  <c r="C111" i="1"/>
  <c r="A4" i="40"/>
  <c r="D4" i="40" s="1"/>
  <c r="AD1" i="39"/>
  <c r="A6" i="41" a="1"/>
  <c r="C115" i="1" a="1"/>
  <c r="H4" i="43" a="1"/>
  <c r="E121" i="1" a="1"/>
  <c r="A4" i="41" a="1"/>
  <c r="C114" i="1" a="1"/>
  <c r="H3" i="43" a="1"/>
  <c r="E120" i="1" a="1"/>
  <c r="AF110" i="1" a="1"/>
  <c r="AF110" i="1" l="1"/>
  <c r="E120" i="1"/>
  <c r="H3" i="43"/>
  <c r="I3" i="43" s="1" a="1"/>
  <c r="I3" i="43" s="1"/>
  <c r="C114" i="1"/>
  <c r="A4" i="41"/>
  <c r="D4" i="41" s="1"/>
  <c r="E121" i="1"/>
  <c r="H4" i="43"/>
  <c r="I4" i="43" s="1" a="1"/>
  <c r="I4" i="43" s="1"/>
  <c r="C115" i="1"/>
  <c r="A6" i="41"/>
  <c r="D6" i="41" s="1"/>
  <c r="AD1" i="40"/>
  <c r="I2" i="23" a="1"/>
  <c r="I2" i="23" s="1"/>
  <c r="AC1" i="23"/>
  <c r="E123" i="1" a="1"/>
  <c r="H3" i="44" a="1"/>
  <c r="A6" i="42" a="1"/>
  <c r="C118" i="1" a="1"/>
  <c r="E62" i="1" a="1"/>
  <c r="H2" i="24" a="1"/>
  <c r="A4" i="42" a="1"/>
  <c r="C117" i="1" a="1"/>
  <c r="H4" i="44" a="1"/>
  <c r="E124" i="1" a="1"/>
  <c r="AF113" i="1" a="1"/>
  <c r="AF63" i="1" a="1"/>
  <c r="AF63" i="1" l="1"/>
  <c r="AF113" i="1"/>
  <c r="E124" i="1"/>
  <c r="H4" i="44"/>
  <c r="I4" i="44" s="1" a="1"/>
  <c r="I4" i="44" s="1"/>
  <c r="C117" i="1"/>
  <c r="A4" i="42"/>
  <c r="D4" i="42" s="1"/>
  <c r="H2" i="24"/>
  <c r="E62" i="1"/>
  <c r="C118" i="1"/>
  <c r="A6" i="42"/>
  <c r="D6" i="42" s="1"/>
  <c r="H3" i="44"/>
  <c r="I3" i="44" s="1" a="1"/>
  <c r="I3" i="44" s="1"/>
  <c r="E123" i="1"/>
  <c r="AD1" i="41"/>
  <c r="E127" i="1" a="1"/>
  <c r="H4" i="45" a="1"/>
  <c r="A4" i="43" a="1"/>
  <c r="C120" i="1" a="1"/>
  <c r="H3" i="45" a="1"/>
  <c r="E126" i="1" a="1"/>
  <c r="A6" i="43" a="1"/>
  <c r="C121" i="1" a="1"/>
  <c r="AF116" i="1" a="1"/>
  <c r="AF116" i="1" l="1"/>
  <c r="C121" i="1"/>
  <c r="A6" i="43"/>
  <c r="D6" i="43" s="1"/>
  <c r="E126" i="1"/>
  <c r="H3" i="45"/>
  <c r="I3" i="45" s="1" a="1"/>
  <c r="I3" i="45" s="1"/>
  <c r="C120" i="1"/>
  <c r="A4" i="43"/>
  <c r="D4" i="43" s="1"/>
  <c r="H4" i="45"/>
  <c r="I4" i="45" s="1" a="1"/>
  <c r="I4" i="45" s="1"/>
  <c r="E127" i="1"/>
  <c r="AC1" i="24"/>
  <c r="I2" i="24" a="1"/>
  <c r="I2" i="24" s="1"/>
  <c r="AD1" i="42"/>
  <c r="C124" i="1" a="1"/>
  <c r="A6" i="44" a="1"/>
  <c r="C123" i="1" a="1"/>
  <c r="A4" i="44" a="1"/>
  <c r="AF66" i="1" a="1"/>
  <c r="H2" i="25" a="1"/>
  <c r="E65" i="1" a="1"/>
  <c r="H3" i="46" a="1"/>
  <c r="E129" i="1" a="1"/>
  <c r="H4" i="46" a="1"/>
  <c r="E130" i="1" a="1"/>
  <c r="AF119" i="1" a="1"/>
  <c r="AF119" i="1" l="1"/>
  <c r="E130" i="1"/>
  <c r="H4" i="46"/>
  <c r="I4" i="46" s="1" a="1"/>
  <c r="I4" i="46" s="1"/>
  <c r="E129" i="1"/>
  <c r="H3" i="46"/>
  <c r="I3" i="46" s="1" a="1"/>
  <c r="I3" i="46" s="1"/>
  <c r="E65" i="1"/>
  <c r="H2" i="25"/>
  <c r="AF66" i="1"/>
  <c r="A4" i="44"/>
  <c r="D4" i="44" s="1"/>
  <c r="C123" i="1"/>
  <c r="A6" i="44"/>
  <c r="D6" i="44" s="1"/>
  <c r="C124" i="1"/>
  <c r="AD1" i="43"/>
  <c r="E133" i="1" a="1"/>
  <c r="H4" i="47" a="1"/>
  <c r="A6" i="45" a="1"/>
  <c r="C127" i="1" a="1"/>
  <c r="AF122" i="1" a="1"/>
  <c r="E132" i="1" a="1"/>
  <c r="H3" i="47" a="1"/>
  <c r="A4" i="45" a="1"/>
  <c r="C126" i="1" a="1"/>
  <c r="C126" i="1" l="1"/>
  <c r="A4" i="45"/>
  <c r="D4" i="45" s="1"/>
  <c r="H3" i="47"/>
  <c r="I3" i="47" s="1" a="1"/>
  <c r="I3" i="47" s="1"/>
  <c r="E132" i="1"/>
  <c r="AF122" i="1"/>
  <c r="C127" i="1"/>
  <c r="A6" i="45"/>
  <c r="D6" i="45" s="1"/>
  <c r="H4" i="47"/>
  <c r="I4" i="47" s="1" a="1"/>
  <c r="I4" i="47" s="1"/>
  <c r="E133" i="1"/>
  <c r="AD1" i="44"/>
  <c r="I2" i="25" a="1"/>
  <c r="I2" i="25" s="1"/>
  <c r="AC1" i="25"/>
  <c r="A4" i="46" a="1"/>
  <c r="C129" i="1" a="1"/>
  <c r="E135" i="1" a="1"/>
  <c r="H3" i="48" a="1"/>
  <c r="H2" i="26" a="1"/>
  <c r="E68" i="1" a="1"/>
  <c r="A6" i="46" a="1"/>
  <c r="C130" i="1" a="1"/>
  <c r="AF125" i="1" a="1"/>
  <c r="E136" i="1" a="1"/>
  <c r="H4" i="48" a="1"/>
  <c r="AF69" i="1" a="1"/>
  <c r="AF69" i="1" l="1"/>
  <c r="H4" i="48"/>
  <c r="I4" i="48" s="1" a="1"/>
  <c r="I4" i="48" s="1"/>
  <c r="E136" i="1"/>
  <c r="AF125" i="1"/>
  <c r="C130" i="1"/>
  <c r="A6" i="46"/>
  <c r="D6" i="46" s="1"/>
  <c r="E68" i="1"/>
  <c r="H2" i="26"/>
  <c r="H3" i="48"/>
  <c r="I3" i="48" s="1" a="1"/>
  <c r="I3" i="48" s="1"/>
  <c r="E135" i="1"/>
  <c r="C129" i="1"/>
  <c r="A4" i="46"/>
  <c r="D4" i="46" s="1"/>
  <c r="AD1" i="45"/>
  <c r="C133" i="1" a="1"/>
  <c r="A6" i="47" a="1"/>
  <c r="H3" i="49" a="1"/>
  <c r="E138" i="1" a="1"/>
  <c r="H4" i="49" a="1"/>
  <c r="E139" i="1" a="1"/>
  <c r="C132" i="1" a="1"/>
  <c r="A4" i="47" a="1"/>
  <c r="AF128" i="1" a="1"/>
  <c r="AF128" i="1" l="1"/>
  <c r="A4" i="47"/>
  <c r="D4" i="47" s="1"/>
  <c r="C132" i="1"/>
  <c r="E139" i="1"/>
  <c r="H4" i="49"/>
  <c r="I4" i="49" s="1" a="1"/>
  <c r="I4" i="49" s="1"/>
  <c r="E138" i="1"/>
  <c r="H3" i="49"/>
  <c r="I3" i="49" s="1" a="1"/>
  <c r="I3" i="49" s="1"/>
  <c r="A6" i="47"/>
  <c r="D6" i="47" s="1"/>
  <c r="C133" i="1"/>
  <c r="AD1" i="46"/>
  <c r="I2" i="26" a="1"/>
  <c r="I2" i="26" s="1"/>
  <c r="AC1" i="26"/>
  <c r="A4" i="48" a="1"/>
  <c r="C135" i="1" a="1"/>
  <c r="H3" i="50" a="1"/>
  <c r="E141" i="1" a="1"/>
  <c r="AF131" i="1" a="1"/>
  <c r="H4" i="50" a="1"/>
  <c r="E142" i="1" a="1"/>
  <c r="A6" i="48" a="1"/>
  <c r="C136" i="1" a="1"/>
  <c r="AF72" i="1" a="1"/>
  <c r="H2" i="27" a="1"/>
  <c r="E71" i="1" a="1"/>
  <c r="E71" i="1" l="1"/>
  <c r="H2" i="27"/>
  <c r="AF72" i="1"/>
  <c r="C136" i="1"/>
  <c r="A6" i="48"/>
  <c r="D6" i="48" s="1"/>
  <c r="E142" i="1"/>
  <c r="H4" i="50"/>
  <c r="I4" i="50" s="1" a="1"/>
  <c r="I4" i="50" s="1"/>
  <c r="AF131" i="1"/>
  <c r="E141" i="1"/>
  <c r="H3" i="50"/>
  <c r="I3" i="50" s="1" a="1"/>
  <c r="I3" i="50" s="1"/>
  <c r="C135" i="1"/>
  <c r="A4" i="48"/>
  <c r="D4" i="48" s="1"/>
  <c r="AD1" i="47"/>
  <c r="A6" i="49" a="1"/>
  <c r="C139" i="1" a="1"/>
  <c r="E145" i="1" a="1"/>
  <c r="H4" i="51" a="1"/>
  <c r="E144" i="1" a="1"/>
  <c r="H3" i="51" a="1"/>
  <c r="A4" i="49" a="1"/>
  <c r="C138" i="1" a="1"/>
  <c r="AF134" i="1" a="1"/>
  <c r="AF134" i="1" l="1"/>
  <c r="C138" i="1"/>
  <c r="A4" i="49"/>
  <c r="D4" i="49" s="1"/>
  <c r="H3" i="51"/>
  <c r="I3" i="51" s="1" a="1"/>
  <c r="I3" i="51" s="1"/>
  <c r="E144" i="1"/>
  <c r="H4" i="51"/>
  <c r="I4" i="51" s="1" a="1"/>
  <c r="I4" i="51" s="1"/>
  <c r="E145" i="1"/>
  <c r="C139" i="1"/>
  <c r="A6" i="49"/>
  <c r="D6" i="49" s="1"/>
  <c r="AD1" i="48"/>
  <c r="AC1" i="27"/>
  <c r="I2" i="27" a="1"/>
  <c r="I2" i="27" s="1"/>
  <c r="A4" i="50" a="1"/>
  <c r="C141" i="1" a="1"/>
  <c r="E147" i="1" a="1"/>
  <c r="H3" i="52" a="1"/>
  <c r="C142" i="1" a="1"/>
  <c r="A6" i="50" a="1"/>
  <c r="AF75" i="1" a="1"/>
  <c r="E148" i="1" a="1"/>
  <c r="H4" i="52" a="1"/>
  <c r="AF137" i="1" a="1"/>
  <c r="E74" i="1" a="1"/>
  <c r="H2" i="28" a="1"/>
  <c r="H2" i="28" l="1"/>
  <c r="E74" i="1"/>
  <c r="AF137" i="1"/>
  <c r="H4" i="52"/>
  <c r="I4" i="52" s="1" a="1"/>
  <c r="I4" i="52" s="1"/>
  <c r="E148" i="1"/>
  <c r="AF75" i="1"/>
  <c r="A6" i="50"/>
  <c r="D6" i="50" s="1"/>
  <c r="C142" i="1"/>
  <c r="H3" i="52"/>
  <c r="I3" i="52" s="1" a="1"/>
  <c r="I3" i="52" s="1"/>
  <c r="E147" i="1"/>
  <c r="C141" i="1"/>
  <c r="A4" i="50"/>
  <c r="D4" i="50" s="1"/>
  <c r="AD1" i="49"/>
  <c r="E151" i="1" a="1"/>
  <c r="H4" i="53" a="1"/>
  <c r="H3" i="53" a="1"/>
  <c r="E150" i="1" a="1"/>
  <c r="A6" i="51" a="1"/>
  <c r="C145" i="1" a="1"/>
  <c r="A4" i="51" a="1"/>
  <c r="C144" i="1" a="1"/>
  <c r="AF140" i="1" a="1"/>
  <c r="AF140" i="1" l="1"/>
  <c r="C144" i="1"/>
  <c r="A4" i="51"/>
  <c r="D4" i="51" s="1"/>
  <c r="C145" i="1"/>
  <c r="A6" i="51"/>
  <c r="D6" i="51" s="1"/>
  <c r="E150" i="1"/>
  <c r="H3" i="53"/>
  <c r="I3" i="53" s="1" a="1"/>
  <c r="I3" i="53" s="1"/>
  <c r="H4" i="53"/>
  <c r="I4" i="53" s="1" a="1"/>
  <c r="I4" i="53" s="1"/>
  <c r="E151" i="1"/>
  <c r="AD1" i="50"/>
  <c r="AC1" i="28"/>
  <c r="I2" i="28" a="1"/>
  <c r="I2" i="28" s="1"/>
  <c r="C147" i="1" a="1"/>
  <c r="A4" i="52" a="1"/>
  <c r="A6" i="52" a="1"/>
  <c r="C148" i="1" a="1"/>
  <c r="AF143" i="1" a="1"/>
  <c r="H2" i="29" a="1"/>
  <c r="E77" i="1" a="1"/>
  <c r="H4" i="54" a="1"/>
  <c r="E154" i="1" a="1"/>
  <c r="E153" i="1" a="1"/>
  <c r="H3" i="54" a="1"/>
  <c r="AF78" i="1" a="1"/>
  <c r="AF78" i="1" l="1"/>
  <c r="H3" i="54"/>
  <c r="I3" i="54" s="1" a="1"/>
  <c r="I3" i="54" s="1"/>
  <c r="E153" i="1"/>
  <c r="E154" i="1"/>
  <c r="H4" i="54"/>
  <c r="I4" i="54" s="1" a="1"/>
  <c r="I4" i="54" s="1"/>
  <c r="E77" i="1"/>
  <c r="H2" i="29"/>
  <c r="AF143" i="1"/>
  <c r="C148" i="1"/>
  <c r="A6" i="52"/>
  <c r="D6" i="52" s="1"/>
  <c r="A4" i="52"/>
  <c r="D4" i="52" s="1"/>
  <c r="C147" i="1"/>
  <c r="AD1" i="51"/>
  <c r="H4" i="55" a="1"/>
  <c r="E157" i="1" a="1"/>
  <c r="E156" i="1" a="1"/>
  <c r="H3" i="55" a="1"/>
  <c r="C151" i="1" a="1"/>
  <c r="A6" i="53" a="1"/>
  <c r="AF146" i="1" a="1"/>
  <c r="C150" i="1" a="1"/>
  <c r="A4" i="53" a="1"/>
  <c r="A4" i="53" l="1"/>
  <c r="D4" i="53" s="1"/>
  <c r="C150" i="1"/>
  <c r="AF146" i="1"/>
  <c r="A6" i="53"/>
  <c r="D6" i="53" s="1"/>
  <c r="C151" i="1"/>
  <c r="H3" i="55"/>
  <c r="I3" i="55" s="1" a="1"/>
  <c r="I3" i="55" s="1"/>
  <c r="E156" i="1"/>
  <c r="E157" i="1"/>
  <c r="H4" i="55"/>
  <c r="I4" i="55" s="1" a="1"/>
  <c r="I4" i="55" s="1"/>
  <c r="AD1" i="52"/>
  <c r="I2" i="29" a="1"/>
  <c r="I2" i="29" s="1"/>
  <c r="AC1" i="29"/>
  <c r="A4" i="54" a="1"/>
  <c r="C153" i="1" a="1"/>
  <c r="C154" i="1" a="1"/>
  <c r="A6" i="54" a="1"/>
  <c r="H3" i="56" a="1"/>
  <c r="E159" i="1" a="1"/>
  <c r="AF81" i="1" a="1"/>
  <c r="H4" i="56" a="1"/>
  <c r="E160" i="1" a="1"/>
  <c r="AF149" i="1" a="1"/>
  <c r="H2" i="30" a="1"/>
  <c r="E80" i="1" a="1"/>
  <c r="E80" i="1" l="1"/>
  <c r="H2" i="30"/>
  <c r="AF149" i="1"/>
  <c r="E160" i="1"/>
  <c r="H4" i="56"/>
  <c r="I4" i="56" s="1" a="1"/>
  <c r="I4" i="56" s="1"/>
  <c r="AF81" i="1"/>
  <c r="E159" i="1"/>
  <c r="H3" i="56"/>
  <c r="I3" i="56" s="1" a="1"/>
  <c r="I3" i="56" s="1"/>
  <c r="A6" i="54"/>
  <c r="D6" i="54" s="1"/>
  <c r="C154" i="1"/>
  <c r="C153" i="1"/>
  <c r="A4" i="54"/>
  <c r="D4" i="54" s="1"/>
  <c r="AD1" i="53"/>
  <c r="H4" i="57" a="1"/>
  <c r="E163" i="1" a="1"/>
  <c r="AF152" i="1" a="1"/>
  <c r="C157" i="1" a="1"/>
  <c r="A6" i="55" a="1"/>
  <c r="C156" i="1" a="1"/>
  <c r="A4" i="55" a="1"/>
  <c r="H3" i="57" a="1"/>
  <c r="E162" i="1" a="1"/>
  <c r="E162" i="1" l="1"/>
  <c r="H3" i="57"/>
  <c r="I3" i="57" s="1" a="1"/>
  <c r="I3" i="57" s="1"/>
  <c r="A4" i="55"/>
  <c r="D4" i="55" s="1"/>
  <c r="C156" i="1"/>
  <c r="A6" i="55"/>
  <c r="D6" i="55" s="1"/>
  <c r="C157" i="1"/>
  <c r="AF152" i="1"/>
  <c r="E163" i="1"/>
  <c r="H4" i="57"/>
  <c r="I4" i="57" s="1" a="1"/>
  <c r="I4" i="57" s="1"/>
  <c r="AD1" i="54"/>
  <c r="I2" i="30" a="1"/>
  <c r="I2" i="30" s="1"/>
  <c r="AC1" i="30"/>
  <c r="AF155" i="1" a="1"/>
  <c r="H3" i="58" a="1"/>
  <c r="E165" i="1" a="1"/>
  <c r="A4" i="56" a="1"/>
  <c r="C159" i="1" a="1"/>
  <c r="H4" i="58" a="1"/>
  <c r="E166" i="1" a="1"/>
  <c r="H2" i="31" a="1"/>
  <c r="E83" i="1" a="1"/>
  <c r="A6" i="56" a="1"/>
  <c r="C160" i="1" a="1"/>
  <c r="AF84" i="1" a="1"/>
  <c r="AF84" i="1" l="1"/>
  <c r="C160" i="1"/>
  <c r="A6" i="56"/>
  <c r="D6" i="56" s="1"/>
  <c r="E83" i="1"/>
  <c r="H2" i="31"/>
  <c r="E166" i="1"/>
  <c r="H4" i="58"/>
  <c r="I4" i="58" s="1" a="1"/>
  <c r="I4" i="58" s="1"/>
  <c r="C159" i="1"/>
  <c r="A4" i="56"/>
  <c r="D4" i="56" s="1"/>
  <c r="E165" i="1"/>
  <c r="H3" i="58"/>
  <c r="I3" i="58" s="1" a="1"/>
  <c r="I3" i="58" s="1"/>
  <c r="AF155" i="1"/>
  <c r="AD1" i="55"/>
  <c r="A6" i="57" a="1"/>
  <c r="C163" i="1" a="1"/>
  <c r="H4" i="59" a="1"/>
  <c r="E169" i="1" a="1"/>
  <c r="AF158" i="1" a="1"/>
  <c r="E168" i="1" a="1"/>
  <c r="H3" i="59" a="1"/>
  <c r="A4" i="57" a="1"/>
  <c r="C162" i="1" a="1"/>
  <c r="C162" i="1" l="1"/>
  <c r="A4" i="57"/>
  <c r="D4" i="57" s="1"/>
  <c r="H3" i="59"/>
  <c r="I3" i="59" s="1" a="1"/>
  <c r="I3" i="59" s="1"/>
  <c r="E168" i="1"/>
  <c r="AF158" i="1"/>
  <c r="E169" i="1"/>
  <c r="H4" i="59"/>
  <c r="I4" i="59" s="1" a="1"/>
  <c r="I4" i="59" s="1"/>
  <c r="C163" i="1"/>
  <c r="A6" i="57"/>
  <c r="D6" i="57" s="1"/>
  <c r="AD1" i="56"/>
  <c r="I2" i="31" a="1"/>
  <c r="I2" i="31" s="1"/>
  <c r="AC1" i="31"/>
  <c r="C165" i="1" a="1"/>
  <c r="A4" i="58" a="1"/>
  <c r="H3" i="60" a="1"/>
  <c r="E171" i="1" a="1"/>
  <c r="AF161" i="1" a="1"/>
  <c r="H4" i="60" a="1"/>
  <c r="E172" i="1" a="1"/>
  <c r="C166" i="1" a="1"/>
  <c r="A6" i="58" a="1"/>
  <c r="AF87" i="1" a="1"/>
  <c r="H2" i="32" a="1"/>
  <c r="E86" i="1" a="1"/>
  <c r="E86" i="1" l="1"/>
  <c r="H2" i="32"/>
  <c r="AF87" i="1"/>
  <c r="A6" i="58"/>
  <c r="D6" i="58" s="1"/>
  <c r="C166" i="1"/>
  <c r="E172" i="1"/>
  <c r="H4" i="60"/>
  <c r="I4" i="60" s="1" a="1"/>
  <c r="I4" i="60" s="1"/>
  <c r="AF161" i="1"/>
  <c r="E171" i="1"/>
  <c r="H3" i="60"/>
  <c r="I3" i="60" s="1" a="1"/>
  <c r="I3" i="60" s="1"/>
  <c r="A4" i="58"/>
  <c r="D4" i="58" s="1"/>
  <c r="C165" i="1"/>
  <c r="AD1" i="57"/>
  <c r="A6" i="59" a="1"/>
  <c r="C169" i="1" a="1"/>
  <c r="E174" i="1" a="1"/>
  <c r="H3" i="61" a="1"/>
  <c r="E175" i="1" a="1"/>
  <c r="H4" i="61" a="1"/>
  <c r="AF164" i="1" a="1"/>
  <c r="A4" i="59" a="1"/>
  <c r="C168" i="1" a="1"/>
  <c r="C168" i="1" l="1"/>
  <c r="A4" i="59"/>
  <c r="D4" i="59" s="1"/>
  <c r="AF164" i="1"/>
  <c r="H4" i="61"/>
  <c r="I4" i="61" s="1" a="1"/>
  <c r="I4" i="61" s="1"/>
  <c r="E175" i="1"/>
  <c r="H3" i="61"/>
  <c r="I3" i="61" s="1" a="1"/>
  <c r="I3" i="61" s="1"/>
  <c r="E174" i="1"/>
  <c r="C169" i="1"/>
  <c r="A6" i="59"/>
  <c r="D6" i="59" s="1"/>
  <c r="AD1" i="58"/>
  <c r="I2" i="32" a="1"/>
  <c r="I2" i="32" s="1"/>
  <c r="AC1" i="32"/>
  <c r="A4" i="60" a="1"/>
  <c r="C171" i="1" a="1"/>
  <c r="H3" i="62" a="1"/>
  <c r="E177" i="1" a="1"/>
  <c r="AF167" i="1" a="1"/>
  <c r="H4" i="62" a="1"/>
  <c r="E178" i="1" a="1"/>
  <c r="AF90" i="1" a="1"/>
  <c r="A6" i="60" a="1"/>
  <c r="C172" i="1" a="1"/>
  <c r="H2" i="33" a="1"/>
  <c r="E89" i="1" a="1"/>
  <c r="E89" i="1" l="1"/>
  <c r="H2" i="33"/>
  <c r="C172" i="1"/>
  <c r="A6" i="60"/>
  <c r="D6" i="60" s="1"/>
  <c r="AF90" i="1"/>
  <c r="E178" i="1"/>
  <c r="H4" i="62"/>
  <c r="I4" i="62" s="1" a="1"/>
  <c r="I4" i="62" s="1"/>
  <c r="AF167" i="1"/>
  <c r="E177" i="1"/>
  <c r="H3" i="62"/>
  <c r="I3" i="62" s="1" a="1"/>
  <c r="I3" i="62" s="1"/>
  <c r="C171" i="1"/>
  <c r="A4" i="60"/>
  <c r="D4" i="60" s="1"/>
  <c r="AD1" i="59"/>
  <c r="C175" i="1" a="1"/>
  <c r="A6" i="61" a="1"/>
  <c r="H4" i="63" a="1"/>
  <c r="E181" i="1" a="1"/>
  <c r="C174" i="1" a="1"/>
  <c r="A4" i="61" a="1"/>
  <c r="H3" i="63" a="1"/>
  <c r="E180" i="1" a="1"/>
  <c r="AF170" i="1" a="1"/>
  <c r="AF170" i="1" l="1"/>
  <c r="E180" i="1"/>
  <c r="H3" i="63"/>
  <c r="I3" i="63" s="1" a="1"/>
  <c r="I3" i="63" s="1"/>
  <c r="A4" i="61"/>
  <c r="D4" i="61" s="1"/>
  <c r="C174" i="1"/>
  <c r="E181" i="1"/>
  <c r="H4" i="63"/>
  <c r="I4" i="63" s="1" a="1"/>
  <c r="I4" i="63" s="1"/>
  <c r="A6" i="61"/>
  <c r="D6" i="61" s="1"/>
  <c r="C175" i="1"/>
  <c r="AC1" i="33"/>
  <c r="I2" i="33" a="1"/>
  <c r="I2" i="33" s="1"/>
  <c r="AD1" i="60"/>
  <c r="E183" i="1" a="1"/>
  <c r="H3" i="64" a="1"/>
  <c r="E184" i="1" a="1"/>
  <c r="H4" i="64" a="1"/>
  <c r="C177" i="1" a="1"/>
  <c r="A4" i="62" a="1"/>
  <c r="A6" i="62" a="1"/>
  <c r="C178" i="1" a="1"/>
  <c r="AF173" i="1" a="1"/>
  <c r="AF93" i="1" a="1"/>
  <c r="H2" i="34" a="1"/>
  <c r="E92" i="1" a="1"/>
  <c r="E92" i="1" l="1"/>
  <c r="H2" i="34"/>
  <c r="AF93" i="1"/>
  <c r="AF173" i="1"/>
  <c r="C178" i="1"/>
  <c r="A6" i="62"/>
  <c r="D6" i="62" s="1"/>
  <c r="A4" i="62"/>
  <c r="D4" i="62" s="1"/>
  <c r="C177" i="1"/>
  <c r="H4" i="64"/>
  <c r="I4" i="64" s="1" a="1"/>
  <c r="I4" i="64" s="1"/>
  <c r="E184" i="1"/>
  <c r="H3" i="64"/>
  <c r="I3" i="64" s="1" a="1"/>
  <c r="I3" i="64" s="1"/>
  <c r="E183" i="1"/>
  <c r="AD1" i="61"/>
  <c r="A6" i="63" a="1"/>
  <c r="C181" i="1" a="1"/>
  <c r="E187" i="1" a="1"/>
  <c r="H4" i="65" a="1"/>
  <c r="A4" i="63" a="1"/>
  <c r="C180" i="1" a="1"/>
  <c r="AF176" i="1" a="1"/>
  <c r="E186" i="1" a="1"/>
  <c r="H3" i="65" a="1"/>
  <c r="H3" i="65" l="1"/>
  <c r="I3" i="65" s="1" a="1"/>
  <c r="I3" i="65" s="1"/>
  <c r="E186" i="1"/>
  <c r="AF176" i="1"/>
  <c r="C180" i="1"/>
  <c r="A4" i="63"/>
  <c r="D4" i="63" s="1"/>
  <c r="H4" i="65"/>
  <c r="I4" i="65" s="1" a="1"/>
  <c r="I4" i="65" s="1"/>
  <c r="E187" i="1"/>
  <c r="C181" i="1"/>
  <c r="A6" i="63"/>
  <c r="D6" i="63" s="1"/>
  <c r="AD1" i="62"/>
  <c r="I2" i="34" a="1"/>
  <c r="I2" i="34" s="1"/>
  <c r="AC1" i="34"/>
  <c r="H3" i="66" a="1"/>
  <c r="E189" i="1" a="1"/>
  <c r="H4" i="66" a="1"/>
  <c r="E190" i="1" a="1"/>
  <c r="H2" i="35" a="1"/>
  <c r="E95" i="1" a="1"/>
  <c r="C183" i="1" a="1"/>
  <c r="A4" i="64" a="1"/>
  <c r="AF179" i="1" a="1"/>
  <c r="C184" i="1" a="1"/>
  <c r="A6" i="64" a="1"/>
  <c r="AF96" i="1" a="1"/>
  <c r="AF96" i="1" l="1"/>
  <c r="A6" i="64"/>
  <c r="D6" i="64" s="1"/>
  <c r="C184" i="1"/>
  <c r="AF179" i="1"/>
  <c r="A4" i="64"/>
  <c r="D4" i="64" s="1"/>
  <c r="C183" i="1"/>
  <c r="E95" i="1"/>
  <c r="H2" i="35"/>
  <c r="E190" i="1"/>
  <c r="H4" i="66"/>
  <c r="I4" i="66" s="1" a="1"/>
  <c r="I4" i="66" s="1"/>
  <c r="E189" i="1"/>
  <c r="H3" i="66"/>
  <c r="I3" i="66" s="1" a="1"/>
  <c r="I3" i="66" s="1"/>
  <c r="AD1" i="63"/>
  <c r="A4" i="65" a="1"/>
  <c r="C186" i="1" a="1"/>
  <c r="E193" i="1" a="1"/>
  <c r="H4" i="67" a="1"/>
  <c r="C187" i="1" a="1"/>
  <c r="A6" i="65" a="1"/>
  <c r="E192" i="1" a="1"/>
  <c r="H3" i="67" a="1"/>
  <c r="AF182" i="1" a="1"/>
  <c r="AF182" i="1" l="1"/>
  <c r="H3" i="67"/>
  <c r="I3" i="67" s="1" a="1"/>
  <c r="I3" i="67" s="1"/>
  <c r="E192" i="1"/>
  <c r="A6" i="65"/>
  <c r="D6" i="65" s="1"/>
  <c r="C187" i="1"/>
  <c r="H4" i="67"/>
  <c r="I4" i="67" s="1" a="1"/>
  <c r="I4" i="67" s="1"/>
  <c r="E193" i="1"/>
  <c r="C186" i="1"/>
  <c r="A4" i="65"/>
  <c r="D4" i="65" s="1"/>
  <c r="I2" i="35" a="1"/>
  <c r="I2" i="35" s="1"/>
  <c r="AC1" i="35"/>
  <c r="AD1" i="64"/>
  <c r="A6" i="66" a="1"/>
  <c r="C190" i="1" a="1"/>
  <c r="H4" i="68" a="1"/>
  <c r="E196" i="1" a="1"/>
  <c r="AF185" i="1" a="1"/>
  <c r="H3" i="68" a="1"/>
  <c r="E195" i="1" a="1"/>
  <c r="AF99" i="1" a="1"/>
  <c r="A4" i="66" a="1"/>
  <c r="C189" i="1" a="1"/>
  <c r="E98" i="1" a="1"/>
  <c r="H2" i="36" a="1"/>
  <c r="H2" i="36" l="1"/>
  <c r="E98" i="1"/>
  <c r="C189" i="1"/>
  <c r="A4" i="66"/>
  <c r="D4" i="66" s="1"/>
  <c r="AF99" i="1"/>
  <c r="E195" i="1"/>
  <c r="H3" i="68"/>
  <c r="I3" i="68" s="1" a="1"/>
  <c r="I3" i="68" s="1"/>
  <c r="AF185" i="1"/>
  <c r="E196" i="1"/>
  <c r="H4" i="68"/>
  <c r="I4" i="68" s="1" a="1"/>
  <c r="I4" i="68" s="1"/>
  <c r="C190" i="1"/>
  <c r="A6" i="66"/>
  <c r="D6" i="66" s="1"/>
  <c r="AD1" i="65"/>
  <c r="C192" i="1" a="1"/>
  <c r="A4" i="67" a="1"/>
  <c r="H3" i="69" a="1"/>
  <c r="E198" i="1" a="1"/>
  <c r="AF188" i="1" a="1"/>
  <c r="H4" i="69" a="1"/>
  <c r="E199" i="1" a="1"/>
  <c r="C193" i="1" a="1"/>
  <c r="A6" i="67" a="1"/>
  <c r="A6" i="67" l="1"/>
  <c r="D6" i="67" s="1"/>
  <c r="C193" i="1"/>
  <c r="E199" i="1"/>
  <c r="H4" i="69"/>
  <c r="I4" i="69" s="1" a="1"/>
  <c r="I4" i="69" s="1"/>
  <c r="AF188" i="1"/>
  <c r="E198" i="1"/>
  <c r="H3" i="69"/>
  <c r="I3" i="69" s="1" a="1"/>
  <c r="I3" i="69" s="1"/>
  <c r="A4" i="67"/>
  <c r="D4" i="67" s="1"/>
  <c r="C192" i="1"/>
  <c r="AD1" i="66"/>
  <c r="I2" i="36" a="1"/>
  <c r="I2" i="36" s="1"/>
  <c r="AC1" i="36"/>
  <c r="A6" i="68" a="1"/>
  <c r="C196" i="1" a="1"/>
  <c r="AF191" i="1" a="1"/>
  <c r="H4" i="70" a="1"/>
  <c r="E202" i="1" a="1"/>
  <c r="H3" i="70" a="1"/>
  <c r="E201" i="1" a="1"/>
  <c r="A4" i="68" a="1"/>
  <c r="C195" i="1" a="1"/>
  <c r="AF102" i="1" a="1"/>
  <c r="H2" i="37" a="1"/>
  <c r="E101" i="1" a="1"/>
  <c r="E101" i="1" l="1"/>
  <c r="H2" i="37"/>
  <c r="AF102" i="1"/>
  <c r="C195" i="1"/>
  <c r="A4" i="68"/>
  <c r="D4" i="68" s="1"/>
  <c r="E201" i="1"/>
  <c r="H3" i="70"/>
  <c r="I3" i="70" s="1" a="1"/>
  <c r="I3" i="70" s="1"/>
  <c r="E202" i="1"/>
  <c r="H4" i="70"/>
  <c r="I4" i="70" s="1" a="1"/>
  <c r="I4" i="70" s="1"/>
  <c r="AF191" i="1"/>
  <c r="C196" i="1"/>
  <c r="A6" i="68"/>
  <c r="D6" i="68" s="1"/>
  <c r="AD1" i="67"/>
  <c r="H3" i="71" a="1"/>
  <c r="E204" i="1" a="1"/>
  <c r="C199" i="1" a="1"/>
  <c r="A6" i="69" a="1"/>
  <c r="C198" i="1" a="1"/>
  <c r="A4" i="69" a="1"/>
  <c r="H4" i="71" a="1"/>
  <c r="E205" i="1" a="1"/>
  <c r="AF194" i="1" a="1"/>
  <c r="AF194" i="1" l="1"/>
  <c r="E205" i="1"/>
  <c r="H4" i="71"/>
  <c r="I4" i="71" s="1" a="1"/>
  <c r="I4" i="71" s="1"/>
  <c r="A4" i="69"/>
  <c r="D4" i="69" s="1"/>
  <c r="C198" i="1"/>
  <c r="A6" i="69"/>
  <c r="D6" i="69" s="1"/>
  <c r="C199" i="1"/>
  <c r="E204" i="1"/>
  <c r="H3" i="71"/>
  <c r="I3" i="71" s="1" a="1"/>
  <c r="I3" i="71" s="1"/>
  <c r="AD1" i="68"/>
  <c r="I2" i="37" a="1"/>
  <c r="I2" i="37" s="1"/>
  <c r="AC1" i="37"/>
  <c r="H4" i="72" a="1"/>
  <c r="E208" i="1" a="1"/>
  <c r="E207" i="1" a="1"/>
  <c r="H3" i="72" a="1"/>
  <c r="A4" i="70" a="1"/>
  <c r="C201" i="1" a="1"/>
  <c r="A6" i="70" a="1"/>
  <c r="C202" i="1" a="1"/>
  <c r="H2" i="38" a="1"/>
  <c r="E104" i="1" a="1"/>
  <c r="AF197" i="1" a="1"/>
  <c r="AF105" i="1" a="1"/>
  <c r="AF105" i="1" l="1"/>
  <c r="AF197" i="1"/>
  <c r="E104" i="1"/>
  <c r="H2" i="38"/>
  <c r="C202" i="1"/>
  <c r="A6" i="70"/>
  <c r="D6" i="70" s="1"/>
  <c r="C201" i="1"/>
  <c r="A4" i="70"/>
  <c r="D4" i="70" s="1"/>
  <c r="H3" i="72"/>
  <c r="I3" i="72" s="1" a="1"/>
  <c r="I3" i="72" s="1"/>
  <c r="E207" i="1"/>
  <c r="E208" i="1"/>
  <c r="H4" i="72"/>
  <c r="I4" i="72" s="1" a="1"/>
  <c r="I4" i="72" s="1"/>
  <c r="AD1" i="69"/>
  <c r="A6" i="71" a="1"/>
  <c r="C205" i="1" a="1"/>
  <c r="E210" i="1" a="1"/>
  <c r="H3" i="73" a="1"/>
  <c r="A4" i="71" a="1"/>
  <c r="C204" i="1" a="1"/>
  <c r="E211" i="1" a="1"/>
  <c r="H4" i="73" a="1"/>
  <c r="AF200" i="1" a="1"/>
  <c r="AF200" i="1" l="1"/>
  <c r="H4" i="73"/>
  <c r="I4" i="73" s="1" a="1"/>
  <c r="I4" i="73" s="1"/>
  <c r="E211" i="1"/>
  <c r="C204" i="1"/>
  <c r="A4" i="71"/>
  <c r="D4" i="71" s="1"/>
  <c r="H3" i="73"/>
  <c r="I3" i="73" s="1" a="1"/>
  <c r="I3" i="73" s="1"/>
  <c r="E210" i="1"/>
  <c r="C205" i="1"/>
  <c r="A6" i="71"/>
  <c r="D6" i="71" s="1"/>
  <c r="AD1" i="70"/>
  <c r="AC1" i="38"/>
  <c r="I2" i="38" a="1"/>
  <c r="I2" i="38" s="1"/>
  <c r="C207" i="1" a="1"/>
  <c r="A4" i="72" a="1"/>
  <c r="H3" i="74" a="1"/>
  <c r="E213" i="1" a="1"/>
  <c r="AF108" i="1" a="1"/>
  <c r="H4" i="74" a="1"/>
  <c r="E214" i="1" a="1"/>
  <c r="C208" i="1" a="1"/>
  <c r="A6" i="72" a="1"/>
  <c r="E107" i="1" a="1"/>
  <c r="H2" i="39" a="1"/>
  <c r="AF203" i="1" a="1"/>
  <c r="AF203" i="1" l="1"/>
  <c r="H2" i="39"/>
  <c r="E107" i="1"/>
  <c r="A6" i="72"/>
  <c r="D6" i="72" s="1"/>
  <c r="C208" i="1"/>
  <c r="E214" i="1"/>
  <c r="H4" i="74"/>
  <c r="I4" i="74" s="1" a="1"/>
  <c r="I4" i="74" s="1"/>
  <c r="AF108" i="1"/>
  <c r="E213" i="1"/>
  <c r="H3" i="74"/>
  <c r="I3" i="74" s="1" a="1"/>
  <c r="I3" i="74" s="1"/>
  <c r="A4" i="72"/>
  <c r="D4" i="72" s="1"/>
  <c r="C207" i="1"/>
  <c r="AD1" i="71"/>
  <c r="A6" i="73" a="1"/>
  <c r="C211" i="1" a="1"/>
  <c r="E217" i="1" a="1"/>
  <c r="H4" i="75" a="1"/>
  <c r="E216" i="1" a="1"/>
  <c r="H3" i="75" a="1"/>
  <c r="A4" i="73" a="1"/>
  <c r="C210" i="1" a="1"/>
  <c r="AF206" i="1" a="1"/>
  <c r="AF206" i="1" l="1"/>
  <c r="C210" i="1"/>
  <c r="A4" i="73"/>
  <c r="D4" i="73" s="1"/>
  <c r="H3" i="75"/>
  <c r="I3" i="75" s="1" a="1"/>
  <c r="I3" i="75" s="1"/>
  <c r="E216" i="1"/>
  <c r="H4" i="75"/>
  <c r="I4" i="75" s="1" a="1"/>
  <c r="I4" i="75" s="1"/>
  <c r="E217" i="1"/>
  <c r="C211" i="1"/>
  <c r="A6" i="73"/>
  <c r="D6" i="73" s="1"/>
  <c r="AD1" i="72"/>
  <c r="AC1" i="39"/>
  <c r="I2" i="39" a="1"/>
  <c r="I2" i="39" s="1"/>
  <c r="A4" i="74" a="1"/>
  <c r="C213" i="1" a="1"/>
  <c r="H4" i="76" a="1"/>
  <c r="E220" i="1" a="1"/>
  <c r="AF111" i="1" a="1"/>
  <c r="H3" i="76" a="1"/>
  <c r="E219" i="1" a="1"/>
  <c r="A6" i="74" a="1"/>
  <c r="C214" i="1" a="1"/>
  <c r="H2" i="40" a="1"/>
  <c r="E110" i="1" a="1"/>
  <c r="AF209" i="1" a="1"/>
  <c r="AF209" i="1" l="1"/>
  <c r="E110" i="1"/>
  <c r="H2" i="40"/>
  <c r="C214" i="1"/>
  <c r="A6" i="74"/>
  <c r="D6" i="74" s="1"/>
  <c r="E219" i="1"/>
  <c r="H3" i="76"/>
  <c r="I3" i="76" s="1" a="1"/>
  <c r="I3" i="76" s="1"/>
  <c r="AF111" i="1"/>
  <c r="E220" i="1"/>
  <c r="H4" i="76"/>
  <c r="I4" i="76" s="1" a="1"/>
  <c r="I4" i="76" s="1"/>
  <c r="C213" i="1"/>
  <c r="A4" i="74"/>
  <c r="D4" i="74" s="1"/>
  <c r="AD1" i="73"/>
  <c r="C217" i="1" a="1"/>
  <c r="A6" i="75" a="1"/>
  <c r="C216" i="1" a="1"/>
  <c r="A4" i="75" a="1"/>
  <c r="H4" i="77" a="1"/>
  <c r="E223" i="1" a="1"/>
  <c r="H3" i="77" a="1"/>
  <c r="E222" i="1" a="1"/>
  <c r="AF212" i="1" a="1"/>
  <c r="AF212" i="1" l="1"/>
  <c r="E222" i="1"/>
  <c r="H3" i="77"/>
  <c r="I3" i="77" s="1" a="1"/>
  <c r="I3" i="77" s="1"/>
  <c r="E223" i="1"/>
  <c r="H4" i="77"/>
  <c r="I4" i="77" s="1" a="1"/>
  <c r="I4" i="77" s="1"/>
  <c r="A4" i="75"/>
  <c r="D4" i="75" s="1"/>
  <c r="C216" i="1"/>
  <c r="A6" i="75"/>
  <c r="D6" i="75" s="1"/>
  <c r="C217" i="1"/>
  <c r="AD1" i="74"/>
  <c r="I2" i="40" a="1"/>
  <c r="I2" i="40" s="1"/>
  <c r="AC1" i="40"/>
  <c r="H3" i="78" a="1"/>
  <c r="E225" i="1" a="1"/>
  <c r="AF114" i="1" a="1"/>
  <c r="A4" i="76" a="1"/>
  <c r="C219" i="1" a="1"/>
  <c r="A6" i="76" a="1"/>
  <c r="C220" i="1" a="1"/>
  <c r="H2" i="41" a="1"/>
  <c r="E113" i="1" a="1"/>
  <c r="H4" i="78" a="1"/>
  <c r="E226" i="1" a="1"/>
  <c r="AF215" i="1" a="1"/>
  <c r="AF215" i="1" l="1"/>
  <c r="E226" i="1"/>
  <c r="H4" i="78"/>
  <c r="I4" i="78" s="1" a="1"/>
  <c r="I4" i="78" s="1"/>
  <c r="E113" i="1"/>
  <c r="H2" i="41"/>
  <c r="C220" i="1"/>
  <c r="A6" i="76"/>
  <c r="D6" i="76" s="1"/>
  <c r="C219" i="1"/>
  <c r="A4" i="76"/>
  <c r="D4" i="76" s="1"/>
  <c r="AF114" i="1"/>
  <c r="E225" i="1"/>
  <c r="H3" i="78"/>
  <c r="I3" i="78" s="1" a="1"/>
  <c r="I3" i="78" s="1"/>
  <c r="AD1" i="75"/>
  <c r="E229" i="1" a="1"/>
  <c r="H4" i="79" a="1"/>
  <c r="A6" i="77" a="1"/>
  <c r="C223" i="1" a="1"/>
  <c r="H3" i="79" a="1"/>
  <c r="E228" i="1" a="1"/>
  <c r="C222" i="1" a="1"/>
  <c r="A4" i="77" a="1"/>
  <c r="AF218" i="1" a="1"/>
  <c r="AF218" i="1" l="1"/>
  <c r="A4" i="77"/>
  <c r="D4" i="77" s="1"/>
  <c r="C222" i="1"/>
  <c r="E228" i="1"/>
  <c r="H3" i="79"/>
  <c r="I3" i="79" s="1" a="1"/>
  <c r="I3" i="79" s="1"/>
  <c r="C223" i="1"/>
  <c r="A6" i="77"/>
  <c r="D6" i="77" s="1"/>
  <c r="H4" i="79"/>
  <c r="I4" i="79" s="1" a="1"/>
  <c r="I4" i="79" s="1"/>
  <c r="E229" i="1"/>
  <c r="AD1" i="76"/>
  <c r="AC1" i="41"/>
  <c r="I2" i="41" a="1"/>
  <c r="I2" i="41" s="1"/>
  <c r="E231" i="1" a="1"/>
  <c r="H3" i="80" a="1"/>
  <c r="H2" i="42" a="1"/>
  <c r="E116" i="1" a="1"/>
  <c r="C225" i="1" a="1"/>
  <c r="A4" i="78" a="1"/>
  <c r="C226" i="1" a="1"/>
  <c r="A6" i="78" a="1"/>
  <c r="E232" i="1" a="1"/>
  <c r="H4" i="80" a="1"/>
  <c r="AF221" i="1" a="1"/>
  <c r="AF117" i="1" a="1"/>
  <c r="AF117" i="1" l="1"/>
  <c r="AF221" i="1"/>
  <c r="H4" i="80"/>
  <c r="I4" i="80" s="1" a="1"/>
  <c r="I4" i="80" s="1"/>
  <c r="E232" i="1"/>
  <c r="A6" i="78"/>
  <c r="D6" i="78" s="1"/>
  <c r="C226" i="1"/>
  <c r="A4" i="78"/>
  <c r="D4" i="78" s="1"/>
  <c r="C225" i="1"/>
  <c r="E116" i="1"/>
  <c r="H2" i="42"/>
  <c r="H3" i="80"/>
  <c r="I3" i="80" s="1" a="1"/>
  <c r="I3" i="80" s="1"/>
  <c r="E231" i="1"/>
  <c r="AD1" i="77"/>
  <c r="A6" i="79" a="1"/>
  <c r="C229" i="1" a="1"/>
  <c r="AF224" i="1" a="1"/>
  <c r="A4" i="79" a="1"/>
  <c r="C228" i="1" a="1"/>
  <c r="H3" i="81" a="1"/>
  <c r="E234" i="1" a="1"/>
  <c r="E235" i="1" a="1"/>
  <c r="H4" i="81" a="1"/>
  <c r="H4" i="81" l="1"/>
  <c r="I4" i="81" s="1" a="1"/>
  <c r="I4" i="81" s="1"/>
  <c r="E235" i="1"/>
  <c r="E234" i="1"/>
  <c r="H3" i="81"/>
  <c r="I3" i="81" s="1" a="1"/>
  <c r="I3" i="81" s="1"/>
  <c r="C228" i="1"/>
  <c r="A4" i="79"/>
  <c r="D4" i="79" s="1"/>
  <c r="AF224" i="1"/>
  <c r="C229" i="1"/>
  <c r="A6" i="79"/>
  <c r="D6" i="79" s="1"/>
  <c r="I2" i="42" a="1"/>
  <c r="I2" i="42" s="1"/>
  <c r="AC1" i="42"/>
  <c r="AD1" i="78"/>
  <c r="E238" i="1" a="1"/>
  <c r="H4" i="82" a="1"/>
  <c r="C231" i="1" a="1"/>
  <c r="A4" i="80" a="1"/>
  <c r="H2" i="43" a="1"/>
  <c r="E119" i="1" a="1"/>
  <c r="E237" i="1" a="1"/>
  <c r="H3" i="82" a="1"/>
  <c r="C232" i="1" a="1"/>
  <c r="A6" i="80" a="1"/>
  <c r="AF227" i="1" a="1"/>
  <c r="AF120" i="1" a="1"/>
  <c r="AF120" i="1" l="1"/>
  <c r="AF227" i="1"/>
  <c r="A6" i="80"/>
  <c r="D6" i="80" s="1"/>
  <c r="C232" i="1"/>
  <c r="H3" i="82"/>
  <c r="I3" i="82" s="1" a="1"/>
  <c r="I3" i="82" s="1"/>
  <c r="E237" i="1"/>
  <c r="E119" i="1"/>
  <c r="H2" i="43"/>
  <c r="A4" i="80"/>
  <c r="D4" i="80" s="1"/>
  <c r="C231" i="1"/>
  <c r="H4" i="82"/>
  <c r="I4" i="82" s="1" a="1"/>
  <c r="I4" i="82" s="1"/>
  <c r="E238" i="1"/>
  <c r="AD1" i="79"/>
  <c r="A6" i="81" a="1"/>
  <c r="C235" i="1" a="1"/>
  <c r="E240" i="1" a="1"/>
  <c r="H3" i="83" a="1"/>
  <c r="A4" i="81" a="1"/>
  <c r="C234" i="1" a="1"/>
  <c r="AF230" i="1" a="1"/>
  <c r="H4" i="83" a="1"/>
  <c r="E241" i="1" a="1"/>
  <c r="E241" i="1" l="1"/>
  <c r="H4" i="83"/>
  <c r="I4" i="83" s="1" a="1"/>
  <c r="I4" i="83" s="1"/>
  <c r="AF230" i="1"/>
  <c r="C234" i="1"/>
  <c r="A4" i="81"/>
  <c r="D4" i="81" s="1"/>
  <c r="H3" i="83"/>
  <c r="I3" i="83" s="1" a="1"/>
  <c r="I3" i="83" s="1"/>
  <c r="E240" i="1"/>
  <c r="C235" i="1"/>
  <c r="A6" i="81"/>
  <c r="D6" i="81" s="1"/>
  <c r="AD1" i="80"/>
  <c r="I2" i="43" a="1"/>
  <c r="I2" i="43" s="1"/>
  <c r="AC1" i="43"/>
  <c r="A4" i="82" a="1"/>
  <c r="C237" i="1" a="1"/>
  <c r="C238" i="1" a="1"/>
  <c r="A6" i="82" a="1"/>
  <c r="AF233" i="1" a="1"/>
  <c r="AF123" i="1" a="1"/>
  <c r="E244" i="1" a="1"/>
  <c r="H4" i="84" a="1"/>
  <c r="E243" i="1" a="1"/>
  <c r="H3" i="84" a="1"/>
  <c r="E122" i="1" a="1"/>
  <c r="H2" i="44" a="1"/>
  <c r="H2" i="44" l="1"/>
  <c r="E122" i="1"/>
  <c r="H3" i="84"/>
  <c r="I3" i="84" s="1" a="1"/>
  <c r="I3" i="84" s="1"/>
  <c r="E243" i="1"/>
  <c r="H4" i="84"/>
  <c r="I4" i="84" s="1" a="1"/>
  <c r="I4" i="84" s="1"/>
  <c r="E244" i="1"/>
  <c r="AF123" i="1"/>
  <c r="AF233" i="1"/>
  <c r="A6" i="82"/>
  <c r="D6" i="82" s="1"/>
  <c r="C238" i="1"/>
  <c r="C237" i="1"/>
  <c r="A4" i="82"/>
  <c r="D4" i="82" s="1"/>
  <c r="AD1" i="81"/>
  <c r="H4" i="85" a="1"/>
  <c r="E247" i="1" a="1"/>
  <c r="C241" i="1" a="1"/>
  <c r="A6" i="83" a="1"/>
  <c r="A4" i="83" a="1"/>
  <c r="C240" i="1" a="1"/>
  <c r="H3" i="85" a="1"/>
  <c r="E246" i="1" a="1"/>
  <c r="AF236" i="1" a="1"/>
  <c r="AF236" i="1" l="1"/>
  <c r="E246" i="1"/>
  <c r="H3" i="85"/>
  <c r="I3" i="85" s="1" a="1"/>
  <c r="I3" i="85" s="1"/>
  <c r="C240" i="1"/>
  <c r="A4" i="83"/>
  <c r="D4" i="83" s="1"/>
  <c r="A6" i="83"/>
  <c r="D6" i="83" s="1"/>
  <c r="C241" i="1"/>
  <c r="E247" i="1"/>
  <c r="H4" i="85"/>
  <c r="I4" i="85" s="1" a="1"/>
  <c r="I4" i="85" s="1"/>
  <c r="AD1" i="82"/>
  <c r="AC1" i="44"/>
  <c r="I2" i="44" a="1"/>
  <c r="I2" i="44" s="1"/>
  <c r="H3" i="86" a="1"/>
  <c r="E249" i="1" a="1"/>
  <c r="AF126" i="1" a="1"/>
  <c r="C244" i="1" a="1"/>
  <c r="A6" i="84" a="1"/>
  <c r="H4" i="86" a="1"/>
  <c r="E250" i="1" a="1"/>
  <c r="A4" i="84" a="1"/>
  <c r="C243" i="1" a="1"/>
  <c r="H2" i="45" a="1"/>
  <c r="E125" i="1" a="1"/>
  <c r="AF239" i="1" a="1"/>
  <c r="AF239" i="1" l="1"/>
  <c r="E125" i="1"/>
  <c r="H2" i="45"/>
  <c r="C243" i="1"/>
  <c r="A4" i="84"/>
  <c r="D4" i="84" s="1"/>
  <c r="E250" i="1"/>
  <c r="H4" i="86"/>
  <c r="I4" i="86" s="1" a="1"/>
  <c r="I4" i="86" s="1"/>
  <c r="A6" i="84"/>
  <c r="D6" i="84" s="1"/>
  <c r="C244" i="1"/>
  <c r="AF126" i="1"/>
  <c r="E249" i="1"/>
  <c r="H3" i="86"/>
  <c r="I3" i="86" s="1" a="1"/>
  <c r="I3" i="86" s="1"/>
  <c r="AD1" i="83"/>
  <c r="C246" i="1" a="1"/>
  <c r="A4" i="85" a="1"/>
  <c r="A6" i="85" a="1"/>
  <c r="C247" i="1" a="1"/>
  <c r="H3" i="87" a="1"/>
  <c r="E252" i="1" a="1"/>
  <c r="H4" i="87" a="1"/>
  <c r="E253" i="1" a="1"/>
  <c r="AF242" i="1" a="1"/>
  <c r="AF242" i="1" l="1"/>
  <c r="E253" i="1"/>
  <c r="H4" i="87"/>
  <c r="I4" i="87" s="1" a="1"/>
  <c r="I4" i="87" s="1"/>
  <c r="E252" i="1"/>
  <c r="H3" i="87"/>
  <c r="I3" i="87" s="1" a="1"/>
  <c r="I3" i="87" s="1"/>
  <c r="C247" i="1"/>
  <c r="A6" i="85"/>
  <c r="D6" i="85" s="1"/>
  <c r="A4" i="85"/>
  <c r="D4" i="85" s="1"/>
  <c r="C246" i="1"/>
  <c r="AD1" i="84"/>
  <c r="I2" i="45" a="1"/>
  <c r="I2" i="45" s="1"/>
  <c r="AC1" i="45"/>
  <c r="E256" i="1" a="1"/>
  <c r="H4" i="88" a="1"/>
  <c r="AF245" i="1" a="1"/>
  <c r="H3" i="88" a="1"/>
  <c r="E255" i="1" a="1"/>
  <c r="AF129" i="1" a="1"/>
  <c r="A6" i="86" a="1"/>
  <c r="C250" i="1" a="1"/>
  <c r="H2" i="46" a="1"/>
  <c r="E128" i="1" a="1"/>
  <c r="A4" i="86" a="1"/>
  <c r="C249" i="1" a="1"/>
  <c r="C249" i="1" l="1"/>
  <c r="A4" i="86"/>
  <c r="D4" i="86" s="1"/>
  <c r="E128" i="1"/>
  <c r="H2" i="46"/>
  <c r="C250" i="1"/>
  <c r="A6" i="86"/>
  <c r="D6" i="86" s="1"/>
  <c r="AF129" i="1"/>
  <c r="E255" i="1"/>
  <c r="H3" i="88"/>
  <c r="I3" i="88" s="1" a="1"/>
  <c r="I3" i="88" s="1"/>
  <c r="AF245" i="1"/>
  <c r="H4" i="88"/>
  <c r="I4" i="88" s="1" a="1"/>
  <c r="I4" i="88" s="1"/>
  <c r="E256" i="1"/>
  <c r="AD1" i="85"/>
  <c r="A6" i="87" a="1"/>
  <c r="C253" i="1" a="1"/>
  <c r="H3" i="89" a="1"/>
  <c r="E258" i="1" a="1"/>
  <c r="A4" i="87" a="1"/>
  <c r="C252" i="1" a="1"/>
  <c r="E259" i="1" a="1"/>
  <c r="H4" i="89" a="1"/>
  <c r="AF248" i="1" a="1"/>
  <c r="AF248" i="1" l="1"/>
  <c r="H4" i="89"/>
  <c r="I4" i="89" s="1" a="1"/>
  <c r="I4" i="89" s="1"/>
  <c r="E259" i="1"/>
  <c r="C252" i="1"/>
  <c r="A4" i="87"/>
  <c r="D4" i="87" s="1"/>
  <c r="E258" i="1"/>
  <c r="H3" i="89"/>
  <c r="I3" i="89" s="1" a="1"/>
  <c r="I3" i="89" s="1"/>
  <c r="C253" i="1"/>
  <c r="A6" i="87"/>
  <c r="D6" i="87" s="1"/>
  <c r="AD1" i="86"/>
  <c r="I2" i="46" a="1"/>
  <c r="I2" i="46" s="1"/>
  <c r="AC1" i="46"/>
  <c r="A4" i="88" a="1"/>
  <c r="C255" i="1" a="1"/>
  <c r="E261" i="1" a="1"/>
  <c r="H3" i="90" a="1"/>
  <c r="H4" i="90" a="1"/>
  <c r="E262" i="1" a="1"/>
  <c r="E131" i="1" a="1"/>
  <c r="H2" i="47" a="1"/>
  <c r="C256" i="1" a="1"/>
  <c r="A6" i="88" a="1"/>
  <c r="AF132" i="1" a="1"/>
  <c r="AF251" i="1" a="1"/>
  <c r="AF251" i="1" l="1"/>
  <c r="AF132" i="1"/>
  <c r="A6" i="88"/>
  <c r="D6" i="88" s="1"/>
  <c r="C256" i="1"/>
  <c r="H2" i="47"/>
  <c r="E131" i="1"/>
  <c r="E262" i="1"/>
  <c r="H4" i="90"/>
  <c r="I4" i="90" s="1" a="1"/>
  <c r="I4" i="90" s="1"/>
  <c r="H3" i="90"/>
  <c r="I3" i="90" s="1" a="1"/>
  <c r="I3" i="90" s="1"/>
  <c r="E261" i="1"/>
  <c r="C255" i="1"/>
  <c r="A4" i="88"/>
  <c r="D4" i="88" s="1"/>
  <c r="AD1" i="87"/>
  <c r="H3" i="91" a="1"/>
  <c r="E264" i="1" a="1"/>
  <c r="H4" i="91" a="1"/>
  <c r="E265" i="1" a="1"/>
  <c r="AF254" i="1" a="1"/>
  <c r="C259" i="1" a="1"/>
  <c r="A6" i="89" a="1"/>
  <c r="C258" i="1" a="1"/>
  <c r="A4" i="89" a="1"/>
  <c r="A4" i="89" l="1"/>
  <c r="D4" i="89" s="1"/>
  <c r="C258" i="1"/>
  <c r="A6" i="89"/>
  <c r="D6" i="89" s="1"/>
  <c r="C259" i="1"/>
  <c r="AF254" i="1"/>
  <c r="E265" i="1"/>
  <c r="H4" i="91"/>
  <c r="I4" i="91" s="1" a="1"/>
  <c r="I4" i="91" s="1"/>
  <c r="E264" i="1"/>
  <c r="H3" i="91"/>
  <c r="I3" i="91" s="1" a="1"/>
  <c r="I3" i="91" s="1"/>
  <c r="AD1" i="88"/>
  <c r="I2" i="47" a="1"/>
  <c r="I2" i="47" s="1"/>
  <c r="AC1" i="47"/>
  <c r="A4" i="90" a="1"/>
  <c r="C261" i="1" a="1"/>
  <c r="E267" i="1" a="1"/>
  <c r="H3" i="92" a="1"/>
  <c r="E268" i="1" a="1"/>
  <c r="H4" i="92" a="1"/>
  <c r="A6" i="90" a="1"/>
  <c r="C262" i="1" a="1"/>
  <c r="AF257" i="1" a="1"/>
  <c r="AF135" i="1" a="1"/>
  <c r="E134" i="1" a="1"/>
  <c r="H2" i="48" a="1"/>
  <c r="H2" i="48" l="1"/>
  <c r="E134" i="1"/>
  <c r="AF135" i="1"/>
  <c r="AF257" i="1"/>
  <c r="C262" i="1"/>
  <c r="A6" i="90"/>
  <c r="D6" i="90" s="1"/>
  <c r="H4" i="92"/>
  <c r="I4" i="92" s="1" a="1"/>
  <c r="I4" i="92" s="1"/>
  <c r="E268" i="1"/>
  <c r="H3" i="92"/>
  <c r="I3" i="92" s="1" a="1"/>
  <c r="I3" i="92" s="1"/>
  <c r="E267" i="1"/>
  <c r="C261" i="1"/>
  <c r="A4" i="90"/>
  <c r="D4" i="90" s="1"/>
  <c r="AD1" i="89"/>
  <c r="A6" i="91" a="1"/>
  <c r="C265" i="1" a="1"/>
  <c r="E270" i="1" a="1"/>
  <c r="E271" i="1" a="1"/>
  <c r="A4" i="91" a="1"/>
  <c r="C264" i="1" a="1"/>
  <c r="AF260" i="1" a="1"/>
  <c r="AF260" i="1" l="1"/>
  <c r="C264" i="1"/>
  <c r="A4" i="91"/>
  <c r="D4" i="91" s="1"/>
  <c r="E271" i="1"/>
  <c r="E270" i="1"/>
  <c r="C265" i="1"/>
  <c r="A6" i="91"/>
  <c r="D6" i="91" s="1"/>
  <c r="AD1" i="90"/>
  <c r="AC1" i="48"/>
  <c r="I2" i="48" a="1"/>
  <c r="I2" i="48" s="1"/>
  <c r="A4" i="92" a="1"/>
  <c r="C267" i="1" a="1"/>
  <c r="C268" i="1" a="1"/>
  <c r="A6" i="92" a="1"/>
  <c r="AF138" i="1" a="1"/>
  <c r="AF263" i="1" a="1"/>
  <c r="E137" i="1" a="1"/>
  <c r="H2" i="49" a="1"/>
  <c r="H2" i="49" l="1"/>
  <c r="E137" i="1"/>
  <c r="AF263" i="1"/>
  <c r="AF138" i="1"/>
  <c r="A6" i="92"/>
  <c r="D6" i="92" s="1"/>
  <c r="C268" i="1"/>
  <c r="C267" i="1"/>
  <c r="A4" i="92"/>
  <c r="D4" i="92" s="1"/>
  <c r="AD1" i="91"/>
  <c r="C270" i="1" a="1"/>
  <c r="AF266" i="1" a="1"/>
  <c r="C271" i="1" a="1"/>
  <c r="C271" i="1" l="1"/>
  <c r="AF266" i="1"/>
  <c r="C270" i="1"/>
  <c r="AD1" i="92"/>
  <c r="AC1" i="49"/>
  <c r="I2" i="49" a="1"/>
  <c r="I2" i="49" s="1"/>
  <c r="AF269" i="1" a="1"/>
  <c r="AF141" i="1" a="1"/>
  <c r="H2" i="50" a="1"/>
  <c r="E140" i="1" a="1"/>
  <c r="E140" i="1" l="1"/>
  <c r="H2" i="50"/>
  <c r="AF141" i="1"/>
  <c r="AF269" i="1"/>
  <c r="AC1" i="50" l="1"/>
  <c r="I2" i="50" a="1"/>
  <c r="I2" i="50" s="1"/>
  <c r="AF144" i="1" a="1"/>
  <c r="H2" i="51" a="1"/>
  <c r="E143" i="1" a="1"/>
  <c r="E143" i="1" l="1"/>
  <c r="H2" i="51"/>
  <c r="AF144" i="1"/>
  <c r="I2" i="51" l="1" a="1"/>
  <c r="I2" i="51" s="1"/>
  <c r="AC1" i="51"/>
  <c r="E146" i="1" a="1"/>
  <c r="H2" i="52" a="1"/>
  <c r="AF147" i="1" a="1"/>
  <c r="AF147" i="1" l="1"/>
  <c r="H2" i="52"/>
  <c r="E146" i="1"/>
  <c r="AC1" i="52" l="1"/>
  <c r="I2" i="52" a="1"/>
  <c r="I2" i="52" s="1"/>
  <c r="AF150" i="1" a="1"/>
  <c r="E149" i="1" a="1"/>
  <c r="H2" i="53" a="1"/>
  <c r="H2" i="53" l="1"/>
  <c r="E149" i="1"/>
  <c r="AF150" i="1"/>
  <c r="I2" i="53" l="1" a="1"/>
  <c r="I2" i="53" s="1"/>
  <c r="AC1" i="53"/>
  <c r="H2" i="54" a="1"/>
  <c r="E152" i="1" a="1"/>
  <c r="AF153" i="1" a="1"/>
  <c r="AF153" i="1" l="1"/>
  <c r="E152" i="1"/>
  <c r="H2" i="54"/>
  <c r="I2" i="54" l="1" a="1"/>
  <c r="I2" i="54" s="1"/>
  <c r="AC1" i="54"/>
  <c r="E155" i="1" a="1"/>
  <c r="H2" i="55" a="1"/>
  <c r="AF156" i="1" a="1"/>
  <c r="AF156" i="1" l="1"/>
  <c r="H2" i="55"/>
  <c r="E155" i="1"/>
  <c r="AC1" i="55" l="1"/>
  <c r="I2" i="55" a="1"/>
  <c r="I2" i="55" s="1"/>
  <c r="AF159" i="1" a="1"/>
  <c r="H2" i="56" a="1"/>
  <c r="E158" i="1" a="1"/>
  <c r="E158" i="1" l="1"/>
  <c r="H2" i="56"/>
  <c r="AF159" i="1"/>
  <c r="AC1" i="56" l="1"/>
  <c r="I2" i="56" a="1"/>
  <c r="I2" i="56" s="1"/>
  <c r="AF162" i="1" a="1"/>
  <c r="H2" i="57" a="1"/>
  <c r="E161" i="1" a="1"/>
  <c r="E161" i="1" l="1"/>
  <c r="H2" i="57"/>
  <c r="AF162" i="1"/>
  <c r="I2" i="57" l="1" a="1"/>
  <c r="I2" i="57" s="1"/>
  <c r="AC1" i="57"/>
  <c r="E164" i="1" a="1"/>
  <c r="H2" i="58" a="1"/>
  <c r="AF165" i="1" a="1"/>
  <c r="AF165" i="1" l="1"/>
  <c r="H2" i="58"/>
  <c r="E164" i="1"/>
  <c r="AC1" i="58" l="1"/>
  <c r="I2" i="58" a="1"/>
  <c r="I2" i="58" s="1"/>
  <c r="AF168" i="1" a="1"/>
  <c r="H2" i="59" a="1"/>
  <c r="E167" i="1" a="1"/>
  <c r="E167" i="1" l="1"/>
  <c r="H2" i="59"/>
  <c r="AF168" i="1"/>
  <c r="I2" i="59" l="1" a="1"/>
  <c r="I2" i="59" s="1"/>
  <c r="AC1" i="59"/>
  <c r="H2" i="60" a="1"/>
  <c r="E170" i="1" a="1"/>
  <c r="AF171" i="1" a="1"/>
  <c r="AF171" i="1" l="1"/>
  <c r="E170" i="1"/>
  <c r="H2" i="60"/>
  <c r="I2" i="60" l="1" a="1"/>
  <c r="I2" i="60" s="1"/>
  <c r="AC1" i="60"/>
  <c r="E173" i="1" a="1"/>
  <c r="H2" i="61" a="1"/>
  <c r="AF174" i="1" a="1"/>
  <c r="AF174" i="1" l="1"/>
  <c r="H2" i="61"/>
  <c r="E173" i="1"/>
  <c r="AC1" i="61" l="1"/>
  <c r="I2" i="61" a="1"/>
  <c r="I2" i="61" s="1"/>
  <c r="AF177" i="1" a="1"/>
  <c r="H2" i="62" a="1"/>
  <c r="E176" i="1" a="1"/>
  <c r="E176" i="1" l="1"/>
  <c r="H2" i="62"/>
  <c r="AF177" i="1"/>
  <c r="I2" i="62" l="1" a="1"/>
  <c r="I2" i="62" s="1"/>
  <c r="AC1" i="62"/>
  <c r="H2" i="63" a="1"/>
  <c r="E179" i="1" a="1"/>
  <c r="AF180" i="1" a="1"/>
  <c r="AF180" i="1" l="1"/>
  <c r="E179" i="1"/>
  <c r="H2" i="63"/>
  <c r="I2" i="63" l="1" a="1"/>
  <c r="I2" i="63" s="1"/>
  <c r="AC1" i="63"/>
  <c r="E182" i="1" a="1"/>
  <c r="H2" i="64" a="1"/>
  <c r="AF183" i="1" a="1"/>
  <c r="AF183" i="1" l="1"/>
  <c r="H2" i="64"/>
  <c r="E182" i="1"/>
  <c r="I2" i="64" l="1" a="1"/>
  <c r="I2" i="64" s="1"/>
  <c r="AC1" i="64"/>
  <c r="H2" i="65" a="1"/>
  <c r="E185" i="1" a="1"/>
  <c r="AF186" i="1" a="1"/>
  <c r="AF186" i="1" l="1"/>
  <c r="E185" i="1"/>
  <c r="H2" i="65"/>
  <c r="I2" i="65" l="1" a="1"/>
  <c r="I2" i="65" s="1"/>
  <c r="AC1" i="65"/>
  <c r="H2" i="66" a="1"/>
  <c r="E188" i="1" a="1"/>
  <c r="AF189" i="1" a="1"/>
  <c r="AF189" i="1" l="1"/>
  <c r="E188" i="1"/>
  <c r="H2" i="66"/>
  <c r="AC1" i="66" l="1"/>
  <c r="I2" i="66" a="1"/>
  <c r="I2" i="66" s="1"/>
  <c r="AF192" i="1" a="1"/>
  <c r="E191" i="1" a="1"/>
  <c r="H2" i="67" a="1"/>
  <c r="H2" i="67" l="1"/>
  <c r="E191" i="1"/>
  <c r="AF192" i="1"/>
  <c r="AC1" i="67" l="1"/>
  <c r="I2" i="67" a="1"/>
  <c r="I2" i="67" s="1"/>
  <c r="AF195" i="1" a="1"/>
  <c r="H2" i="68" a="1"/>
  <c r="E194" i="1" a="1"/>
  <c r="E194" i="1" l="1"/>
  <c r="H2" i="68"/>
  <c r="AF195" i="1"/>
  <c r="I2" i="68" l="1" a="1"/>
  <c r="I2" i="68" s="1"/>
  <c r="AC1" i="68"/>
  <c r="E197" i="1" a="1"/>
  <c r="H2" i="69" a="1"/>
  <c r="AF198" i="1" a="1"/>
  <c r="AF198" i="1" l="1"/>
  <c r="H2" i="69"/>
  <c r="E197" i="1"/>
  <c r="AC1" i="69" l="1"/>
  <c r="I2" i="69" a="1"/>
  <c r="I2" i="69" s="1"/>
  <c r="AF201" i="1" a="1"/>
  <c r="E200" i="1" a="1"/>
  <c r="H2" i="70" a="1"/>
  <c r="H2" i="70" l="1"/>
  <c r="E200" i="1"/>
  <c r="AF201" i="1"/>
  <c r="AC1" i="70" l="1"/>
  <c r="I2" i="70" a="1"/>
  <c r="I2" i="70" s="1"/>
  <c r="AF204" i="1" a="1"/>
  <c r="H2" i="71" a="1"/>
  <c r="E203" i="1" a="1"/>
  <c r="E203" i="1" l="1"/>
  <c r="H2" i="71"/>
  <c r="AF204" i="1"/>
  <c r="I2" i="71" l="1" a="1"/>
  <c r="I2" i="71" s="1"/>
  <c r="AC1" i="71"/>
  <c r="E206" i="1" a="1"/>
  <c r="H2" i="72" a="1"/>
  <c r="AF207" i="1" a="1"/>
  <c r="AF207" i="1" l="1"/>
  <c r="H2" i="72"/>
  <c r="E206" i="1"/>
  <c r="AC1" i="72" l="1"/>
  <c r="I2" i="72" a="1"/>
  <c r="I2" i="72" s="1"/>
  <c r="AF210" i="1" a="1"/>
  <c r="H2" i="73" a="1"/>
  <c r="E209" i="1" a="1"/>
  <c r="E209" i="1" l="1"/>
  <c r="H2" i="73"/>
  <c r="AF210" i="1"/>
  <c r="I2" i="73" l="1" a="1"/>
  <c r="I2" i="73" s="1"/>
  <c r="AC1" i="73"/>
  <c r="H2" i="74" a="1"/>
  <c r="E212" i="1" a="1"/>
  <c r="AF213" i="1" a="1"/>
  <c r="AF213" i="1" l="1"/>
  <c r="E212" i="1"/>
  <c r="H2" i="74"/>
  <c r="I2" i="74" l="1" a="1"/>
  <c r="I2" i="74" s="1"/>
  <c r="AC1" i="74"/>
  <c r="E215" i="1" a="1"/>
  <c r="H2" i="75" a="1"/>
  <c r="AF216" i="1" a="1"/>
  <c r="AF216" i="1" l="1"/>
  <c r="H2" i="75"/>
  <c r="E215" i="1"/>
  <c r="I2" i="75" l="1" a="1"/>
  <c r="I2" i="75" s="1"/>
  <c r="AC1" i="75"/>
  <c r="H2" i="76" a="1"/>
  <c r="E218" i="1" a="1"/>
  <c r="AF219" i="1" a="1"/>
  <c r="AF219" i="1" l="1"/>
  <c r="E218" i="1"/>
  <c r="H2" i="76"/>
  <c r="AC1" i="76" l="1"/>
  <c r="I2" i="76" a="1"/>
  <c r="I2" i="76" s="1"/>
  <c r="AF222" i="1" a="1"/>
  <c r="H2" i="77" a="1"/>
  <c r="E221" i="1" a="1"/>
  <c r="E221" i="1" l="1"/>
  <c r="H2" i="77"/>
  <c r="AF222" i="1"/>
  <c r="AC1" i="77" l="1"/>
  <c r="I2" i="77" a="1"/>
  <c r="I2" i="77" s="1"/>
  <c r="AF225" i="1" a="1"/>
  <c r="E224" i="1" a="1"/>
  <c r="H2" i="78" a="1"/>
  <c r="H2" i="78" l="1"/>
  <c r="E224" i="1"/>
  <c r="AF225" i="1"/>
  <c r="AC1" i="78" l="1"/>
  <c r="I2" i="78" a="1"/>
  <c r="I2" i="78" s="1"/>
  <c r="AF228" i="1" a="1"/>
  <c r="H2" i="79" a="1"/>
  <c r="E227" i="1" a="1"/>
  <c r="E227" i="1" l="1"/>
  <c r="H2" i="79"/>
  <c r="AF228" i="1"/>
  <c r="I2" i="79" l="1" a="1"/>
  <c r="I2" i="79" s="1"/>
  <c r="AC1" i="79"/>
  <c r="H2" i="80" a="1"/>
  <c r="E230" i="1" a="1"/>
  <c r="AF231" i="1" a="1"/>
  <c r="AF231" i="1" l="1"/>
  <c r="E230" i="1"/>
  <c r="H2" i="80"/>
  <c r="I2" i="80" l="1" a="1"/>
  <c r="I2" i="80" s="1"/>
  <c r="AC1" i="80"/>
  <c r="H2" i="81" a="1"/>
  <c r="E233" i="1" a="1"/>
  <c r="AF234" i="1" a="1"/>
  <c r="AF234" i="1" l="1"/>
  <c r="E233" i="1"/>
  <c r="H2" i="81"/>
  <c r="I2" i="81" l="1" a="1"/>
  <c r="I2" i="81" s="1"/>
  <c r="AC1" i="81"/>
  <c r="H2" i="82" a="1"/>
  <c r="E236" i="1" a="1"/>
  <c r="AF237" i="1" a="1"/>
  <c r="AF237" i="1" l="1"/>
  <c r="E236" i="1"/>
  <c r="H2" i="82"/>
  <c r="AC1" i="82" l="1"/>
  <c r="I2" i="82" a="1"/>
  <c r="I2" i="82" s="1"/>
  <c r="AF240" i="1" a="1"/>
  <c r="H2" i="83" a="1"/>
  <c r="E239" i="1" a="1"/>
  <c r="E239" i="1" l="1"/>
  <c r="H2" i="83"/>
  <c r="AF240" i="1"/>
  <c r="AC1" i="83" l="1"/>
  <c r="I2" i="83" a="1"/>
  <c r="I2" i="83" s="1"/>
  <c r="AF243" i="1" a="1"/>
  <c r="E242" i="1" a="1"/>
  <c r="H2" i="84" a="1"/>
  <c r="H2" i="84" l="1"/>
  <c r="E242" i="1"/>
  <c r="AF243" i="1"/>
  <c r="I2" i="84" l="1" a="1"/>
  <c r="I2" i="84" s="1"/>
  <c r="AC1" i="84"/>
  <c r="H2" i="85" a="1"/>
  <c r="E245" i="1" a="1"/>
  <c r="AF246" i="1" a="1"/>
  <c r="AF246" i="1" l="1"/>
  <c r="E245" i="1"/>
  <c r="H2" i="85"/>
  <c r="I2" i="85" l="1" a="1"/>
  <c r="I2" i="85" s="1"/>
  <c r="AC1" i="85"/>
  <c r="H2" i="86" a="1"/>
  <c r="E248" i="1" a="1"/>
  <c r="AF249" i="1" a="1"/>
  <c r="AF249" i="1" l="1"/>
  <c r="E248" i="1"/>
  <c r="H2" i="86"/>
  <c r="AC1" i="86" l="1"/>
  <c r="I2" i="86" a="1"/>
  <c r="I2" i="86" s="1"/>
  <c r="AF252" i="1" a="1"/>
  <c r="H2" i="87" a="1"/>
  <c r="E251" i="1" a="1"/>
  <c r="E251" i="1" l="1"/>
  <c r="H2" i="87"/>
  <c r="AF252" i="1"/>
  <c r="I2" i="87" l="1" a="1"/>
  <c r="I2" i="87" s="1"/>
  <c r="AC1" i="87"/>
  <c r="H2" i="88" a="1"/>
  <c r="E254" i="1" a="1"/>
  <c r="AF255" i="1" a="1"/>
  <c r="AF255" i="1" l="1"/>
  <c r="E254" i="1"/>
  <c r="H2" i="88"/>
  <c r="I2" i="88" l="1" a="1"/>
  <c r="I2" i="88" s="1"/>
  <c r="AC1" i="88"/>
  <c r="E257" i="1" a="1"/>
  <c r="H2" i="89" a="1"/>
  <c r="AF258" i="1" a="1"/>
  <c r="AF258" i="1" l="1"/>
  <c r="H2" i="89"/>
  <c r="E257" i="1"/>
  <c r="AC1" i="89" l="1"/>
  <c r="I2" i="89" a="1"/>
  <c r="I2" i="89" s="1"/>
  <c r="AF261" i="1" a="1"/>
  <c r="H2" i="90" a="1"/>
  <c r="E260" i="1" a="1"/>
  <c r="E260" i="1" l="1"/>
  <c r="H2" i="90"/>
  <c r="AF261" i="1"/>
  <c r="I2" i="90" l="1" a="1"/>
  <c r="I2" i="90" s="1"/>
  <c r="AC1" i="90"/>
  <c r="H2" i="91" a="1"/>
  <c r="E263" i="1" a="1"/>
  <c r="AF264" i="1" a="1"/>
  <c r="AF264" i="1" l="1"/>
  <c r="E263" i="1"/>
  <c r="H2" i="91"/>
  <c r="I2" i="91" l="1" a="1"/>
  <c r="I2" i="91" s="1"/>
  <c r="AC1" i="91"/>
  <c r="E266" i="1" a="1"/>
  <c r="H2" i="92" a="1"/>
  <c r="AF267" i="1" a="1"/>
  <c r="AF267" i="1" l="1"/>
  <c r="H2" i="92"/>
  <c r="E266" i="1"/>
  <c r="I2" i="92" l="1" a="1"/>
  <c r="I2" i="92" s="1"/>
  <c r="AC1" i="92"/>
  <c r="E269" i="1" a="1"/>
  <c r="AF270" i="1" a="1"/>
  <c r="AF270" i="1" l="1"/>
  <c r="E269" i="1"/>
</calcChain>
</file>

<file path=xl/sharedStrings.xml><?xml version="1.0" encoding="utf-8"?>
<sst xmlns="http://schemas.openxmlformats.org/spreadsheetml/2006/main" count="7026" uniqueCount="81">
  <si>
    <t>Day</t>
  </si>
  <si>
    <t>Date</t>
  </si>
  <si>
    <t>队</t>
  </si>
  <si>
    <t>剩步</t>
  </si>
  <si>
    <t>跳</t>
  </si>
  <si>
    <t>Note</t>
  </si>
  <si>
    <t>1队</t>
  </si>
  <si>
    <t>2队</t>
  </si>
  <si>
    <t>3队</t>
  </si>
  <si>
    <t>粮草</t>
  </si>
  <si>
    <t>经验</t>
  </si>
  <si>
    <t>行动</t>
  </si>
  <si>
    <t>已占领</t>
  </si>
  <si>
    <t>day</t>
  </si>
  <si>
    <t>张鹏</t>
  </si>
  <si>
    <t>date</t>
  </si>
  <si>
    <t>兵粮buff</t>
  </si>
  <si>
    <t>减粮草</t>
  </si>
  <si>
    <t>战勋buff</t>
  </si>
  <si>
    <t>加经验</t>
  </si>
  <si>
    <t>1级</t>
  </si>
  <si>
    <t>5级</t>
  </si>
  <si>
    <t>中boss</t>
  </si>
  <si>
    <t>2级</t>
  </si>
  <si>
    <t>历练</t>
  </si>
  <si>
    <t>大boss</t>
  </si>
  <si>
    <t>3级</t>
  </si>
  <si>
    <t>4级</t>
  </si>
  <si>
    <t>6级</t>
  </si>
  <si>
    <t>大卦</t>
  </si>
  <si>
    <t>草2</t>
  </si>
  <si>
    <t>草1</t>
  </si>
  <si>
    <t>草3</t>
  </si>
  <si>
    <t>草4</t>
  </si>
  <si>
    <t>草5</t>
  </si>
  <si>
    <t>草6</t>
  </si>
  <si>
    <t>总</t>
  </si>
  <si>
    <t>粮草节省</t>
  </si>
  <si>
    <t>经验加成</t>
  </si>
  <si>
    <t>遗迹</t>
  </si>
  <si>
    <t>批量生成分表：Alt+F11, insert Module</t>
  </si>
  <si>
    <t>商人</t>
  </si>
  <si>
    <t>Sub CopySheetMultipleTimes()</t>
  </si>
  <si>
    <t>营地</t>
  </si>
  <si>
    <t xml:space="preserve">    Dim i As Integer</t>
  </si>
  <si>
    <t xml:space="preserve">    Dim n As Integer</t>
  </si>
  <si>
    <t>3级卦</t>
  </si>
  <si>
    <t xml:space="preserve">    Dim baseName As String</t>
  </si>
  <si>
    <t>飞雷</t>
  </si>
  <si>
    <t xml:space="preserve">    </t>
  </si>
  <si>
    <t xml:space="preserve">    n = 87   ' &lt;-- how many new sheets you want</t>
  </si>
  <si>
    <t xml:space="preserve">    baseName = "3"   ' &lt;-- source sheet name</t>
  </si>
  <si>
    <t>4级卦</t>
  </si>
  <si>
    <t>塔1</t>
  </si>
  <si>
    <t xml:space="preserve">    For i = 1 To n</t>
  </si>
  <si>
    <t>塔2</t>
  </si>
  <si>
    <t xml:space="preserve">        Sheets(baseName).Copy After:=Sheets(Sheets.Count)</t>
  </si>
  <si>
    <t>塔3</t>
  </si>
  <si>
    <t xml:space="preserve">        ActiveSheet.Name = 3 + i</t>
  </si>
  <si>
    <t>空</t>
  </si>
  <si>
    <t xml:space="preserve">    Next i</t>
  </si>
  <si>
    <t>End Sub</t>
  </si>
  <si>
    <t>经验小计</t>
  </si>
  <si>
    <t>总经验</t>
  </si>
  <si>
    <t>消耗粮草</t>
  </si>
  <si>
    <t>获得经验</t>
  </si>
  <si>
    <t>初始行动</t>
  </si>
  <si>
    <t>结束行动</t>
  </si>
  <si>
    <t>跳步</t>
  </si>
  <si>
    <t>一队</t>
  </si>
  <si>
    <t>起始粮草</t>
  </si>
  <si>
    <t>调粮</t>
  </si>
  <si>
    <t>余粮</t>
  </si>
  <si>
    <t>二队</t>
  </si>
  <si>
    <t>三队</t>
  </si>
  <si>
    <t>起始经验</t>
  </si>
  <si>
    <t>调分</t>
  </si>
  <si>
    <t>八卦齐</t>
  </si>
  <si>
    <t>否</t>
  </si>
  <si>
    <t>巨卦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</si>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</sst>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C00000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0"/>
      <color rgb="FFC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12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0" fontId="0" fillId="20" borderId="4" xfId="0" applyFill="1" applyBorder="1"/>
    <xf numFmtId="0" fontId="0" fillId="19" borderId="4" xfId="0" applyFill="1" applyBorder="1"/>
    <xf numFmtId="0" fontId="0" fillId="20" borderId="0" xfId="0" applyFill="1"/>
    <xf numFmtId="0" fontId="0" fillId="19" borderId="0" xfId="0" applyFill="1"/>
    <xf numFmtId="0" fontId="10" fillId="0" borderId="0" xfId="2"/>
    <xf numFmtId="0" fontId="3" fillId="0" borderId="0" xfId="0" applyFont="1"/>
    <xf numFmtId="0" fontId="0" fillId="0" borderId="18" xfId="0" applyBorder="1"/>
    <xf numFmtId="0" fontId="0" fillId="0" borderId="17" xfId="0" applyBorder="1"/>
    <xf numFmtId="0" fontId="3" fillId="0" borderId="19" xfId="0" applyFont="1" applyBorder="1"/>
    <xf numFmtId="0" fontId="1" fillId="0" borderId="4" xfId="0" applyFont="1" applyBorder="1"/>
    <xf numFmtId="0" fontId="0" fillId="0" borderId="0" xfId="0" applyAlignment="1">
      <alignment wrapText="1"/>
    </xf>
    <xf numFmtId="0" fontId="1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2" fillId="0" borderId="0" xfId="0" applyFont="1"/>
    <xf numFmtId="0" fontId="13" fillId="0" borderId="0" xfId="2" applyFont="1" applyAlignment="1">
      <alignment horizontal="center" vertical="center"/>
    </xf>
    <xf numFmtId="0" fontId="1" fillId="0" borderId="8" xfId="0" applyFont="1" applyBorder="1"/>
    <xf numFmtId="0" fontId="14" fillId="0" borderId="4" xfId="0" applyFont="1" applyBorder="1"/>
    <xf numFmtId="0" fontId="0" fillId="21" borderId="16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0" xfId="0" applyAlignment="1">
      <alignment horizontal="right"/>
    </xf>
    <xf numFmtId="0" fontId="0" fillId="0" borderId="26" xfId="0" applyBorder="1" applyAlignment="1">
      <alignment wrapText="1"/>
    </xf>
    <xf numFmtId="0" fontId="0" fillId="0" borderId="16" xfId="0" applyBorder="1"/>
    <xf numFmtId="0" fontId="0" fillId="9" borderId="27" xfId="0" applyFill="1" applyBorder="1"/>
    <xf numFmtId="0" fontId="0" fillId="0" borderId="4" xfId="0" applyBorder="1" applyAlignment="1">
      <alignment vertical="top"/>
    </xf>
    <xf numFmtId="0" fontId="4" fillId="0" borderId="4" xfId="0" applyFont="1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2" xfId="0" applyFont="1" applyBorder="1"/>
    <xf numFmtId="0" fontId="5" fillId="0" borderId="4" xfId="0" applyFont="1" applyBorder="1" applyAlignment="1">
      <alignment vertical="top"/>
    </xf>
    <xf numFmtId="0" fontId="15" fillId="0" borderId="4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0" fontId="18" fillId="0" borderId="4" xfId="0" applyFont="1" applyBorder="1"/>
    <xf numFmtId="14" fontId="0" fillId="0" borderId="4" xfId="0" applyNumberForma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1" xfId="0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19" fillId="0" borderId="19" xfId="0" applyFont="1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22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auto="1"/>
      </font>
      <fill>
        <patternFill patternType="lightGrid">
          <fgColor rgb="FFFF8585"/>
          <bgColor theme="0"/>
        </patternFill>
      </fill>
    </dxf>
    <dxf>
      <font>
        <b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ont>
        <b/>
        <color rgb="FFFF0000"/>
      </font>
      <fill>
        <patternFill>
          <bgColor theme="4"/>
        </patternFill>
      </fill>
    </dxf>
    <dxf>
      <font>
        <b/>
        <color rgb="FFFFFF00"/>
      </font>
      <fill>
        <patternFill>
          <bgColor rgb="FF9900CC"/>
        </patternFill>
      </fill>
    </dxf>
    <dxf>
      <font>
        <b/>
        <color rgb="FFC00000"/>
      </font>
      <fill>
        <patternFill patternType="solid">
          <bgColor theme="5"/>
        </patternFill>
      </fill>
    </dxf>
    <dxf>
      <font>
        <b/>
        <color rgb="FFFF0000"/>
      </font>
      <fill>
        <patternFill>
          <bgColor theme="9" tint="0.79998168889431442"/>
        </patternFill>
      </fill>
    </dxf>
    <dxf>
      <font>
        <b/>
        <color rgb="FFFF0000"/>
      </font>
      <fill>
        <patternFill>
          <bgColor theme="0" tint="-0.14993743705557422"/>
        </patternFill>
      </fill>
    </dxf>
    <dxf>
      <font>
        <b/>
      </font>
      <fill>
        <patternFill>
          <bgColor rgb="FFFFCCFF"/>
        </patternFill>
      </fill>
    </dxf>
    <dxf>
      <font>
        <b/>
      </font>
      <fill>
        <patternFill>
          <bgColor rgb="FF00FFCC"/>
        </patternFill>
      </fill>
    </dxf>
    <dxf>
      <font>
        <b/>
        <color rgb="FFFF0000"/>
      </font>
      <fill>
        <patternFill>
          <bgColor theme="4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71"/>
  <sheetViews>
    <sheetView topLeftCell="B47" zoomScaleNormal="100" workbookViewId="0">
      <selection activeCell="T64" sqref="T64"/>
    </sheetView>
  </sheetViews>
  <sheetFormatPr defaultRowHeight="15"/>
  <cols>
    <col min="1" max="1" width="9.140625" hidden="1" customWidth="1"/>
    <col min="2" max="2" width="9.7109375" bestFit="1" customWidth="1"/>
    <col min="3" max="3" width="8.5703125" customWidth="1"/>
    <col min="4" max="4" width="5.140625" customWidth="1"/>
    <col min="5" max="5" width="6.7109375" customWidth="1"/>
    <col min="6" max="31" width="5.7109375" customWidth="1"/>
  </cols>
  <sheetData>
    <row r="1" spans="1:32" ht="15.75" customHeight="1" thickBot="1">
      <c r="A1" t="s">
        <v>0</v>
      </c>
      <c r="B1" s="3" t="s">
        <v>1</v>
      </c>
      <c r="D1" t="s">
        <v>2</v>
      </c>
      <c r="E1" s="3" t="s">
        <v>3</v>
      </c>
      <c r="F1" s="57">
        <v>1</v>
      </c>
      <c r="G1" s="57">
        <v>2</v>
      </c>
      <c r="H1" s="57">
        <v>3</v>
      </c>
      <c r="I1" s="57">
        <v>4</v>
      </c>
      <c r="J1" s="57">
        <v>5</v>
      </c>
      <c r="K1" s="57">
        <v>6</v>
      </c>
      <c r="L1" s="57">
        <v>7</v>
      </c>
      <c r="M1" s="57">
        <v>8</v>
      </c>
      <c r="N1" s="57">
        <v>9</v>
      </c>
      <c r="O1" s="57">
        <v>10</v>
      </c>
      <c r="P1" s="57">
        <v>11</v>
      </c>
      <c r="Q1" s="57">
        <v>12</v>
      </c>
      <c r="R1" s="57">
        <v>13</v>
      </c>
      <c r="S1" s="57">
        <v>14</v>
      </c>
      <c r="T1" s="57">
        <v>15</v>
      </c>
      <c r="U1" s="57">
        <v>16</v>
      </c>
      <c r="V1" s="57">
        <v>17</v>
      </c>
      <c r="W1" s="57">
        <v>18</v>
      </c>
      <c r="X1" s="57">
        <v>19</v>
      </c>
      <c r="Y1" s="57">
        <v>20</v>
      </c>
      <c r="Z1" s="57">
        <v>21</v>
      </c>
      <c r="AA1" s="57">
        <v>22</v>
      </c>
      <c r="AB1" s="57">
        <v>23</v>
      </c>
      <c r="AC1" s="57">
        <v>24</v>
      </c>
      <c r="AD1" s="57">
        <v>25</v>
      </c>
      <c r="AE1" s="57" t="s">
        <v>4</v>
      </c>
      <c r="AF1" s="3" t="s">
        <v>5</v>
      </c>
    </row>
    <row r="2" spans="1:32" ht="15.75" customHeight="1">
      <c r="A2" s="58">
        <v>1</v>
      </c>
      <c r="B2" s="105">
        <f>INDEX(data!$I$2:$I$91,MATCH(A2*1,data!$G$2:$G$91,0))</f>
        <v>46185</v>
      </c>
      <c r="C2" s="66" t="str">
        <f>HYPERLINK("#'" &amp; A2 &amp; "'!A1", "编辑")</f>
        <v>编辑</v>
      </c>
      <c r="D2" s="54" t="s">
        <v>6</v>
      </c>
      <c r="E2" s="81">
        <f t="array" aca="1" ref="E2" ca="1">INDIRECT("'"&amp;$A3&amp;"'!I2")</f>
        <v>6</v>
      </c>
      <c r="F2" s="29">
        <f t="array" aca="1" ref="F2" ca="1">INDIRECT("'"&amp;$A2&amp;"'!C8")</f>
        <v>0</v>
      </c>
      <c r="G2" s="30">
        <f t="array" aca="1" ref="G2" ca="1">INDIRECT("'"&amp;$A2&amp;"'!D8")</f>
        <v>0</v>
      </c>
      <c r="H2" s="30">
        <f t="array" aca="1" ref="H2" ca="1">INDIRECT("'"&amp;$A2&amp;"'!E8")</f>
        <v>0</v>
      </c>
      <c r="I2" s="30">
        <f t="array" aca="1" ref="I2" ca="1">INDIRECT("'"&amp;$A2&amp;"'!F8")</f>
        <v>0</v>
      </c>
      <c r="J2" s="30">
        <f t="array" aca="1" ref="J2" ca="1">INDIRECT("'"&amp;$A2&amp;"'!G8")</f>
        <v>0</v>
      </c>
      <c r="K2" s="30">
        <f t="array" aca="1" ref="K2" ca="1">INDIRECT("'"&amp;$A2&amp;"'!H8")</f>
        <v>0</v>
      </c>
      <c r="L2" s="30">
        <f t="array" aca="1" ref="L2" ca="1">INDIRECT("'"&amp;$A2&amp;"'!I8")</f>
        <v>0</v>
      </c>
      <c r="M2" s="30">
        <f t="array" aca="1" ref="M2" ca="1">INDIRECT("'"&amp;$A2&amp;"'!J8")</f>
        <v>0</v>
      </c>
      <c r="N2" s="30">
        <f t="array" aca="1" ref="N2" ca="1">INDIRECT("'"&amp;$A2&amp;"'!K8")</f>
        <v>0</v>
      </c>
      <c r="O2" s="30">
        <f t="array" aca="1" ref="O2" ca="1">INDIRECT("'"&amp;$A2&amp;"'!L8")</f>
        <v>0</v>
      </c>
      <c r="P2" s="30">
        <f t="array" aca="1" ref="P2" ca="1">INDIRECT("'"&amp;$A2&amp;"'!M8")</f>
        <v>0</v>
      </c>
      <c r="Q2" s="30">
        <f t="array" aca="1" ref="Q2" ca="1">INDIRECT("'"&amp;$A2&amp;"'!N8")</f>
        <v>0</v>
      </c>
      <c r="R2" s="30">
        <f t="array" aca="1" ref="R2" ca="1">INDIRECT("'"&amp;$A2&amp;"'!O8")</f>
        <v>0</v>
      </c>
      <c r="S2" s="30">
        <f t="array" aca="1" ref="S2" ca="1">INDIRECT("'"&amp;$A2&amp;"'!P8")</f>
        <v>0</v>
      </c>
      <c r="T2" s="30">
        <f t="array" aca="1" ref="T2" ca="1">INDIRECT("'"&amp;$A2&amp;"'!Q8")</f>
        <v>0</v>
      </c>
      <c r="U2" s="30">
        <f t="array" aca="1" ref="U2" ca="1">INDIRECT("'"&amp;$A2&amp;"'!R8")</f>
        <v>0</v>
      </c>
      <c r="V2" s="30">
        <f t="array" aca="1" ref="V2" ca="1">INDIRECT("'"&amp;$A2&amp;"'!S8")</f>
        <v>0</v>
      </c>
      <c r="W2" s="30">
        <f t="array" aca="1" ref="W2" ca="1">INDIRECT("'"&amp;$A2&amp;"'!T8")</f>
        <v>0</v>
      </c>
      <c r="X2" s="30">
        <f t="array" aca="1" ref="X2" ca="1">INDIRECT("'"&amp;$A2&amp;"'!U8")</f>
        <v>0</v>
      </c>
      <c r="Y2" s="30">
        <f t="array" aca="1" ref="Y2" ca="1">INDIRECT("'"&amp;$A2&amp;"'!V8")</f>
        <v>0</v>
      </c>
      <c r="Z2" s="30">
        <f t="array" aca="1" ref="Z2" ca="1">INDIRECT("'"&amp;$A2&amp;"'!W8")</f>
        <v>0</v>
      </c>
      <c r="AA2" s="30">
        <f t="array" aca="1" ref="AA2" ca="1">INDIRECT("'"&amp;$A2&amp;"'!X8")</f>
        <v>0</v>
      </c>
      <c r="AB2" s="30">
        <f t="array" aca="1" ref="AB2" ca="1">INDIRECT("'"&amp;$A2&amp;"'!Y8")</f>
        <v>0</v>
      </c>
      <c r="AC2" s="30">
        <f t="array" aca="1" ref="AC2" ca="1">INDIRECT("'"&amp;$A2&amp;"'!Z8")</f>
        <v>0</v>
      </c>
      <c r="AD2" s="31">
        <f t="array" aca="1" ref="AD2" ca="1">INDIRECT("'"&amp;$A2&amp;"'!AA8")</f>
        <v>0</v>
      </c>
      <c r="AE2" s="81">
        <f t="array" aca="1" ref="AE2" ca="1">INDIRECT("'"&amp;$A3&amp;"'!J2")</f>
        <v>0</v>
      </c>
      <c r="AF2" s="53" t="str">
        <f t="array" aca="1" ref="AF2" ca="1">INDIRECT("'"&amp;$A3&amp;"'!AD1")</f>
        <v/>
      </c>
    </row>
    <row r="3" spans="1:32">
      <c r="A3" s="58">
        <v>1</v>
      </c>
      <c r="B3" s="106"/>
      <c r="C3" s="67" t="str">
        <f t="array" aca="1" ref="C3" ca="1">CONCATENATE("粮 ",INDIRECT("'"&amp;$A3&amp;"'!D4"))</f>
        <v>粮 6800</v>
      </c>
      <c r="D3" s="55" t="s">
        <v>7</v>
      </c>
      <c r="E3" s="82">
        <f t="array" aca="1" ref="E3" ca="1">INDIRECT("'"&amp;$A3&amp;"'!I3")</f>
        <v>6</v>
      </c>
      <c r="F3" s="52">
        <f t="array" aca="1" ref="F3" ca="1">INDIRECT("'"&amp;$A3&amp;"'!C11")</f>
        <v>0</v>
      </c>
      <c r="G3" s="3">
        <f t="array" aca="1" ref="G3" ca="1">INDIRECT("'"&amp;$A3&amp;"'!D11")</f>
        <v>0</v>
      </c>
      <c r="H3" s="3">
        <f t="array" aca="1" ref="H3" ca="1">INDIRECT("'"&amp;$A3&amp;"'!E11")</f>
        <v>0</v>
      </c>
      <c r="I3" s="3">
        <f t="array" aca="1" ref="I3" ca="1">INDIRECT("'"&amp;$A3&amp;"'!F11")</f>
        <v>0</v>
      </c>
      <c r="J3" s="3">
        <f t="array" aca="1" ref="J3" ca="1">INDIRECT("'"&amp;$A3&amp;"'!G11")</f>
        <v>0</v>
      </c>
      <c r="K3" s="3">
        <f t="array" aca="1" ref="K3" ca="1">INDIRECT("'"&amp;$A3&amp;"'!H11")</f>
        <v>0</v>
      </c>
      <c r="L3" s="3">
        <f t="array" aca="1" ref="L3" ca="1">INDIRECT("'"&amp;$A3&amp;"'!I11")</f>
        <v>0</v>
      </c>
      <c r="M3" s="3">
        <f t="array" aca="1" ref="M3" ca="1">INDIRECT("'"&amp;$A3&amp;"'!J11")</f>
        <v>0</v>
      </c>
      <c r="N3" s="3">
        <f t="array" aca="1" ref="N3" ca="1">INDIRECT("'"&amp;$A3&amp;"'!K11")</f>
        <v>0</v>
      </c>
      <c r="O3" s="3">
        <f t="array" aca="1" ref="O3" ca="1">INDIRECT("'"&amp;$A3&amp;"'!L11")</f>
        <v>0</v>
      </c>
      <c r="P3" s="3">
        <f t="array" aca="1" ref="P3" ca="1">INDIRECT("'"&amp;$A3&amp;"'!M11")</f>
        <v>0</v>
      </c>
      <c r="Q3" s="3">
        <f t="array" aca="1" ref="Q3" ca="1">INDIRECT("'"&amp;$A3&amp;"'!N11")</f>
        <v>0</v>
      </c>
      <c r="R3" s="3">
        <f t="array" aca="1" ref="R3" ca="1">INDIRECT("'"&amp;$A3&amp;"'!O11")</f>
        <v>0</v>
      </c>
      <c r="S3" s="3">
        <f t="array" aca="1" ref="S3" ca="1">INDIRECT("'"&amp;$A3&amp;"'!P11")</f>
        <v>0</v>
      </c>
      <c r="T3" s="3">
        <f t="array" aca="1" ref="T3" ca="1">INDIRECT("'"&amp;$A3&amp;"'!Q11")</f>
        <v>0</v>
      </c>
      <c r="U3" s="3">
        <f t="array" aca="1" ref="U3" ca="1">INDIRECT("'"&amp;$A3&amp;"'!R11")</f>
        <v>0</v>
      </c>
      <c r="V3" s="3">
        <f t="array" aca="1" ref="V3" ca="1">INDIRECT("'"&amp;$A3&amp;"'!S11")</f>
        <v>0</v>
      </c>
      <c r="W3" s="3">
        <f t="array" aca="1" ref="W3" ca="1">INDIRECT("'"&amp;$A3&amp;"'!T11")</f>
        <v>0</v>
      </c>
      <c r="X3" s="3">
        <f t="array" aca="1" ref="X3" ca="1">INDIRECT("'"&amp;$A3&amp;"'!U11")</f>
        <v>0</v>
      </c>
      <c r="Y3" s="3">
        <f t="array" aca="1" ref="Y3" ca="1">INDIRECT("'"&amp;$A3&amp;"'!V11")</f>
        <v>0</v>
      </c>
      <c r="Z3" s="3">
        <f t="array" aca="1" ref="Z3" ca="1">INDIRECT("'"&amp;$A3&amp;"'!W11")</f>
        <v>0</v>
      </c>
      <c r="AA3" s="3">
        <f t="array" aca="1" ref="AA3" ca="1">INDIRECT("'"&amp;$A3&amp;"'!X11")</f>
        <v>0</v>
      </c>
      <c r="AB3" s="3">
        <f t="array" aca="1" ref="AB3" ca="1">INDIRECT("'"&amp;$A3&amp;"'!Y11")</f>
        <v>0</v>
      </c>
      <c r="AC3" s="3">
        <f t="array" aca="1" ref="AC3" ca="1">INDIRECT("'"&amp;$A3&amp;"'!Z11")</f>
        <v>0</v>
      </c>
      <c r="AD3" s="32">
        <f t="array" aca="1" ref="AD3" ca="1">INDIRECT("'"&amp;$A3&amp;"'!AA11")</f>
        <v>0</v>
      </c>
      <c r="AE3" s="82">
        <f t="array" aca="1" ref="AE3" ca="1">INDIRECT("'"&amp;$A3&amp;"'!J3")</f>
        <v>0</v>
      </c>
      <c r="AF3" s="53" t="str">
        <f t="array" aca="1" ref="AF3" ca="1">INDIRECT("'"&amp;$A3&amp;"'!AC1")</f>
        <v/>
      </c>
    </row>
    <row r="4" spans="1:32" ht="15.75" customHeight="1" thickBot="1">
      <c r="A4" s="58">
        <v>1</v>
      </c>
      <c r="B4" s="107"/>
      <c r="C4" s="77" t="str">
        <f t="array" aca="1" ref="C4" ca="1">CONCATENATE("分 ",INDIRECT("'"&amp;$A3&amp;"'!D6"))</f>
        <v>分 0</v>
      </c>
      <c r="D4" s="56" t="s">
        <v>8</v>
      </c>
      <c r="E4" s="83">
        <f t="array" aca="1" ref="E4" ca="1">INDIRECT("'"&amp;$A3&amp;"'!I4")</f>
        <v>6</v>
      </c>
      <c r="F4" s="52">
        <f t="array" aca="1" ref="F4" ca="1">INDIRECT("'"&amp;$A4&amp;"'!C14")</f>
        <v>0</v>
      </c>
      <c r="G4" s="3">
        <f t="array" aca="1" ref="G4" ca="1">INDIRECT("'"&amp;$A4&amp;"'!D14")</f>
        <v>0</v>
      </c>
      <c r="H4" s="3">
        <f t="array" aca="1" ref="H4" ca="1">INDIRECT("'"&amp;$A4&amp;"'!E14")</f>
        <v>0</v>
      </c>
      <c r="I4" s="3">
        <f t="array" aca="1" ref="I4" ca="1">INDIRECT("'"&amp;$A4&amp;"'!F14")</f>
        <v>0</v>
      </c>
      <c r="J4" s="3">
        <f t="array" aca="1" ref="J4" ca="1">INDIRECT("'"&amp;$A4&amp;"'!G14")</f>
        <v>0</v>
      </c>
      <c r="K4" s="3">
        <f t="array" aca="1" ref="K4" ca="1">INDIRECT("'"&amp;$A4&amp;"'!H14")</f>
        <v>0</v>
      </c>
      <c r="L4" s="3">
        <f t="array" aca="1" ref="L4" ca="1">INDIRECT("'"&amp;$A4&amp;"'!I14")</f>
        <v>0</v>
      </c>
      <c r="M4" s="3">
        <f t="array" aca="1" ref="M4" ca="1">INDIRECT("'"&amp;$A4&amp;"'!J14")</f>
        <v>0</v>
      </c>
      <c r="N4" s="3">
        <f t="array" aca="1" ref="N4" ca="1">INDIRECT("'"&amp;$A4&amp;"'!K14")</f>
        <v>0</v>
      </c>
      <c r="O4" s="3">
        <f t="array" aca="1" ref="O4" ca="1">INDIRECT("'"&amp;$A4&amp;"'!L14")</f>
        <v>0</v>
      </c>
      <c r="P4" s="3">
        <f t="array" aca="1" ref="P4" ca="1">INDIRECT("'"&amp;$A4&amp;"'!M14")</f>
        <v>0</v>
      </c>
      <c r="Q4" s="3">
        <f t="array" aca="1" ref="Q4" ca="1">INDIRECT("'"&amp;$A4&amp;"'!N14")</f>
        <v>0</v>
      </c>
      <c r="R4" s="3">
        <f t="array" aca="1" ref="R4" ca="1">INDIRECT("'"&amp;$A4&amp;"'!O14")</f>
        <v>0</v>
      </c>
      <c r="S4" s="3">
        <f t="array" aca="1" ref="S4" ca="1">INDIRECT("'"&amp;$A4&amp;"'!P14")</f>
        <v>0</v>
      </c>
      <c r="T4" s="3">
        <f t="array" aca="1" ref="T4" ca="1">INDIRECT("'"&amp;$A4&amp;"'!Q14")</f>
        <v>0</v>
      </c>
      <c r="U4" s="3">
        <f t="array" aca="1" ref="U4" ca="1">INDIRECT("'"&amp;$A4&amp;"'!R14")</f>
        <v>0</v>
      </c>
      <c r="V4" s="3">
        <f t="array" aca="1" ref="V4" ca="1">INDIRECT("'"&amp;$A4&amp;"'!S14")</f>
        <v>0</v>
      </c>
      <c r="W4" s="3">
        <f t="array" aca="1" ref="W4" ca="1">INDIRECT("'"&amp;$A4&amp;"'!T14")</f>
        <v>0</v>
      </c>
      <c r="X4" s="3">
        <f t="array" aca="1" ref="X4" ca="1">INDIRECT("'"&amp;$A4&amp;"'!U14")</f>
        <v>0</v>
      </c>
      <c r="Y4" s="3">
        <f t="array" aca="1" ref="Y4" ca="1">INDIRECT("'"&amp;$A4&amp;"'!V14")</f>
        <v>0</v>
      </c>
      <c r="Z4" s="3">
        <f t="array" aca="1" ref="Z4" ca="1">INDIRECT("'"&amp;$A4&amp;"'!W14")</f>
        <v>0</v>
      </c>
      <c r="AA4" s="3">
        <f t="array" aca="1" ref="AA4" ca="1">INDIRECT("'"&amp;$A4&amp;"'!X14")</f>
        <v>0</v>
      </c>
      <c r="AB4" s="3">
        <f t="array" aca="1" ref="AB4" ca="1">INDIRECT("'"&amp;$A4&amp;"'!Y14")</f>
        <v>0</v>
      </c>
      <c r="AC4" s="3">
        <f t="array" aca="1" ref="AC4" ca="1">INDIRECT("'"&amp;$A4&amp;"'!Z14")</f>
        <v>0</v>
      </c>
      <c r="AD4" s="32">
        <f t="array" aca="1" ref="AD4" ca="1">INDIRECT("'"&amp;$A4&amp;"'!AA14")</f>
        <v>0</v>
      </c>
      <c r="AE4" s="83">
        <f t="array" aca="1" ref="AE4" ca="1">INDIRECT("'"&amp;$A3&amp;"'!J4")</f>
        <v>0</v>
      </c>
      <c r="AF4" s="53"/>
    </row>
    <row r="5" spans="1:32">
      <c r="A5" s="58">
        <v>2</v>
      </c>
      <c r="B5" s="105">
        <f>INDEX(data!$I$2:$I$91,MATCH(A5*1,data!$G$2:$G$91,0))</f>
        <v>46186</v>
      </c>
      <c r="C5" s="66" t="str">
        <f>HYPERLINK("#'" &amp; A5 &amp; "'!A1", "编辑")</f>
        <v>编辑</v>
      </c>
      <c r="D5" s="54" t="s">
        <v>6</v>
      </c>
      <c r="E5" s="81">
        <f t="array" aca="1" ref="E5" ca="1">INDIRECT("'"&amp;$A6&amp;"'!I2")</f>
        <v>12</v>
      </c>
      <c r="F5" s="29">
        <f t="array" aca="1" ref="F5" ca="1">INDIRECT("'"&amp;$A5&amp;"'!C8")</f>
        <v>0</v>
      </c>
      <c r="G5" s="30">
        <f t="array" aca="1" ref="G5" ca="1">INDIRECT("'"&amp;$A5&amp;"'!D8")</f>
        <v>0</v>
      </c>
      <c r="H5" s="30">
        <f t="array" aca="1" ref="H5" ca="1">INDIRECT("'"&amp;$A5&amp;"'!E8")</f>
        <v>0</v>
      </c>
      <c r="I5" s="30">
        <f t="array" aca="1" ref="I5" ca="1">INDIRECT("'"&amp;$A5&amp;"'!F8")</f>
        <v>0</v>
      </c>
      <c r="J5" s="30">
        <f t="array" aca="1" ref="J5" ca="1">INDIRECT("'"&amp;$A5&amp;"'!G8")</f>
        <v>0</v>
      </c>
      <c r="K5" s="30">
        <f t="array" aca="1" ref="K5" ca="1">INDIRECT("'"&amp;$A5&amp;"'!H8")</f>
        <v>0</v>
      </c>
      <c r="L5" s="30">
        <f t="array" aca="1" ref="L5" ca="1">INDIRECT("'"&amp;$A5&amp;"'!I8")</f>
        <v>0</v>
      </c>
      <c r="M5" s="30">
        <f t="array" aca="1" ref="M5" ca="1">INDIRECT("'"&amp;$A5&amp;"'!J8")</f>
        <v>0</v>
      </c>
      <c r="N5" s="30">
        <f t="array" aca="1" ref="N5" ca="1">INDIRECT("'"&amp;$A5&amp;"'!K8")</f>
        <v>0</v>
      </c>
      <c r="O5" s="30">
        <f t="array" aca="1" ref="O5" ca="1">INDIRECT("'"&amp;$A5&amp;"'!L8")</f>
        <v>0</v>
      </c>
      <c r="P5" s="30">
        <f t="array" aca="1" ref="P5" ca="1">INDIRECT("'"&amp;$A5&amp;"'!M8")</f>
        <v>0</v>
      </c>
      <c r="Q5" s="30">
        <f t="array" aca="1" ref="Q5" ca="1">INDIRECT("'"&amp;$A5&amp;"'!N8")</f>
        <v>0</v>
      </c>
      <c r="R5" s="30">
        <f t="array" aca="1" ref="R5" ca="1">INDIRECT("'"&amp;$A5&amp;"'!O8")</f>
        <v>0</v>
      </c>
      <c r="S5" s="30">
        <f t="array" aca="1" ref="S5" ca="1">INDIRECT("'"&amp;$A5&amp;"'!P8")</f>
        <v>0</v>
      </c>
      <c r="T5" s="30">
        <f t="array" aca="1" ref="T5" ca="1">INDIRECT("'"&amp;$A5&amp;"'!Q8")</f>
        <v>0</v>
      </c>
      <c r="U5" s="30">
        <f t="array" aca="1" ref="U5" ca="1">INDIRECT("'"&amp;$A5&amp;"'!R8")</f>
        <v>0</v>
      </c>
      <c r="V5" s="30">
        <f t="array" aca="1" ref="V5" ca="1">INDIRECT("'"&amp;$A5&amp;"'!S8")</f>
        <v>0</v>
      </c>
      <c r="W5" s="30">
        <f t="array" aca="1" ref="W5" ca="1">INDIRECT("'"&amp;$A5&amp;"'!T8")</f>
        <v>0</v>
      </c>
      <c r="X5" s="30">
        <f t="array" aca="1" ref="X5" ca="1">INDIRECT("'"&amp;$A5&amp;"'!U8")</f>
        <v>0</v>
      </c>
      <c r="Y5" s="30">
        <f t="array" aca="1" ref="Y5" ca="1">INDIRECT("'"&amp;$A5&amp;"'!V8")</f>
        <v>0</v>
      </c>
      <c r="Z5" s="30">
        <f t="array" aca="1" ref="Z5" ca="1">INDIRECT("'"&amp;$A5&amp;"'!W8")</f>
        <v>0</v>
      </c>
      <c r="AA5" s="30">
        <f t="array" aca="1" ref="AA5" ca="1">INDIRECT("'"&amp;$A5&amp;"'!X8")</f>
        <v>0</v>
      </c>
      <c r="AB5" s="30">
        <f t="array" aca="1" ref="AB5" ca="1">INDIRECT("'"&amp;$A5&amp;"'!Y8")</f>
        <v>0</v>
      </c>
      <c r="AC5" s="30">
        <f t="array" aca="1" ref="AC5" ca="1">INDIRECT("'"&amp;$A5&amp;"'!Z8")</f>
        <v>0</v>
      </c>
      <c r="AD5" s="31">
        <f t="array" aca="1" ref="AD5" ca="1">INDIRECT("'"&amp;$A5&amp;"'!AA8")</f>
        <v>0</v>
      </c>
      <c r="AE5" s="81">
        <f t="array" aca="1" ref="AE5" ca="1">INDIRECT("'"&amp;$A6&amp;"'!J2")</f>
        <v>0</v>
      </c>
      <c r="AF5" s="53" t="str">
        <f t="array" aca="1" ref="AF5" ca="1">INDIRECT("'"&amp;$A6&amp;"'!AD1")</f>
        <v/>
      </c>
    </row>
    <row r="6" spans="1:32">
      <c r="A6" s="58">
        <v>2</v>
      </c>
      <c r="B6" s="106"/>
      <c r="C6" s="67" t="str">
        <f t="array" aca="1" ref="C6" ca="1">CONCATENATE("粮 ",INDIRECT("'"&amp;$A6&amp;"'!D4"))</f>
        <v>粮 8400</v>
      </c>
      <c r="D6" s="55" t="s">
        <v>7</v>
      </c>
      <c r="E6" s="82">
        <f t="array" aca="1" ref="E6" ca="1">INDIRECT("'"&amp;$A6&amp;"'!I3")</f>
        <v>12</v>
      </c>
      <c r="F6" s="52">
        <f t="array" aca="1" ref="F6" ca="1">INDIRECT("'"&amp;$A6&amp;"'!C11")</f>
        <v>0</v>
      </c>
      <c r="G6" s="3">
        <f t="array" aca="1" ref="G6" ca="1">INDIRECT("'"&amp;$A6&amp;"'!D11")</f>
        <v>0</v>
      </c>
      <c r="H6" s="3">
        <f t="array" aca="1" ref="H6" ca="1">INDIRECT("'"&amp;$A6&amp;"'!E11")</f>
        <v>0</v>
      </c>
      <c r="I6" s="3">
        <f t="array" aca="1" ref="I6" ca="1">INDIRECT("'"&amp;$A6&amp;"'!F11")</f>
        <v>0</v>
      </c>
      <c r="J6" s="3">
        <f t="array" aca="1" ref="J6" ca="1">INDIRECT("'"&amp;$A6&amp;"'!G11")</f>
        <v>0</v>
      </c>
      <c r="K6" s="3">
        <f t="array" aca="1" ref="K6" ca="1">INDIRECT("'"&amp;$A6&amp;"'!H11")</f>
        <v>0</v>
      </c>
      <c r="L6" s="3">
        <f t="array" aca="1" ref="L6" ca="1">INDIRECT("'"&amp;$A6&amp;"'!I11")</f>
        <v>0</v>
      </c>
      <c r="M6" s="3">
        <f t="array" aca="1" ref="M6" ca="1">INDIRECT("'"&amp;$A6&amp;"'!J11")</f>
        <v>0</v>
      </c>
      <c r="N6" s="3">
        <f t="array" aca="1" ref="N6" ca="1">INDIRECT("'"&amp;$A6&amp;"'!K11")</f>
        <v>0</v>
      </c>
      <c r="O6" s="3">
        <f t="array" aca="1" ref="O6" ca="1">INDIRECT("'"&amp;$A6&amp;"'!L11")</f>
        <v>0</v>
      </c>
      <c r="P6" s="3">
        <f t="array" aca="1" ref="P6" ca="1">INDIRECT("'"&amp;$A6&amp;"'!M11")</f>
        <v>0</v>
      </c>
      <c r="Q6" s="3">
        <f t="array" aca="1" ref="Q6" ca="1">INDIRECT("'"&amp;$A6&amp;"'!N11")</f>
        <v>0</v>
      </c>
      <c r="R6" s="3">
        <f t="array" aca="1" ref="R6" ca="1">INDIRECT("'"&amp;$A6&amp;"'!O11")</f>
        <v>0</v>
      </c>
      <c r="S6" s="3">
        <f t="array" aca="1" ref="S6" ca="1">INDIRECT("'"&amp;$A6&amp;"'!P11")</f>
        <v>0</v>
      </c>
      <c r="T6" s="3">
        <f t="array" aca="1" ref="T6" ca="1">INDIRECT("'"&amp;$A6&amp;"'!Q11")</f>
        <v>0</v>
      </c>
      <c r="U6" s="3">
        <f t="array" aca="1" ref="U6" ca="1">INDIRECT("'"&amp;$A6&amp;"'!R11")</f>
        <v>0</v>
      </c>
      <c r="V6" s="3">
        <f t="array" aca="1" ref="V6" ca="1">INDIRECT("'"&amp;$A6&amp;"'!S11")</f>
        <v>0</v>
      </c>
      <c r="W6" s="3">
        <f t="array" aca="1" ref="W6" ca="1">INDIRECT("'"&amp;$A6&amp;"'!T11")</f>
        <v>0</v>
      </c>
      <c r="X6" s="3">
        <f t="array" aca="1" ref="X6" ca="1">INDIRECT("'"&amp;$A6&amp;"'!U11")</f>
        <v>0</v>
      </c>
      <c r="Y6" s="3">
        <f t="array" aca="1" ref="Y6" ca="1">INDIRECT("'"&amp;$A6&amp;"'!V11")</f>
        <v>0</v>
      </c>
      <c r="Z6" s="3">
        <f t="array" aca="1" ref="Z6" ca="1">INDIRECT("'"&amp;$A6&amp;"'!W11")</f>
        <v>0</v>
      </c>
      <c r="AA6" s="3">
        <f t="array" aca="1" ref="AA6" ca="1">INDIRECT("'"&amp;$A6&amp;"'!X11")</f>
        <v>0</v>
      </c>
      <c r="AB6" s="3">
        <f t="array" aca="1" ref="AB6" ca="1">INDIRECT("'"&amp;$A6&amp;"'!Y11")</f>
        <v>0</v>
      </c>
      <c r="AC6" s="3">
        <f t="array" aca="1" ref="AC6" ca="1">INDIRECT("'"&amp;$A6&amp;"'!Z11")</f>
        <v>0</v>
      </c>
      <c r="AD6" s="32">
        <f t="array" aca="1" ref="AD6" ca="1">INDIRECT("'"&amp;$A6&amp;"'!AA11")</f>
        <v>0</v>
      </c>
      <c r="AE6" s="82">
        <f t="array" aca="1" ref="AE6" ca="1">INDIRECT("'"&amp;$A6&amp;"'!J3")</f>
        <v>0</v>
      </c>
      <c r="AF6" s="53" t="str">
        <f t="array" aca="1" ref="AF6" ca="1">INDIRECT("'"&amp;$A6&amp;"'!AC1")</f>
        <v/>
      </c>
    </row>
    <row r="7" spans="1:32" ht="15.75" customHeight="1" thickBot="1">
      <c r="A7" s="58">
        <v>2</v>
      </c>
      <c r="B7" s="107"/>
      <c r="C7" s="77" t="str">
        <f t="array" aca="1" ref="C7" ca="1">CONCATENATE("分 ",INDIRECT("'"&amp;$A6&amp;"'!D6"))</f>
        <v>分 0</v>
      </c>
      <c r="D7" s="56" t="s">
        <v>8</v>
      </c>
      <c r="E7" s="83">
        <f t="array" aca="1" ref="E7" ca="1">INDIRECT("'"&amp;$A6&amp;"'!I4")</f>
        <v>12</v>
      </c>
      <c r="F7" s="52">
        <f t="array" aca="1" ref="F7" ca="1">INDIRECT("'"&amp;$A7&amp;"'!C14")</f>
        <v>0</v>
      </c>
      <c r="G7" s="3">
        <f t="array" aca="1" ref="G7" ca="1">INDIRECT("'"&amp;$A7&amp;"'!D14")</f>
        <v>0</v>
      </c>
      <c r="H7" s="3">
        <f t="array" aca="1" ref="H7" ca="1">INDIRECT("'"&amp;$A7&amp;"'!E14")</f>
        <v>0</v>
      </c>
      <c r="I7" s="3">
        <f t="array" aca="1" ref="I7" ca="1">INDIRECT("'"&amp;$A7&amp;"'!F14")</f>
        <v>0</v>
      </c>
      <c r="J7" s="3">
        <f t="array" aca="1" ref="J7" ca="1">INDIRECT("'"&amp;$A7&amp;"'!G14")</f>
        <v>0</v>
      </c>
      <c r="K7" s="3">
        <f t="array" aca="1" ref="K7" ca="1">INDIRECT("'"&amp;$A7&amp;"'!H14")</f>
        <v>0</v>
      </c>
      <c r="L7" s="3">
        <f t="array" aca="1" ref="L7" ca="1">INDIRECT("'"&amp;$A7&amp;"'!I14")</f>
        <v>0</v>
      </c>
      <c r="M7" s="3">
        <f t="array" aca="1" ref="M7" ca="1">INDIRECT("'"&amp;$A7&amp;"'!J14")</f>
        <v>0</v>
      </c>
      <c r="N7" s="3">
        <f t="array" aca="1" ref="N7" ca="1">INDIRECT("'"&amp;$A7&amp;"'!K14")</f>
        <v>0</v>
      </c>
      <c r="O7" s="3">
        <f t="array" aca="1" ref="O7" ca="1">INDIRECT("'"&amp;$A7&amp;"'!L14")</f>
        <v>0</v>
      </c>
      <c r="P7" s="3">
        <f t="array" aca="1" ref="P7" ca="1">INDIRECT("'"&amp;$A7&amp;"'!M14")</f>
        <v>0</v>
      </c>
      <c r="Q7" s="3">
        <f t="array" aca="1" ref="Q7" ca="1">INDIRECT("'"&amp;$A7&amp;"'!N14")</f>
        <v>0</v>
      </c>
      <c r="R7" s="3">
        <f t="array" aca="1" ref="R7" ca="1">INDIRECT("'"&amp;$A7&amp;"'!O14")</f>
        <v>0</v>
      </c>
      <c r="S7" s="3">
        <f t="array" aca="1" ref="S7" ca="1">INDIRECT("'"&amp;$A7&amp;"'!P14")</f>
        <v>0</v>
      </c>
      <c r="T7" s="3">
        <f t="array" aca="1" ref="T7" ca="1">INDIRECT("'"&amp;$A7&amp;"'!Q14")</f>
        <v>0</v>
      </c>
      <c r="U7" s="3">
        <f t="array" aca="1" ref="U7" ca="1">INDIRECT("'"&amp;$A7&amp;"'!R14")</f>
        <v>0</v>
      </c>
      <c r="V7" s="3">
        <f t="array" aca="1" ref="V7" ca="1">INDIRECT("'"&amp;$A7&amp;"'!S14")</f>
        <v>0</v>
      </c>
      <c r="W7" s="3">
        <f t="array" aca="1" ref="W7" ca="1">INDIRECT("'"&amp;$A7&amp;"'!T14")</f>
        <v>0</v>
      </c>
      <c r="X7" s="3">
        <f t="array" aca="1" ref="X7" ca="1">INDIRECT("'"&amp;$A7&amp;"'!U14")</f>
        <v>0</v>
      </c>
      <c r="Y7" s="3">
        <f t="array" aca="1" ref="Y7" ca="1">INDIRECT("'"&amp;$A7&amp;"'!V14")</f>
        <v>0</v>
      </c>
      <c r="Z7" s="3">
        <f t="array" aca="1" ref="Z7" ca="1">INDIRECT("'"&amp;$A7&amp;"'!W14")</f>
        <v>0</v>
      </c>
      <c r="AA7" s="3">
        <f t="array" aca="1" ref="AA7" ca="1">INDIRECT("'"&amp;$A7&amp;"'!X14")</f>
        <v>0</v>
      </c>
      <c r="AB7" s="3">
        <f t="array" aca="1" ref="AB7" ca="1">INDIRECT("'"&amp;$A7&amp;"'!Y14")</f>
        <v>0</v>
      </c>
      <c r="AC7" s="3">
        <f t="array" aca="1" ref="AC7" ca="1">INDIRECT("'"&amp;$A7&amp;"'!Z14")</f>
        <v>0</v>
      </c>
      <c r="AD7" s="32">
        <f t="array" aca="1" ref="AD7" ca="1">INDIRECT("'"&amp;$A7&amp;"'!AA14")</f>
        <v>0</v>
      </c>
      <c r="AE7" s="83">
        <f t="array" aca="1" ref="AE7" ca="1">INDIRECT("'"&amp;$A6&amp;"'!J4")</f>
        <v>0</v>
      </c>
      <c r="AF7" s="53"/>
    </row>
    <row r="8" spans="1:32">
      <c r="A8" s="58">
        <v>3</v>
      </c>
      <c r="B8" s="105">
        <f>INDEX(data!$I$2:$I$91,MATCH(A8*1,data!$G$2:$G$91,0))</f>
        <v>46187</v>
      </c>
      <c r="C8" s="66" t="str">
        <f>HYPERLINK("#'" &amp; A8 &amp; "'!A1", "编辑")</f>
        <v>编辑</v>
      </c>
      <c r="D8" s="54" t="s">
        <v>6</v>
      </c>
      <c r="E8" s="81">
        <f t="array" aca="1" ref="E8" ca="1">INDIRECT("'"&amp;$A9&amp;"'!I2")</f>
        <v>18</v>
      </c>
      <c r="F8" s="29">
        <f t="array" aca="1" ref="F8" ca="1">INDIRECT("'"&amp;$A8&amp;"'!C8")</f>
        <v>0</v>
      </c>
      <c r="G8" s="30">
        <f t="array" aca="1" ref="G8" ca="1">INDIRECT("'"&amp;$A8&amp;"'!D8")</f>
        <v>0</v>
      </c>
      <c r="H8" s="30">
        <f t="array" aca="1" ref="H8" ca="1">INDIRECT("'"&amp;$A8&amp;"'!E8")</f>
        <v>0</v>
      </c>
      <c r="I8" s="30">
        <f t="array" aca="1" ref="I8" ca="1">INDIRECT("'"&amp;$A8&amp;"'!F8")</f>
        <v>0</v>
      </c>
      <c r="J8" s="30">
        <f t="array" aca="1" ref="J8" ca="1">INDIRECT("'"&amp;$A8&amp;"'!G8")</f>
        <v>0</v>
      </c>
      <c r="K8" s="30">
        <f t="array" aca="1" ref="K8" ca="1">INDIRECT("'"&amp;$A8&amp;"'!H8")</f>
        <v>0</v>
      </c>
      <c r="L8" s="30">
        <f t="array" aca="1" ref="L8" ca="1">INDIRECT("'"&amp;$A8&amp;"'!I8")</f>
        <v>0</v>
      </c>
      <c r="M8" s="30">
        <f t="array" aca="1" ref="M8" ca="1">INDIRECT("'"&amp;$A8&amp;"'!J8")</f>
        <v>0</v>
      </c>
      <c r="N8" s="30">
        <f t="array" aca="1" ref="N8" ca="1">INDIRECT("'"&amp;$A8&amp;"'!K8")</f>
        <v>0</v>
      </c>
      <c r="O8" s="30">
        <f t="array" aca="1" ref="O8" ca="1">INDIRECT("'"&amp;$A8&amp;"'!L8")</f>
        <v>0</v>
      </c>
      <c r="P8" s="30">
        <f t="array" aca="1" ref="P8" ca="1">INDIRECT("'"&amp;$A8&amp;"'!M8")</f>
        <v>0</v>
      </c>
      <c r="Q8" s="30">
        <f t="array" aca="1" ref="Q8" ca="1">INDIRECT("'"&amp;$A8&amp;"'!N8")</f>
        <v>0</v>
      </c>
      <c r="R8" s="30">
        <f t="array" aca="1" ref="R8" ca="1">INDIRECT("'"&amp;$A8&amp;"'!O8")</f>
        <v>0</v>
      </c>
      <c r="S8" s="30">
        <f t="array" aca="1" ref="S8" ca="1">INDIRECT("'"&amp;$A8&amp;"'!P8")</f>
        <v>0</v>
      </c>
      <c r="T8" s="30">
        <f t="array" aca="1" ref="T8" ca="1">INDIRECT("'"&amp;$A8&amp;"'!Q8")</f>
        <v>0</v>
      </c>
      <c r="U8" s="30">
        <f t="array" aca="1" ref="U8" ca="1">INDIRECT("'"&amp;$A8&amp;"'!R8")</f>
        <v>0</v>
      </c>
      <c r="V8" s="30">
        <f t="array" aca="1" ref="V8" ca="1">INDIRECT("'"&amp;$A8&amp;"'!S8")</f>
        <v>0</v>
      </c>
      <c r="W8" s="30">
        <f t="array" aca="1" ref="W8" ca="1">INDIRECT("'"&amp;$A8&amp;"'!T8")</f>
        <v>0</v>
      </c>
      <c r="X8" s="30">
        <f t="array" aca="1" ref="X8" ca="1">INDIRECT("'"&amp;$A8&amp;"'!U8")</f>
        <v>0</v>
      </c>
      <c r="Y8" s="30">
        <f t="array" aca="1" ref="Y8" ca="1">INDIRECT("'"&amp;$A8&amp;"'!V8")</f>
        <v>0</v>
      </c>
      <c r="Z8" s="30">
        <f t="array" aca="1" ref="Z8" ca="1">INDIRECT("'"&amp;$A8&amp;"'!W8")</f>
        <v>0</v>
      </c>
      <c r="AA8" s="30">
        <f t="array" aca="1" ref="AA8" ca="1">INDIRECT("'"&amp;$A8&amp;"'!X8")</f>
        <v>0</v>
      </c>
      <c r="AB8" s="30">
        <f t="array" aca="1" ref="AB8" ca="1">INDIRECT("'"&amp;$A8&amp;"'!Y8")</f>
        <v>0</v>
      </c>
      <c r="AC8" s="30">
        <f t="array" aca="1" ref="AC8" ca="1">INDIRECT("'"&amp;$A8&amp;"'!Z8")</f>
        <v>0</v>
      </c>
      <c r="AD8" s="31">
        <f t="array" aca="1" ref="AD8" ca="1">INDIRECT("'"&amp;$A8&amp;"'!AA8")</f>
        <v>0</v>
      </c>
      <c r="AE8" s="81">
        <f t="array" aca="1" ref="AE8" ca="1">INDIRECT("'"&amp;$A9&amp;"'!J2")</f>
        <v>0</v>
      </c>
      <c r="AF8" s="53" t="str">
        <f t="array" aca="1" ref="AF8" ca="1">INDIRECT("'"&amp;$A9&amp;"'!AD1")</f>
        <v/>
      </c>
    </row>
    <row r="9" spans="1:32">
      <c r="A9" s="58">
        <v>3</v>
      </c>
      <c r="B9" s="106"/>
      <c r="C9" s="67" t="str">
        <f t="array" aca="1" ref="C9" ca="1">CONCATENATE("粮 ",INDIRECT("'"&amp;$A9&amp;"'!D4"))</f>
        <v>粮 10000</v>
      </c>
      <c r="D9" s="55" t="s">
        <v>7</v>
      </c>
      <c r="E9" s="82">
        <f t="array" aca="1" ref="E9" ca="1">INDIRECT("'"&amp;$A9&amp;"'!I3")</f>
        <v>18</v>
      </c>
      <c r="F9" s="52">
        <f t="array" aca="1" ref="F9" ca="1">INDIRECT("'"&amp;$A9&amp;"'!C11")</f>
        <v>0</v>
      </c>
      <c r="G9" s="3">
        <f t="array" aca="1" ref="G9" ca="1">INDIRECT("'"&amp;$A9&amp;"'!D11")</f>
        <v>0</v>
      </c>
      <c r="H9" s="3">
        <f t="array" aca="1" ref="H9" ca="1">INDIRECT("'"&amp;$A9&amp;"'!E11")</f>
        <v>0</v>
      </c>
      <c r="I9" s="3">
        <f t="array" aca="1" ref="I9" ca="1">INDIRECT("'"&amp;$A9&amp;"'!F11")</f>
        <v>0</v>
      </c>
      <c r="J9" s="3">
        <f t="array" aca="1" ref="J9" ca="1">INDIRECT("'"&amp;$A9&amp;"'!G11")</f>
        <v>0</v>
      </c>
      <c r="K9" s="3">
        <f t="array" aca="1" ref="K9" ca="1">INDIRECT("'"&amp;$A9&amp;"'!H11")</f>
        <v>0</v>
      </c>
      <c r="L9" s="3">
        <f t="array" aca="1" ref="L9" ca="1">INDIRECT("'"&amp;$A9&amp;"'!I11")</f>
        <v>0</v>
      </c>
      <c r="M9" s="3">
        <f t="array" aca="1" ref="M9" ca="1">INDIRECT("'"&amp;$A9&amp;"'!J11")</f>
        <v>0</v>
      </c>
      <c r="N9" s="3">
        <f t="array" aca="1" ref="N9" ca="1">INDIRECT("'"&amp;$A9&amp;"'!K11")</f>
        <v>0</v>
      </c>
      <c r="O9" s="3">
        <f t="array" aca="1" ref="O9" ca="1">INDIRECT("'"&amp;$A9&amp;"'!L11")</f>
        <v>0</v>
      </c>
      <c r="P9" s="3">
        <f t="array" aca="1" ref="P9" ca="1">INDIRECT("'"&amp;$A9&amp;"'!M11")</f>
        <v>0</v>
      </c>
      <c r="Q9" s="3">
        <f t="array" aca="1" ref="Q9" ca="1">INDIRECT("'"&amp;$A9&amp;"'!N11")</f>
        <v>0</v>
      </c>
      <c r="R9" s="3">
        <f t="array" aca="1" ref="R9" ca="1">INDIRECT("'"&amp;$A9&amp;"'!O11")</f>
        <v>0</v>
      </c>
      <c r="S9" s="3">
        <f t="array" aca="1" ref="S9" ca="1">INDIRECT("'"&amp;$A9&amp;"'!P11")</f>
        <v>0</v>
      </c>
      <c r="T9" s="3">
        <f t="array" aca="1" ref="T9" ca="1">INDIRECT("'"&amp;$A9&amp;"'!Q11")</f>
        <v>0</v>
      </c>
      <c r="U9" s="3">
        <f t="array" aca="1" ref="U9" ca="1">INDIRECT("'"&amp;$A9&amp;"'!R11")</f>
        <v>0</v>
      </c>
      <c r="V9" s="3">
        <f t="array" aca="1" ref="V9" ca="1">INDIRECT("'"&amp;$A9&amp;"'!S11")</f>
        <v>0</v>
      </c>
      <c r="W9" s="3">
        <f t="array" aca="1" ref="W9" ca="1">INDIRECT("'"&amp;$A9&amp;"'!T11")</f>
        <v>0</v>
      </c>
      <c r="X9" s="3">
        <f t="array" aca="1" ref="X9" ca="1">INDIRECT("'"&amp;$A9&amp;"'!U11")</f>
        <v>0</v>
      </c>
      <c r="Y9" s="3">
        <f t="array" aca="1" ref="Y9" ca="1">INDIRECT("'"&amp;$A9&amp;"'!V11")</f>
        <v>0</v>
      </c>
      <c r="Z9" s="3">
        <f t="array" aca="1" ref="Z9" ca="1">INDIRECT("'"&amp;$A9&amp;"'!W11")</f>
        <v>0</v>
      </c>
      <c r="AA9" s="3">
        <f t="array" aca="1" ref="AA9" ca="1">INDIRECT("'"&amp;$A9&amp;"'!X11")</f>
        <v>0</v>
      </c>
      <c r="AB9" s="3">
        <f t="array" aca="1" ref="AB9" ca="1">INDIRECT("'"&amp;$A9&amp;"'!Y11")</f>
        <v>0</v>
      </c>
      <c r="AC9" s="3">
        <f t="array" aca="1" ref="AC9" ca="1">INDIRECT("'"&amp;$A9&amp;"'!Z11")</f>
        <v>0</v>
      </c>
      <c r="AD9" s="32">
        <f t="array" aca="1" ref="AD9" ca="1">INDIRECT("'"&amp;$A9&amp;"'!AA11")</f>
        <v>0</v>
      </c>
      <c r="AE9" s="82">
        <f t="array" aca="1" ref="AE9" ca="1">INDIRECT("'"&amp;$A9&amp;"'!J3")</f>
        <v>0</v>
      </c>
      <c r="AF9" s="53" t="str">
        <f t="array" aca="1" ref="AF9" ca="1">INDIRECT("'"&amp;$A9&amp;"'!AC1")</f>
        <v/>
      </c>
    </row>
    <row r="10" spans="1:32" ht="15.75" customHeight="1" thickBot="1">
      <c r="A10" s="58">
        <v>3</v>
      </c>
      <c r="B10" s="107"/>
      <c r="C10" s="77" t="str">
        <f t="array" aca="1" ref="C10" ca="1">CONCATENATE("分 ",INDIRECT("'"&amp;$A9&amp;"'!D6"))</f>
        <v>分 0</v>
      </c>
      <c r="D10" s="56" t="s">
        <v>8</v>
      </c>
      <c r="E10" s="83">
        <f t="array" aca="1" ref="E10" ca="1">INDIRECT("'"&amp;$A9&amp;"'!I4")</f>
        <v>23</v>
      </c>
      <c r="F10" s="52">
        <f t="array" aca="1" ref="F10" ca="1">INDIRECT("'"&amp;$A10&amp;"'!C14")</f>
        <v>0</v>
      </c>
      <c r="G10" s="3">
        <f t="array" aca="1" ref="G10" ca="1">INDIRECT("'"&amp;$A10&amp;"'!D14")</f>
        <v>0</v>
      </c>
      <c r="H10" s="3">
        <f t="array" aca="1" ref="H10" ca="1">INDIRECT("'"&amp;$A10&amp;"'!E14")</f>
        <v>0</v>
      </c>
      <c r="I10" s="3">
        <f t="array" aca="1" ref="I10" ca="1">INDIRECT("'"&amp;$A10&amp;"'!F14")</f>
        <v>0</v>
      </c>
      <c r="J10" s="3">
        <f t="array" aca="1" ref="J10" ca="1">INDIRECT("'"&amp;$A10&amp;"'!G14")</f>
        <v>0</v>
      </c>
      <c r="K10" s="3">
        <f t="array" aca="1" ref="K10" ca="1">INDIRECT("'"&amp;$A10&amp;"'!H14")</f>
        <v>0</v>
      </c>
      <c r="L10" s="3">
        <f t="array" aca="1" ref="L10" ca="1">INDIRECT("'"&amp;$A10&amp;"'!I14")</f>
        <v>0</v>
      </c>
      <c r="M10" s="3">
        <f t="array" aca="1" ref="M10" ca="1">INDIRECT("'"&amp;$A10&amp;"'!J14")</f>
        <v>0</v>
      </c>
      <c r="N10" s="3">
        <f t="array" aca="1" ref="N10" ca="1">INDIRECT("'"&amp;$A10&amp;"'!K14")</f>
        <v>0</v>
      </c>
      <c r="O10" s="3">
        <f t="array" aca="1" ref="O10" ca="1">INDIRECT("'"&amp;$A10&amp;"'!L14")</f>
        <v>0</v>
      </c>
      <c r="P10" s="3">
        <f t="array" aca="1" ref="P10" ca="1">INDIRECT("'"&amp;$A10&amp;"'!M14")</f>
        <v>0</v>
      </c>
      <c r="Q10" s="3">
        <f t="array" aca="1" ref="Q10" ca="1">INDIRECT("'"&amp;$A10&amp;"'!N14")</f>
        <v>0</v>
      </c>
      <c r="R10" s="3">
        <f t="array" aca="1" ref="R10" ca="1">INDIRECT("'"&amp;$A10&amp;"'!O14")</f>
        <v>0</v>
      </c>
      <c r="S10" s="3">
        <f t="array" aca="1" ref="S10" ca="1">INDIRECT("'"&amp;$A10&amp;"'!P14")</f>
        <v>0</v>
      </c>
      <c r="T10" s="3">
        <f t="array" aca="1" ref="T10" ca="1">INDIRECT("'"&amp;$A10&amp;"'!Q14")</f>
        <v>0</v>
      </c>
      <c r="U10" s="3">
        <f t="array" aca="1" ref="U10" ca="1">INDIRECT("'"&amp;$A10&amp;"'!R14")</f>
        <v>0</v>
      </c>
      <c r="V10" s="3">
        <f t="array" aca="1" ref="V10" ca="1">INDIRECT("'"&amp;$A10&amp;"'!S14")</f>
        <v>0</v>
      </c>
      <c r="W10" s="3">
        <f t="array" aca="1" ref="W10" ca="1">INDIRECT("'"&amp;$A10&amp;"'!T14")</f>
        <v>0</v>
      </c>
      <c r="X10" s="3">
        <f t="array" aca="1" ref="X10" ca="1">INDIRECT("'"&amp;$A10&amp;"'!U14")</f>
        <v>0</v>
      </c>
      <c r="Y10" s="3">
        <f t="array" aca="1" ref="Y10" ca="1">INDIRECT("'"&amp;$A10&amp;"'!V14")</f>
        <v>0</v>
      </c>
      <c r="Z10" s="3">
        <f t="array" aca="1" ref="Z10" ca="1">INDIRECT("'"&amp;$A10&amp;"'!W14")</f>
        <v>0</v>
      </c>
      <c r="AA10" s="3">
        <f t="array" aca="1" ref="AA10" ca="1">INDIRECT("'"&amp;$A10&amp;"'!X14")</f>
        <v>0</v>
      </c>
      <c r="AB10" s="3">
        <f t="array" aca="1" ref="AB10" ca="1">INDIRECT("'"&amp;$A10&amp;"'!Y14")</f>
        <v>0</v>
      </c>
      <c r="AC10" s="3">
        <f t="array" aca="1" ref="AC10" ca="1">INDIRECT("'"&amp;$A10&amp;"'!Z14")</f>
        <v>0</v>
      </c>
      <c r="AD10" s="32">
        <f t="array" aca="1" ref="AD10" ca="1">INDIRECT("'"&amp;$A10&amp;"'!AA14")</f>
        <v>0</v>
      </c>
      <c r="AE10" s="83">
        <f t="array" aca="1" ref="AE10" ca="1">INDIRECT("'"&amp;$A9&amp;"'!J4")</f>
        <v>0</v>
      </c>
      <c r="AF10" s="53"/>
    </row>
    <row r="11" spans="1:32">
      <c r="A11" s="58">
        <v>4</v>
      </c>
      <c r="B11" s="105">
        <f>INDEX(data!$I$2:$I$91,MATCH(A11*1,data!$G$2:$G$91,0))</f>
        <v>46188</v>
      </c>
      <c r="C11" s="66" t="str">
        <f>HYPERLINK("#'" &amp; A11 &amp; "'!A1", "编辑")</f>
        <v>编辑</v>
      </c>
      <c r="D11" s="54" t="s">
        <v>6</v>
      </c>
      <c r="E11" s="81">
        <f t="array" aca="1" ref="E11" ca="1">INDIRECT("'"&amp;$A12&amp;"'!I2")</f>
        <v>18</v>
      </c>
      <c r="F11" s="29">
        <f t="array" aca="1" ref="F11" ca="1">INDIRECT("'"&amp;$A11&amp;"'!C8")</f>
        <v>0</v>
      </c>
      <c r="G11" s="30">
        <f t="array" aca="1" ref="G11" ca="1">INDIRECT("'"&amp;$A11&amp;"'!D8")</f>
        <v>0</v>
      </c>
      <c r="H11" s="30">
        <f t="array" aca="1" ref="H11" ca="1">INDIRECT("'"&amp;$A11&amp;"'!E8")</f>
        <v>0</v>
      </c>
      <c r="I11" s="30">
        <f t="array" aca="1" ref="I11" ca="1">INDIRECT("'"&amp;$A11&amp;"'!F8")</f>
        <v>0</v>
      </c>
      <c r="J11" s="30">
        <f t="array" aca="1" ref="J11" ca="1">INDIRECT("'"&amp;$A11&amp;"'!G8")</f>
        <v>0</v>
      </c>
      <c r="K11" s="30">
        <f t="array" aca="1" ref="K11" ca="1">INDIRECT("'"&amp;$A11&amp;"'!H8")</f>
        <v>0</v>
      </c>
      <c r="L11" s="30">
        <f t="array" aca="1" ref="L11" ca="1">INDIRECT("'"&amp;$A11&amp;"'!I8")</f>
        <v>0</v>
      </c>
      <c r="M11" s="30">
        <f t="array" aca="1" ref="M11" ca="1">INDIRECT("'"&amp;$A11&amp;"'!J8")</f>
        <v>0</v>
      </c>
      <c r="N11" s="30">
        <f t="array" aca="1" ref="N11" ca="1">INDIRECT("'"&amp;$A11&amp;"'!K8")</f>
        <v>0</v>
      </c>
      <c r="O11" s="30">
        <f t="array" aca="1" ref="O11" ca="1">INDIRECT("'"&amp;$A11&amp;"'!L8")</f>
        <v>0</v>
      </c>
      <c r="P11" s="30">
        <f t="array" aca="1" ref="P11" ca="1">INDIRECT("'"&amp;$A11&amp;"'!M8")</f>
        <v>0</v>
      </c>
      <c r="Q11" s="30">
        <f t="array" aca="1" ref="Q11" ca="1">INDIRECT("'"&amp;$A11&amp;"'!N8")</f>
        <v>0</v>
      </c>
      <c r="R11" s="30">
        <f t="array" aca="1" ref="R11" ca="1">INDIRECT("'"&amp;$A11&amp;"'!O8")</f>
        <v>0</v>
      </c>
      <c r="S11" s="30">
        <f t="array" aca="1" ref="S11" ca="1">INDIRECT("'"&amp;$A11&amp;"'!P8")</f>
        <v>0</v>
      </c>
      <c r="T11" s="30">
        <f t="array" aca="1" ref="T11" ca="1">INDIRECT("'"&amp;$A11&amp;"'!Q8")</f>
        <v>0</v>
      </c>
      <c r="U11" s="30">
        <f t="array" aca="1" ref="U11" ca="1">INDIRECT("'"&amp;$A11&amp;"'!R8")</f>
        <v>0</v>
      </c>
      <c r="V11" s="30">
        <f t="array" aca="1" ref="V11" ca="1">INDIRECT("'"&amp;$A11&amp;"'!S8")</f>
        <v>0</v>
      </c>
      <c r="W11" s="30">
        <f t="array" aca="1" ref="W11" ca="1">INDIRECT("'"&amp;$A11&amp;"'!T8")</f>
        <v>0</v>
      </c>
      <c r="X11" s="30">
        <f t="array" aca="1" ref="X11" ca="1">INDIRECT("'"&amp;$A11&amp;"'!U8")</f>
        <v>0</v>
      </c>
      <c r="Y11" s="30">
        <f t="array" aca="1" ref="Y11" ca="1">INDIRECT("'"&amp;$A11&amp;"'!V8")</f>
        <v>0</v>
      </c>
      <c r="Z11" s="30">
        <f t="array" aca="1" ref="Z11" ca="1">INDIRECT("'"&amp;$A11&amp;"'!W8")</f>
        <v>0</v>
      </c>
      <c r="AA11" s="30">
        <f t="array" aca="1" ref="AA11" ca="1">INDIRECT("'"&amp;$A11&amp;"'!X8")</f>
        <v>0</v>
      </c>
      <c r="AB11" s="30">
        <f t="array" aca="1" ref="AB11" ca="1">INDIRECT("'"&amp;$A11&amp;"'!Y8")</f>
        <v>0</v>
      </c>
      <c r="AC11" s="30">
        <f t="array" aca="1" ref="AC11" ca="1">INDIRECT("'"&amp;$A11&amp;"'!Z8")</f>
        <v>0</v>
      </c>
      <c r="AD11" s="31">
        <f t="array" aca="1" ref="AD11" ca="1">INDIRECT("'"&amp;$A11&amp;"'!AA8")</f>
        <v>0</v>
      </c>
      <c r="AE11" s="81">
        <f t="array" aca="1" ref="AE11" ca="1">INDIRECT("'"&amp;$A12&amp;"'!J2")</f>
        <v>0</v>
      </c>
      <c r="AF11" s="53" t="str">
        <f t="array" aca="1" ref="AF11" ca="1">INDIRECT("'"&amp;$A12&amp;"'!AD1")</f>
        <v/>
      </c>
    </row>
    <row r="12" spans="1:32">
      <c r="A12" s="58">
        <v>4</v>
      </c>
      <c r="B12" s="106"/>
      <c r="C12" s="67" t="str">
        <f t="array" aca="1" ref="C12" ca="1">CONCATENATE("粮 ",INDIRECT("'"&amp;$A12&amp;"'!D4"))</f>
        <v>粮 11600</v>
      </c>
      <c r="D12" s="55" t="s">
        <v>7</v>
      </c>
      <c r="E12" s="82">
        <f t="array" aca="1" ref="E12" ca="1">INDIRECT("'"&amp;$A12&amp;"'!I3")</f>
        <v>18</v>
      </c>
      <c r="F12" s="52">
        <f t="array" aca="1" ref="F12" ca="1">INDIRECT("'"&amp;$A12&amp;"'!C11")</f>
        <v>0</v>
      </c>
      <c r="G12" s="3">
        <f t="array" aca="1" ref="G12" ca="1">INDIRECT("'"&amp;$A12&amp;"'!D11")</f>
        <v>0</v>
      </c>
      <c r="H12" s="3">
        <f t="array" aca="1" ref="H12" ca="1">INDIRECT("'"&amp;$A12&amp;"'!E11")</f>
        <v>0</v>
      </c>
      <c r="I12" s="3">
        <f t="array" aca="1" ref="I12" ca="1">INDIRECT("'"&amp;$A12&amp;"'!F11")</f>
        <v>0</v>
      </c>
      <c r="J12" s="3">
        <f t="array" aca="1" ref="J12" ca="1">INDIRECT("'"&amp;$A12&amp;"'!G11")</f>
        <v>0</v>
      </c>
      <c r="K12" s="3">
        <f t="array" aca="1" ref="K12" ca="1">INDIRECT("'"&amp;$A12&amp;"'!H11")</f>
        <v>0</v>
      </c>
      <c r="L12" s="3">
        <f t="array" aca="1" ref="L12" ca="1">INDIRECT("'"&amp;$A12&amp;"'!I11")</f>
        <v>0</v>
      </c>
      <c r="M12" s="3">
        <f t="array" aca="1" ref="M12" ca="1">INDIRECT("'"&amp;$A12&amp;"'!J11")</f>
        <v>0</v>
      </c>
      <c r="N12" s="3">
        <f t="array" aca="1" ref="N12" ca="1">INDIRECT("'"&amp;$A12&amp;"'!K11")</f>
        <v>0</v>
      </c>
      <c r="O12" s="3">
        <f t="array" aca="1" ref="O12" ca="1">INDIRECT("'"&amp;$A12&amp;"'!L11")</f>
        <v>0</v>
      </c>
      <c r="P12" s="3">
        <f t="array" aca="1" ref="P12" ca="1">INDIRECT("'"&amp;$A12&amp;"'!M11")</f>
        <v>0</v>
      </c>
      <c r="Q12" s="3">
        <f t="array" aca="1" ref="Q12" ca="1">INDIRECT("'"&amp;$A12&amp;"'!N11")</f>
        <v>0</v>
      </c>
      <c r="R12" s="3">
        <f t="array" aca="1" ref="R12" ca="1">INDIRECT("'"&amp;$A12&amp;"'!O11")</f>
        <v>0</v>
      </c>
      <c r="S12" s="3">
        <f t="array" aca="1" ref="S12" ca="1">INDIRECT("'"&amp;$A12&amp;"'!P11")</f>
        <v>0</v>
      </c>
      <c r="T12" s="3">
        <f t="array" aca="1" ref="T12" ca="1">INDIRECT("'"&amp;$A12&amp;"'!Q11")</f>
        <v>0</v>
      </c>
      <c r="U12" s="3">
        <f t="array" aca="1" ref="U12" ca="1">INDIRECT("'"&amp;$A12&amp;"'!R11")</f>
        <v>0</v>
      </c>
      <c r="V12" s="3">
        <f t="array" aca="1" ref="V12" ca="1">INDIRECT("'"&amp;$A12&amp;"'!S11")</f>
        <v>0</v>
      </c>
      <c r="W12" s="3">
        <f t="array" aca="1" ref="W12" ca="1">INDIRECT("'"&amp;$A12&amp;"'!T11")</f>
        <v>0</v>
      </c>
      <c r="X12" s="3">
        <f t="array" aca="1" ref="X12" ca="1">INDIRECT("'"&amp;$A12&amp;"'!U11")</f>
        <v>0</v>
      </c>
      <c r="Y12" s="3">
        <f t="array" aca="1" ref="Y12" ca="1">INDIRECT("'"&amp;$A12&amp;"'!V11")</f>
        <v>0</v>
      </c>
      <c r="Z12" s="3">
        <f t="array" aca="1" ref="Z12" ca="1">INDIRECT("'"&amp;$A12&amp;"'!W11")</f>
        <v>0</v>
      </c>
      <c r="AA12" s="3">
        <f t="array" aca="1" ref="AA12" ca="1">INDIRECT("'"&amp;$A12&amp;"'!X11")</f>
        <v>0</v>
      </c>
      <c r="AB12" s="3">
        <f t="array" aca="1" ref="AB12" ca="1">INDIRECT("'"&amp;$A12&amp;"'!Y11")</f>
        <v>0</v>
      </c>
      <c r="AC12" s="3">
        <f t="array" aca="1" ref="AC12" ca="1">INDIRECT("'"&amp;$A12&amp;"'!Z11")</f>
        <v>0</v>
      </c>
      <c r="AD12" s="32">
        <f t="array" aca="1" ref="AD12" ca="1">INDIRECT("'"&amp;$A12&amp;"'!AA11")</f>
        <v>0</v>
      </c>
      <c r="AE12" s="82">
        <f t="array" aca="1" ref="AE12" ca="1">INDIRECT("'"&amp;$A12&amp;"'!J3")</f>
        <v>0</v>
      </c>
      <c r="AF12" s="53" t="str">
        <f t="array" aca="1" ref="AF12" ca="1">INDIRECT("'"&amp;$A12&amp;"'!AC1")</f>
        <v/>
      </c>
    </row>
    <row r="13" spans="1:32" ht="15.75" customHeight="1" thickBot="1">
      <c r="A13" s="58">
        <v>4</v>
      </c>
      <c r="B13" s="107"/>
      <c r="C13" s="77" t="str">
        <f t="array" aca="1" ref="C13" ca="1">CONCATENATE("分 ",INDIRECT("'"&amp;$A12&amp;"'!D6"))</f>
        <v>分 0</v>
      </c>
      <c r="D13" s="56" t="s">
        <v>8</v>
      </c>
      <c r="E13" s="83">
        <f t="array" aca="1" ref="E13" ca="1">INDIRECT("'"&amp;$A12&amp;"'!I4")</f>
        <v>18</v>
      </c>
      <c r="F13" s="52">
        <f t="array" aca="1" ref="F13" ca="1">INDIRECT("'"&amp;$A13&amp;"'!C14")</f>
        <v>0</v>
      </c>
      <c r="G13" s="3">
        <f t="array" aca="1" ref="G13" ca="1">INDIRECT("'"&amp;$A13&amp;"'!D14")</f>
        <v>0</v>
      </c>
      <c r="H13" s="3">
        <f t="array" aca="1" ref="H13" ca="1">INDIRECT("'"&amp;$A13&amp;"'!E14")</f>
        <v>0</v>
      </c>
      <c r="I13" s="3">
        <f t="array" aca="1" ref="I13" ca="1">INDIRECT("'"&amp;$A13&amp;"'!F14")</f>
        <v>0</v>
      </c>
      <c r="J13" s="3">
        <f t="array" aca="1" ref="J13" ca="1">INDIRECT("'"&amp;$A13&amp;"'!G14")</f>
        <v>0</v>
      </c>
      <c r="K13" s="3">
        <f t="array" aca="1" ref="K13" ca="1">INDIRECT("'"&amp;$A13&amp;"'!H14")</f>
        <v>0</v>
      </c>
      <c r="L13" s="3">
        <f t="array" aca="1" ref="L13" ca="1">INDIRECT("'"&amp;$A13&amp;"'!I14")</f>
        <v>0</v>
      </c>
      <c r="M13" s="3">
        <f t="array" aca="1" ref="M13" ca="1">INDIRECT("'"&amp;$A13&amp;"'!J14")</f>
        <v>0</v>
      </c>
      <c r="N13" s="3">
        <f t="array" aca="1" ref="N13" ca="1">INDIRECT("'"&amp;$A13&amp;"'!K14")</f>
        <v>0</v>
      </c>
      <c r="O13" s="3">
        <f t="array" aca="1" ref="O13" ca="1">INDIRECT("'"&amp;$A13&amp;"'!L14")</f>
        <v>0</v>
      </c>
      <c r="P13" s="3">
        <f t="array" aca="1" ref="P13" ca="1">INDIRECT("'"&amp;$A13&amp;"'!M14")</f>
        <v>0</v>
      </c>
      <c r="Q13" s="3">
        <f t="array" aca="1" ref="Q13" ca="1">INDIRECT("'"&amp;$A13&amp;"'!N14")</f>
        <v>0</v>
      </c>
      <c r="R13" s="3">
        <f t="array" aca="1" ref="R13" ca="1">INDIRECT("'"&amp;$A13&amp;"'!O14")</f>
        <v>0</v>
      </c>
      <c r="S13" s="3">
        <f t="array" aca="1" ref="S13" ca="1">INDIRECT("'"&amp;$A13&amp;"'!P14")</f>
        <v>0</v>
      </c>
      <c r="T13" s="3">
        <f t="array" aca="1" ref="T13" ca="1">INDIRECT("'"&amp;$A13&amp;"'!Q14")</f>
        <v>0</v>
      </c>
      <c r="U13" s="3">
        <f t="array" aca="1" ref="U13" ca="1">INDIRECT("'"&amp;$A13&amp;"'!R14")</f>
        <v>0</v>
      </c>
      <c r="V13" s="3">
        <f t="array" aca="1" ref="V13" ca="1">INDIRECT("'"&amp;$A13&amp;"'!S14")</f>
        <v>0</v>
      </c>
      <c r="W13" s="3">
        <f t="array" aca="1" ref="W13" ca="1">INDIRECT("'"&amp;$A13&amp;"'!T14")</f>
        <v>0</v>
      </c>
      <c r="X13" s="3">
        <f t="array" aca="1" ref="X13" ca="1">INDIRECT("'"&amp;$A13&amp;"'!U14")</f>
        <v>0</v>
      </c>
      <c r="Y13" s="3">
        <f t="array" aca="1" ref="Y13" ca="1">INDIRECT("'"&amp;$A13&amp;"'!V14")</f>
        <v>0</v>
      </c>
      <c r="Z13" s="3">
        <f t="array" aca="1" ref="Z13" ca="1">INDIRECT("'"&amp;$A13&amp;"'!W14")</f>
        <v>0</v>
      </c>
      <c r="AA13" s="3">
        <f t="array" aca="1" ref="AA13" ca="1">INDIRECT("'"&amp;$A13&amp;"'!X14")</f>
        <v>0</v>
      </c>
      <c r="AB13" s="3">
        <f t="array" aca="1" ref="AB13" ca="1">INDIRECT("'"&amp;$A13&amp;"'!Y14")</f>
        <v>0</v>
      </c>
      <c r="AC13" s="3">
        <f t="array" aca="1" ref="AC13" ca="1">INDIRECT("'"&amp;$A13&amp;"'!Z14")</f>
        <v>0</v>
      </c>
      <c r="AD13" s="32">
        <f t="array" aca="1" ref="AD13" ca="1">INDIRECT("'"&amp;$A13&amp;"'!AA14")</f>
        <v>0</v>
      </c>
      <c r="AE13" s="83">
        <f t="array" aca="1" ref="AE13" ca="1">INDIRECT("'"&amp;$A12&amp;"'!J4")</f>
        <v>0</v>
      </c>
      <c r="AF13" s="53"/>
    </row>
    <row r="14" spans="1:32">
      <c r="A14" s="58">
        <v>5</v>
      </c>
      <c r="B14" s="105">
        <f>INDEX(data!$I$2:$I$91,MATCH(A14*1,data!$G$2:$G$91,0))</f>
        <v>46189</v>
      </c>
      <c r="C14" s="66" t="str">
        <f>HYPERLINK("#'" &amp; A14 &amp; "'!A1", "编辑")</f>
        <v>编辑</v>
      </c>
      <c r="D14" s="54" t="s">
        <v>6</v>
      </c>
      <c r="E14" s="81">
        <f t="array" aca="1" ref="E14" ca="1">INDIRECT("'"&amp;$A15&amp;"'!I2")</f>
        <v>18</v>
      </c>
      <c r="F14" s="29">
        <f t="array" aca="1" ref="F14" ca="1">INDIRECT("'"&amp;$A14&amp;"'!C8")</f>
        <v>0</v>
      </c>
      <c r="G14" s="30">
        <f t="array" aca="1" ref="G14" ca="1">INDIRECT("'"&amp;$A14&amp;"'!D8")</f>
        <v>0</v>
      </c>
      <c r="H14" s="30">
        <f t="array" aca="1" ref="H14" ca="1">INDIRECT("'"&amp;$A14&amp;"'!E8")</f>
        <v>0</v>
      </c>
      <c r="I14" s="30">
        <f t="array" aca="1" ref="I14" ca="1">INDIRECT("'"&amp;$A14&amp;"'!F8")</f>
        <v>0</v>
      </c>
      <c r="J14" s="30">
        <f t="array" aca="1" ref="J14" ca="1">INDIRECT("'"&amp;$A14&amp;"'!G8")</f>
        <v>0</v>
      </c>
      <c r="K14" s="30">
        <f t="array" aca="1" ref="K14" ca="1">INDIRECT("'"&amp;$A14&amp;"'!H8")</f>
        <v>0</v>
      </c>
      <c r="L14" s="30">
        <f t="array" aca="1" ref="L14" ca="1">INDIRECT("'"&amp;$A14&amp;"'!I8")</f>
        <v>0</v>
      </c>
      <c r="M14" s="30">
        <f t="array" aca="1" ref="M14" ca="1">INDIRECT("'"&amp;$A14&amp;"'!J8")</f>
        <v>0</v>
      </c>
      <c r="N14" s="30">
        <f t="array" aca="1" ref="N14" ca="1">INDIRECT("'"&amp;$A14&amp;"'!K8")</f>
        <v>0</v>
      </c>
      <c r="O14" s="30">
        <f t="array" aca="1" ref="O14" ca="1">INDIRECT("'"&amp;$A14&amp;"'!L8")</f>
        <v>0</v>
      </c>
      <c r="P14" s="30">
        <f t="array" aca="1" ref="P14" ca="1">INDIRECT("'"&amp;$A14&amp;"'!M8")</f>
        <v>0</v>
      </c>
      <c r="Q14" s="30">
        <f t="array" aca="1" ref="Q14" ca="1">INDIRECT("'"&amp;$A14&amp;"'!N8")</f>
        <v>0</v>
      </c>
      <c r="R14" s="30">
        <f t="array" aca="1" ref="R14" ca="1">INDIRECT("'"&amp;$A14&amp;"'!O8")</f>
        <v>0</v>
      </c>
      <c r="S14" s="30">
        <f t="array" aca="1" ref="S14" ca="1">INDIRECT("'"&amp;$A14&amp;"'!P8")</f>
        <v>0</v>
      </c>
      <c r="T14" s="30">
        <f t="array" aca="1" ref="T14" ca="1">INDIRECT("'"&amp;$A14&amp;"'!Q8")</f>
        <v>0</v>
      </c>
      <c r="U14" s="30">
        <f t="array" aca="1" ref="U14" ca="1">INDIRECT("'"&amp;$A14&amp;"'!R8")</f>
        <v>0</v>
      </c>
      <c r="V14" s="30">
        <f t="array" aca="1" ref="V14" ca="1">INDIRECT("'"&amp;$A14&amp;"'!S8")</f>
        <v>0</v>
      </c>
      <c r="W14" s="30">
        <f t="array" aca="1" ref="W14" ca="1">INDIRECT("'"&amp;$A14&amp;"'!T8")</f>
        <v>0</v>
      </c>
      <c r="X14" s="30">
        <f t="array" aca="1" ref="X14" ca="1">INDIRECT("'"&amp;$A14&amp;"'!U8")</f>
        <v>0</v>
      </c>
      <c r="Y14" s="30">
        <f t="array" aca="1" ref="Y14" ca="1">INDIRECT("'"&amp;$A14&amp;"'!V8")</f>
        <v>0</v>
      </c>
      <c r="Z14" s="30">
        <f t="array" aca="1" ref="Z14" ca="1">INDIRECT("'"&amp;$A14&amp;"'!W8")</f>
        <v>0</v>
      </c>
      <c r="AA14" s="30">
        <f t="array" aca="1" ref="AA14" ca="1">INDIRECT("'"&amp;$A14&amp;"'!X8")</f>
        <v>0</v>
      </c>
      <c r="AB14" s="30">
        <f t="array" aca="1" ref="AB14" ca="1">INDIRECT("'"&amp;$A14&amp;"'!Y8")</f>
        <v>0</v>
      </c>
      <c r="AC14" s="30">
        <f t="array" aca="1" ref="AC14" ca="1">INDIRECT("'"&amp;$A14&amp;"'!Z8")</f>
        <v>0</v>
      </c>
      <c r="AD14" s="31">
        <f t="array" aca="1" ref="AD14" ca="1">INDIRECT("'"&amp;$A14&amp;"'!AA8")</f>
        <v>0</v>
      </c>
      <c r="AE14" s="81">
        <f t="array" aca="1" ref="AE14" ca="1">INDIRECT("'"&amp;$A15&amp;"'!J2")</f>
        <v>0</v>
      </c>
      <c r="AF14" s="53" t="str">
        <f t="array" aca="1" ref="AF14" ca="1">INDIRECT("'"&amp;$A15&amp;"'!AD1")</f>
        <v/>
      </c>
    </row>
    <row r="15" spans="1:32">
      <c r="A15" s="58">
        <v>5</v>
      </c>
      <c r="B15" s="106"/>
      <c r="C15" s="67" t="str">
        <f t="array" aca="1" ref="C15" ca="1">CONCATENATE("粮 ",INDIRECT("'"&amp;$A15&amp;"'!D4"))</f>
        <v>粮 13200</v>
      </c>
      <c r="D15" s="55" t="s">
        <v>7</v>
      </c>
      <c r="E15" s="82">
        <f t="array" aca="1" ref="E15" ca="1">INDIRECT("'"&amp;$A15&amp;"'!I3")</f>
        <v>18</v>
      </c>
      <c r="F15" s="52">
        <f t="array" aca="1" ref="F15" ca="1">INDIRECT("'"&amp;$A15&amp;"'!C11")</f>
        <v>0</v>
      </c>
      <c r="G15" s="3">
        <f t="array" aca="1" ref="G15" ca="1">INDIRECT("'"&amp;$A15&amp;"'!D11")</f>
        <v>0</v>
      </c>
      <c r="H15" s="3">
        <f t="array" aca="1" ref="H15" ca="1">INDIRECT("'"&amp;$A15&amp;"'!E11")</f>
        <v>0</v>
      </c>
      <c r="I15" s="3">
        <f t="array" aca="1" ref="I15" ca="1">INDIRECT("'"&amp;$A15&amp;"'!F11")</f>
        <v>0</v>
      </c>
      <c r="J15" s="3">
        <f t="array" aca="1" ref="J15" ca="1">INDIRECT("'"&amp;$A15&amp;"'!G11")</f>
        <v>0</v>
      </c>
      <c r="K15" s="3">
        <f t="array" aca="1" ref="K15" ca="1">INDIRECT("'"&amp;$A15&amp;"'!H11")</f>
        <v>0</v>
      </c>
      <c r="L15" s="3">
        <f t="array" aca="1" ref="L15" ca="1">INDIRECT("'"&amp;$A15&amp;"'!I11")</f>
        <v>0</v>
      </c>
      <c r="M15" s="3">
        <f t="array" aca="1" ref="M15" ca="1">INDIRECT("'"&amp;$A15&amp;"'!J11")</f>
        <v>0</v>
      </c>
      <c r="N15" s="3">
        <f t="array" aca="1" ref="N15" ca="1">INDIRECT("'"&amp;$A15&amp;"'!K11")</f>
        <v>0</v>
      </c>
      <c r="O15" s="3">
        <f t="array" aca="1" ref="O15" ca="1">INDIRECT("'"&amp;$A15&amp;"'!L11")</f>
        <v>0</v>
      </c>
      <c r="P15" s="3">
        <f t="array" aca="1" ref="P15" ca="1">INDIRECT("'"&amp;$A15&amp;"'!M11")</f>
        <v>0</v>
      </c>
      <c r="Q15" s="3">
        <f t="array" aca="1" ref="Q15" ca="1">INDIRECT("'"&amp;$A15&amp;"'!N11")</f>
        <v>0</v>
      </c>
      <c r="R15" s="3">
        <f t="array" aca="1" ref="R15" ca="1">INDIRECT("'"&amp;$A15&amp;"'!O11")</f>
        <v>0</v>
      </c>
      <c r="S15" s="3">
        <f t="array" aca="1" ref="S15" ca="1">INDIRECT("'"&amp;$A15&amp;"'!P11")</f>
        <v>0</v>
      </c>
      <c r="T15" s="3">
        <f t="array" aca="1" ref="T15" ca="1">INDIRECT("'"&amp;$A15&amp;"'!Q11")</f>
        <v>0</v>
      </c>
      <c r="U15" s="3">
        <f t="array" aca="1" ref="U15" ca="1">INDIRECT("'"&amp;$A15&amp;"'!R11")</f>
        <v>0</v>
      </c>
      <c r="V15" s="3">
        <f t="array" aca="1" ref="V15" ca="1">INDIRECT("'"&amp;$A15&amp;"'!S11")</f>
        <v>0</v>
      </c>
      <c r="W15" s="3">
        <f t="array" aca="1" ref="W15" ca="1">INDIRECT("'"&amp;$A15&amp;"'!T11")</f>
        <v>0</v>
      </c>
      <c r="X15" s="3">
        <f t="array" aca="1" ref="X15" ca="1">INDIRECT("'"&amp;$A15&amp;"'!U11")</f>
        <v>0</v>
      </c>
      <c r="Y15" s="3">
        <f t="array" aca="1" ref="Y15" ca="1">INDIRECT("'"&amp;$A15&amp;"'!V11")</f>
        <v>0</v>
      </c>
      <c r="Z15" s="3">
        <f t="array" aca="1" ref="Z15" ca="1">INDIRECT("'"&amp;$A15&amp;"'!W11")</f>
        <v>0</v>
      </c>
      <c r="AA15" s="3">
        <f t="array" aca="1" ref="AA15" ca="1">INDIRECT("'"&amp;$A15&amp;"'!X11")</f>
        <v>0</v>
      </c>
      <c r="AB15" s="3">
        <f t="array" aca="1" ref="AB15" ca="1">INDIRECT("'"&amp;$A15&amp;"'!Y11")</f>
        <v>0</v>
      </c>
      <c r="AC15" s="3">
        <f t="array" aca="1" ref="AC15" ca="1">INDIRECT("'"&amp;$A15&amp;"'!Z11")</f>
        <v>0</v>
      </c>
      <c r="AD15" s="32">
        <f t="array" aca="1" ref="AD15" ca="1">INDIRECT("'"&amp;$A15&amp;"'!AA11")</f>
        <v>0</v>
      </c>
      <c r="AE15" s="82">
        <f t="array" aca="1" ref="AE15" ca="1">INDIRECT("'"&amp;$A15&amp;"'!J3")</f>
        <v>0</v>
      </c>
      <c r="AF15" s="53" t="str">
        <f t="array" aca="1" ref="AF15" ca="1">INDIRECT("'"&amp;$A15&amp;"'!AC1")</f>
        <v/>
      </c>
    </row>
    <row r="16" spans="1:32" ht="15.75" customHeight="1" thickBot="1">
      <c r="A16" s="58">
        <v>5</v>
      </c>
      <c r="B16" s="107"/>
      <c r="C16" s="77" t="str">
        <f t="array" aca="1" ref="C16" ca="1">CONCATENATE("分 ",INDIRECT("'"&amp;$A15&amp;"'!D6"))</f>
        <v>分 0</v>
      </c>
      <c r="D16" s="56" t="s">
        <v>8</v>
      </c>
      <c r="E16" s="83">
        <f t="array" aca="1" ref="E16" ca="1">INDIRECT("'"&amp;$A15&amp;"'!I4")</f>
        <v>18</v>
      </c>
      <c r="F16" s="52">
        <f t="array" aca="1" ref="F16" ca="1">INDIRECT("'"&amp;$A16&amp;"'!C14")</f>
        <v>0</v>
      </c>
      <c r="G16" s="3">
        <f t="array" aca="1" ref="G16" ca="1">INDIRECT("'"&amp;$A16&amp;"'!D14")</f>
        <v>0</v>
      </c>
      <c r="H16" s="3">
        <f t="array" aca="1" ref="H16" ca="1">INDIRECT("'"&amp;$A16&amp;"'!E14")</f>
        <v>0</v>
      </c>
      <c r="I16" s="3">
        <f t="array" aca="1" ref="I16" ca="1">INDIRECT("'"&amp;$A16&amp;"'!F14")</f>
        <v>0</v>
      </c>
      <c r="J16" s="3">
        <f t="array" aca="1" ref="J16" ca="1">INDIRECT("'"&amp;$A16&amp;"'!G14")</f>
        <v>0</v>
      </c>
      <c r="K16" s="3">
        <f t="array" aca="1" ref="K16" ca="1">INDIRECT("'"&amp;$A16&amp;"'!H14")</f>
        <v>0</v>
      </c>
      <c r="L16" s="3">
        <f t="array" aca="1" ref="L16" ca="1">INDIRECT("'"&amp;$A16&amp;"'!I14")</f>
        <v>0</v>
      </c>
      <c r="M16" s="3">
        <f t="array" aca="1" ref="M16" ca="1">INDIRECT("'"&amp;$A16&amp;"'!J14")</f>
        <v>0</v>
      </c>
      <c r="N16" s="3">
        <f t="array" aca="1" ref="N16" ca="1">INDIRECT("'"&amp;$A16&amp;"'!K14")</f>
        <v>0</v>
      </c>
      <c r="O16" s="3">
        <f t="array" aca="1" ref="O16" ca="1">INDIRECT("'"&amp;$A16&amp;"'!L14")</f>
        <v>0</v>
      </c>
      <c r="P16" s="3">
        <f t="array" aca="1" ref="P16" ca="1">INDIRECT("'"&amp;$A16&amp;"'!M14")</f>
        <v>0</v>
      </c>
      <c r="Q16" s="3">
        <f t="array" aca="1" ref="Q16" ca="1">INDIRECT("'"&amp;$A16&amp;"'!N14")</f>
        <v>0</v>
      </c>
      <c r="R16" s="3">
        <f t="array" aca="1" ref="R16" ca="1">INDIRECT("'"&amp;$A16&amp;"'!O14")</f>
        <v>0</v>
      </c>
      <c r="S16" s="3">
        <f t="array" aca="1" ref="S16" ca="1">INDIRECT("'"&amp;$A16&amp;"'!P14")</f>
        <v>0</v>
      </c>
      <c r="T16" s="3">
        <f t="array" aca="1" ref="T16" ca="1">INDIRECT("'"&amp;$A16&amp;"'!Q14")</f>
        <v>0</v>
      </c>
      <c r="U16" s="3">
        <f t="array" aca="1" ref="U16" ca="1">INDIRECT("'"&amp;$A16&amp;"'!R14")</f>
        <v>0</v>
      </c>
      <c r="V16" s="3">
        <f t="array" aca="1" ref="V16" ca="1">INDIRECT("'"&amp;$A16&amp;"'!S14")</f>
        <v>0</v>
      </c>
      <c r="W16" s="3">
        <f t="array" aca="1" ref="W16" ca="1">INDIRECT("'"&amp;$A16&amp;"'!T14")</f>
        <v>0</v>
      </c>
      <c r="X16" s="3">
        <f t="array" aca="1" ref="X16" ca="1">INDIRECT("'"&amp;$A16&amp;"'!U14")</f>
        <v>0</v>
      </c>
      <c r="Y16" s="3">
        <f t="array" aca="1" ref="Y16" ca="1">INDIRECT("'"&amp;$A16&amp;"'!V14")</f>
        <v>0</v>
      </c>
      <c r="Z16" s="3">
        <f t="array" aca="1" ref="Z16" ca="1">INDIRECT("'"&amp;$A16&amp;"'!W14")</f>
        <v>0</v>
      </c>
      <c r="AA16" s="3">
        <f t="array" aca="1" ref="AA16" ca="1">INDIRECT("'"&amp;$A16&amp;"'!X14")</f>
        <v>0</v>
      </c>
      <c r="AB16" s="3">
        <f t="array" aca="1" ref="AB16" ca="1">INDIRECT("'"&amp;$A16&amp;"'!Y14")</f>
        <v>0</v>
      </c>
      <c r="AC16" s="3">
        <f t="array" aca="1" ref="AC16" ca="1">INDIRECT("'"&amp;$A16&amp;"'!Z14")</f>
        <v>0</v>
      </c>
      <c r="AD16" s="32">
        <f t="array" aca="1" ref="AD16" ca="1">INDIRECT("'"&amp;$A16&amp;"'!AA14")</f>
        <v>0</v>
      </c>
      <c r="AE16" s="83">
        <f t="array" aca="1" ref="AE16" ca="1">INDIRECT("'"&amp;$A15&amp;"'!J4")</f>
        <v>0</v>
      </c>
      <c r="AF16" s="53"/>
    </row>
    <row r="17" spans="1:32">
      <c r="A17" s="58">
        <v>6</v>
      </c>
      <c r="B17" s="105">
        <f>INDEX(data!$I$2:$I$91,MATCH(A17*1,data!$G$2:$G$91,0))</f>
        <v>46190</v>
      </c>
      <c r="C17" s="66" t="str">
        <f>HYPERLINK("#'" &amp; A17 &amp; "'!A1", "编辑")</f>
        <v>编辑</v>
      </c>
      <c r="D17" s="54" t="s">
        <v>6</v>
      </c>
      <c r="E17" s="81">
        <f t="array" aca="1" ref="E17" ca="1">INDIRECT("'"&amp;$A18&amp;"'!I2")</f>
        <v>18</v>
      </c>
      <c r="F17" s="29">
        <f t="array" aca="1" ref="F17" ca="1">INDIRECT("'"&amp;$A17&amp;"'!C8")</f>
        <v>0</v>
      </c>
      <c r="G17" s="30">
        <f t="array" aca="1" ref="G17" ca="1">INDIRECT("'"&amp;$A17&amp;"'!D8")</f>
        <v>0</v>
      </c>
      <c r="H17" s="30">
        <f t="array" aca="1" ref="H17" ca="1">INDIRECT("'"&amp;$A17&amp;"'!E8")</f>
        <v>0</v>
      </c>
      <c r="I17" s="30">
        <f t="array" aca="1" ref="I17" ca="1">INDIRECT("'"&amp;$A17&amp;"'!F8")</f>
        <v>0</v>
      </c>
      <c r="J17" s="30">
        <f t="array" aca="1" ref="J17" ca="1">INDIRECT("'"&amp;$A17&amp;"'!G8")</f>
        <v>0</v>
      </c>
      <c r="K17" s="30">
        <f t="array" aca="1" ref="K17" ca="1">INDIRECT("'"&amp;$A17&amp;"'!H8")</f>
        <v>0</v>
      </c>
      <c r="L17" s="30">
        <f t="array" aca="1" ref="L17" ca="1">INDIRECT("'"&amp;$A17&amp;"'!I8")</f>
        <v>0</v>
      </c>
      <c r="M17" s="30">
        <f t="array" aca="1" ref="M17" ca="1">INDIRECT("'"&amp;$A17&amp;"'!J8")</f>
        <v>0</v>
      </c>
      <c r="N17" s="30">
        <f t="array" aca="1" ref="N17" ca="1">INDIRECT("'"&amp;$A17&amp;"'!K8")</f>
        <v>0</v>
      </c>
      <c r="O17" s="30">
        <f t="array" aca="1" ref="O17" ca="1">INDIRECT("'"&amp;$A17&amp;"'!L8")</f>
        <v>0</v>
      </c>
      <c r="P17" s="30">
        <f t="array" aca="1" ref="P17" ca="1">INDIRECT("'"&amp;$A17&amp;"'!M8")</f>
        <v>0</v>
      </c>
      <c r="Q17" s="30">
        <f t="array" aca="1" ref="Q17" ca="1">INDIRECT("'"&amp;$A17&amp;"'!N8")</f>
        <v>0</v>
      </c>
      <c r="R17" s="30">
        <f t="array" aca="1" ref="R17" ca="1">INDIRECT("'"&amp;$A17&amp;"'!O8")</f>
        <v>0</v>
      </c>
      <c r="S17" s="30">
        <f t="array" aca="1" ref="S17" ca="1">INDIRECT("'"&amp;$A17&amp;"'!P8")</f>
        <v>0</v>
      </c>
      <c r="T17" s="30">
        <f t="array" aca="1" ref="T17" ca="1">INDIRECT("'"&amp;$A17&amp;"'!Q8")</f>
        <v>0</v>
      </c>
      <c r="U17" s="30">
        <f t="array" aca="1" ref="U17" ca="1">INDIRECT("'"&amp;$A17&amp;"'!R8")</f>
        <v>0</v>
      </c>
      <c r="V17" s="30">
        <f t="array" aca="1" ref="V17" ca="1">INDIRECT("'"&amp;$A17&amp;"'!S8")</f>
        <v>0</v>
      </c>
      <c r="W17" s="30">
        <f t="array" aca="1" ref="W17" ca="1">INDIRECT("'"&amp;$A17&amp;"'!T8")</f>
        <v>0</v>
      </c>
      <c r="X17" s="30">
        <f t="array" aca="1" ref="X17" ca="1">INDIRECT("'"&amp;$A17&amp;"'!U8")</f>
        <v>0</v>
      </c>
      <c r="Y17" s="30">
        <f t="array" aca="1" ref="Y17" ca="1">INDIRECT("'"&amp;$A17&amp;"'!V8")</f>
        <v>0</v>
      </c>
      <c r="Z17" s="30">
        <f t="array" aca="1" ref="Z17" ca="1">INDIRECT("'"&amp;$A17&amp;"'!W8")</f>
        <v>0</v>
      </c>
      <c r="AA17" s="30">
        <f t="array" aca="1" ref="AA17" ca="1">INDIRECT("'"&amp;$A17&amp;"'!X8")</f>
        <v>0</v>
      </c>
      <c r="AB17" s="30">
        <f t="array" aca="1" ref="AB17" ca="1">INDIRECT("'"&amp;$A17&amp;"'!Y8")</f>
        <v>0</v>
      </c>
      <c r="AC17" s="30">
        <f t="array" aca="1" ref="AC17" ca="1">INDIRECT("'"&amp;$A17&amp;"'!Z8")</f>
        <v>0</v>
      </c>
      <c r="AD17" s="31">
        <f t="array" aca="1" ref="AD17" ca="1">INDIRECT("'"&amp;$A17&amp;"'!AA8")</f>
        <v>0</v>
      </c>
      <c r="AE17" s="81">
        <f t="array" aca="1" ref="AE17" ca="1">INDIRECT("'"&amp;$A18&amp;"'!J2")</f>
        <v>0</v>
      </c>
      <c r="AF17" s="53" t="str">
        <f t="array" aca="1" ref="AF17" ca="1">INDIRECT("'"&amp;$A18&amp;"'!AD1")</f>
        <v/>
      </c>
    </row>
    <row r="18" spans="1:32">
      <c r="A18" s="58">
        <v>6</v>
      </c>
      <c r="B18" s="106"/>
      <c r="C18" s="67" t="str">
        <f t="array" aca="1" ref="C18" ca="1">CONCATENATE("粮 ",INDIRECT("'"&amp;$A18&amp;"'!D4"))</f>
        <v>粮 14800</v>
      </c>
      <c r="D18" s="55" t="s">
        <v>7</v>
      </c>
      <c r="E18" s="82">
        <f t="array" aca="1" ref="E18" ca="1">INDIRECT("'"&amp;$A18&amp;"'!I3")</f>
        <v>18</v>
      </c>
      <c r="F18" s="52">
        <f t="array" aca="1" ref="F18" ca="1">INDIRECT("'"&amp;$A18&amp;"'!C11")</f>
        <v>0</v>
      </c>
      <c r="G18" s="3">
        <f t="array" aca="1" ref="G18" ca="1">INDIRECT("'"&amp;$A18&amp;"'!D11")</f>
        <v>0</v>
      </c>
      <c r="H18" s="3">
        <f t="array" aca="1" ref="H18" ca="1">INDIRECT("'"&amp;$A18&amp;"'!E11")</f>
        <v>0</v>
      </c>
      <c r="I18" s="3">
        <f t="array" aca="1" ref="I18" ca="1">INDIRECT("'"&amp;$A18&amp;"'!F11")</f>
        <v>0</v>
      </c>
      <c r="J18" s="3">
        <f t="array" aca="1" ref="J18" ca="1">INDIRECT("'"&amp;$A18&amp;"'!G11")</f>
        <v>0</v>
      </c>
      <c r="K18" s="3">
        <f t="array" aca="1" ref="K18" ca="1">INDIRECT("'"&amp;$A18&amp;"'!H11")</f>
        <v>0</v>
      </c>
      <c r="L18" s="3">
        <f t="array" aca="1" ref="L18" ca="1">INDIRECT("'"&amp;$A18&amp;"'!I11")</f>
        <v>0</v>
      </c>
      <c r="M18" s="3">
        <f t="array" aca="1" ref="M18" ca="1">INDIRECT("'"&amp;$A18&amp;"'!J11")</f>
        <v>0</v>
      </c>
      <c r="N18" s="3">
        <f t="array" aca="1" ref="N18" ca="1">INDIRECT("'"&amp;$A18&amp;"'!K11")</f>
        <v>0</v>
      </c>
      <c r="O18" s="3">
        <f t="array" aca="1" ref="O18" ca="1">INDIRECT("'"&amp;$A18&amp;"'!L11")</f>
        <v>0</v>
      </c>
      <c r="P18" s="3">
        <f t="array" aca="1" ref="P18" ca="1">INDIRECT("'"&amp;$A18&amp;"'!M11")</f>
        <v>0</v>
      </c>
      <c r="Q18" s="3">
        <f t="array" aca="1" ref="Q18" ca="1">INDIRECT("'"&amp;$A18&amp;"'!N11")</f>
        <v>0</v>
      </c>
      <c r="R18" s="3">
        <f t="array" aca="1" ref="R18" ca="1">INDIRECT("'"&amp;$A18&amp;"'!O11")</f>
        <v>0</v>
      </c>
      <c r="S18" s="3">
        <f t="array" aca="1" ref="S18" ca="1">INDIRECT("'"&amp;$A18&amp;"'!P11")</f>
        <v>0</v>
      </c>
      <c r="T18" s="3">
        <f t="array" aca="1" ref="T18" ca="1">INDIRECT("'"&amp;$A18&amp;"'!Q11")</f>
        <v>0</v>
      </c>
      <c r="U18" s="3">
        <f t="array" aca="1" ref="U18" ca="1">INDIRECT("'"&amp;$A18&amp;"'!R11")</f>
        <v>0</v>
      </c>
      <c r="V18" s="3">
        <f t="array" aca="1" ref="V18" ca="1">INDIRECT("'"&amp;$A18&amp;"'!S11")</f>
        <v>0</v>
      </c>
      <c r="W18" s="3">
        <f t="array" aca="1" ref="W18" ca="1">INDIRECT("'"&amp;$A18&amp;"'!T11")</f>
        <v>0</v>
      </c>
      <c r="X18" s="3">
        <f t="array" aca="1" ref="X18" ca="1">INDIRECT("'"&amp;$A18&amp;"'!U11")</f>
        <v>0</v>
      </c>
      <c r="Y18" s="3">
        <f t="array" aca="1" ref="Y18" ca="1">INDIRECT("'"&amp;$A18&amp;"'!V11")</f>
        <v>0</v>
      </c>
      <c r="Z18" s="3">
        <f t="array" aca="1" ref="Z18" ca="1">INDIRECT("'"&amp;$A18&amp;"'!W11")</f>
        <v>0</v>
      </c>
      <c r="AA18" s="3">
        <f t="array" aca="1" ref="AA18" ca="1">INDIRECT("'"&amp;$A18&amp;"'!X11")</f>
        <v>0</v>
      </c>
      <c r="AB18" s="3">
        <f t="array" aca="1" ref="AB18" ca="1">INDIRECT("'"&amp;$A18&amp;"'!Y11")</f>
        <v>0</v>
      </c>
      <c r="AC18" s="3">
        <f t="array" aca="1" ref="AC18" ca="1">INDIRECT("'"&amp;$A18&amp;"'!Z11")</f>
        <v>0</v>
      </c>
      <c r="AD18" s="32">
        <f t="array" aca="1" ref="AD18" ca="1">INDIRECT("'"&amp;$A18&amp;"'!AA11")</f>
        <v>0</v>
      </c>
      <c r="AE18" s="82">
        <f t="array" aca="1" ref="AE18" ca="1">INDIRECT("'"&amp;$A18&amp;"'!J3")</f>
        <v>0</v>
      </c>
      <c r="AF18" s="53" t="str">
        <f t="array" aca="1" ref="AF18" ca="1">INDIRECT("'"&amp;$A18&amp;"'!AC1")</f>
        <v/>
      </c>
    </row>
    <row r="19" spans="1:32" ht="15.75" customHeight="1" thickBot="1">
      <c r="A19" s="58">
        <v>6</v>
      </c>
      <c r="B19" s="107"/>
      <c r="C19" s="77" t="str">
        <f t="array" aca="1" ref="C19" ca="1">CONCATENATE("分 ",INDIRECT("'"&amp;$A18&amp;"'!D6"))</f>
        <v>分 0</v>
      </c>
      <c r="D19" s="56" t="s">
        <v>8</v>
      </c>
      <c r="E19" s="83">
        <f t="array" aca="1" ref="E19" ca="1">INDIRECT("'"&amp;$A18&amp;"'!I4")</f>
        <v>18</v>
      </c>
      <c r="F19" s="52">
        <f t="array" aca="1" ref="F19" ca="1">INDIRECT("'"&amp;$A19&amp;"'!C14")</f>
        <v>0</v>
      </c>
      <c r="G19" s="3">
        <f t="array" aca="1" ref="G19" ca="1">INDIRECT("'"&amp;$A19&amp;"'!D14")</f>
        <v>0</v>
      </c>
      <c r="H19" s="3">
        <f t="array" aca="1" ref="H19" ca="1">INDIRECT("'"&amp;$A19&amp;"'!E14")</f>
        <v>0</v>
      </c>
      <c r="I19" s="3">
        <f t="array" aca="1" ref="I19" ca="1">INDIRECT("'"&amp;$A19&amp;"'!F14")</f>
        <v>0</v>
      </c>
      <c r="J19" s="3">
        <f t="array" aca="1" ref="J19" ca="1">INDIRECT("'"&amp;$A19&amp;"'!G14")</f>
        <v>0</v>
      </c>
      <c r="K19" s="3">
        <f t="array" aca="1" ref="K19" ca="1">INDIRECT("'"&amp;$A19&amp;"'!H14")</f>
        <v>0</v>
      </c>
      <c r="L19" s="3">
        <f t="array" aca="1" ref="L19" ca="1">INDIRECT("'"&amp;$A19&amp;"'!I14")</f>
        <v>0</v>
      </c>
      <c r="M19" s="3">
        <f t="array" aca="1" ref="M19" ca="1">INDIRECT("'"&amp;$A19&amp;"'!J14")</f>
        <v>0</v>
      </c>
      <c r="N19" s="3">
        <f t="array" aca="1" ref="N19" ca="1">INDIRECT("'"&amp;$A19&amp;"'!K14")</f>
        <v>0</v>
      </c>
      <c r="O19" s="3">
        <f t="array" aca="1" ref="O19" ca="1">INDIRECT("'"&amp;$A19&amp;"'!L14")</f>
        <v>0</v>
      </c>
      <c r="P19" s="3">
        <f t="array" aca="1" ref="P19" ca="1">INDIRECT("'"&amp;$A19&amp;"'!M14")</f>
        <v>0</v>
      </c>
      <c r="Q19" s="3">
        <f t="array" aca="1" ref="Q19" ca="1">INDIRECT("'"&amp;$A19&amp;"'!N14")</f>
        <v>0</v>
      </c>
      <c r="R19" s="3">
        <f t="array" aca="1" ref="R19" ca="1">INDIRECT("'"&amp;$A19&amp;"'!O14")</f>
        <v>0</v>
      </c>
      <c r="S19" s="3">
        <f t="array" aca="1" ref="S19" ca="1">INDIRECT("'"&amp;$A19&amp;"'!P14")</f>
        <v>0</v>
      </c>
      <c r="T19" s="3">
        <f t="array" aca="1" ref="T19" ca="1">INDIRECT("'"&amp;$A19&amp;"'!Q14")</f>
        <v>0</v>
      </c>
      <c r="U19" s="3">
        <f t="array" aca="1" ref="U19" ca="1">INDIRECT("'"&amp;$A19&amp;"'!R14")</f>
        <v>0</v>
      </c>
      <c r="V19" s="3">
        <f t="array" aca="1" ref="V19" ca="1">INDIRECT("'"&amp;$A19&amp;"'!S14")</f>
        <v>0</v>
      </c>
      <c r="W19" s="3">
        <f t="array" aca="1" ref="W19" ca="1">INDIRECT("'"&amp;$A19&amp;"'!T14")</f>
        <v>0</v>
      </c>
      <c r="X19" s="3">
        <f t="array" aca="1" ref="X19" ca="1">INDIRECT("'"&amp;$A19&amp;"'!U14")</f>
        <v>0</v>
      </c>
      <c r="Y19" s="3">
        <f t="array" aca="1" ref="Y19" ca="1">INDIRECT("'"&amp;$A19&amp;"'!V14")</f>
        <v>0</v>
      </c>
      <c r="Z19" s="3">
        <f t="array" aca="1" ref="Z19" ca="1">INDIRECT("'"&amp;$A19&amp;"'!W14")</f>
        <v>0</v>
      </c>
      <c r="AA19" s="3">
        <f t="array" aca="1" ref="AA19" ca="1">INDIRECT("'"&amp;$A19&amp;"'!X14")</f>
        <v>0</v>
      </c>
      <c r="AB19" s="3">
        <f t="array" aca="1" ref="AB19" ca="1">INDIRECT("'"&amp;$A19&amp;"'!Y14")</f>
        <v>0</v>
      </c>
      <c r="AC19" s="3">
        <f t="array" aca="1" ref="AC19" ca="1">INDIRECT("'"&amp;$A19&amp;"'!Z14")</f>
        <v>0</v>
      </c>
      <c r="AD19" s="32">
        <f t="array" aca="1" ref="AD19" ca="1">INDIRECT("'"&amp;$A19&amp;"'!AA14")</f>
        <v>0</v>
      </c>
      <c r="AE19" s="83">
        <f t="array" aca="1" ref="AE19" ca="1">INDIRECT("'"&amp;$A18&amp;"'!J4")</f>
        <v>0</v>
      </c>
      <c r="AF19" s="53"/>
    </row>
    <row r="20" spans="1:32">
      <c r="A20" s="58">
        <v>7</v>
      </c>
      <c r="B20" s="105">
        <f>INDEX(data!$I$2:$I$91,MATCH(A20*1,data!$G$2:$G$91,0))</f>
        <v>46191</v>
      </c>
      <c r="C20" s="66" t="str">
        <f>HYPERLINK("#'" &amp; A20 &amp; "'!A1", "编辑")</f>
        <v>编辑</v>
      </c>
      <c r="D20" s="54" t="s">
        <v>6</v>
      </c>
      <c r="E20" s="81">
        <f t="array" aca="1" ref="E20" ca="1">INDIRECT("'"&amp;$A21&amp;"'!I2")</f>
        <v>18</v>
      </c>
      <c r="F20" s="29">
        <f t="array" aca="1" ref="F20" ca="1">INDIRECT("'"&amp;$A20&amp;"'!C8")</f>
        <v>0</v>
      </c>
      <c r="G20" s="30">
        <f t="array" aca="1" ref="G20" ca="1">INDIRECT("'"&amp;$A20&amp;"'!D8")</f>
        <v>0</v>
      </c>
      <c r="H20" s="30">
        <f t="array" aca="1" ref="H20" ca="1">INDIRECT("'"&amp;$A20&amp;"'!E8")</f>
        <v>0</v>
      </c>
      <c r="I20" s="30">
        <f t="array" aca="1" ref="I20" ca="1">INDIRECT("'"&amp;$A20&amp;"'!F8")</f>
        <v>0</v>
      </c>
      <c r="J20" s="30">
        <f t="array" aca="1" ref="J20" ca="1">INDIRECT("'"&amp;$A20&amp;"'!G8")</f>
        <v>0</v>
      </c>
      <c r="K20" s="30">
        <f t="array" aca="1" ref="K20" ca="1">INDIRECT("'"&amp;$A20&amp;"'!H8")</f>
        <v>0</v>
      </c>
      <c r="L20" s="30">
        <f t="array" aca="1" ref="L20" ca="1">INDIRECT("'"&amp;$A20&amp;"'!I8")</f>
        <v>0</v>
      </c>
      <c r="M20" s="30">
        <f t="array" aca="1" ref="M20" ca="1">INDIRECT("'"&amp;$A20&amp;"'!J8")</f>
        <v>0</v>
      </c>
      <c r="N20" s="30">
        <f t="array" aca="1" ref="N20" ca="1">INDIRECT("'"&amp;$A20&amp;"'!K8")</f>
        <v>0</v>
      </c>
      <c r="O20" s="30">
        <f t="array" aca="1" ref="O20" ca="1">INDIRECT("'"&amp;$A20&amp;"'!L8")</f>
        <v>0</v>
      </c>
      <c r="P20" s="30">
        <f t="array" aca="1" ref="P20" ca="1">INDIRECT("'"&amp;$A20&amp;"'!M8")</f>
        <v>0</v>
      </c>
      <c r="Q20" s="30">
        <f t="array" aca="1" ref="Q20" ca="1">INDIRECT("'"&amp;$A20&amp;"'!N8")</f>
        <v>0</v>
      </c>
      <c r="R20" s="30">
        <f t="array" aca="1" ref="R20" ca="1">INDIRECT("'"&amp;$A20&amp;"'!O8")</f>
        <v>0</v>
      </c>
      <c r="S20" s="30">
        <f t="array" aca="1" ref="S20" ca="1">INDIRECT("'"&amp;$A20&amp;"'!P8")</f>
        <v>0</v>
      </c>
      <c r="T20" s="30">
        <f t="array" aca="1" ref="T20" ca="1">INDIRECT("'"&amp;$A20&amp;"'!Q8")</f>
        <v>0</v>
      </c>
      <c r="U20" s="30">
        <f t="array" aca="1" ref="U20" ca="1">INDIRECT("'"&amp;$A20&amp;"'!R8")</f>
        <v>0</v>
      </c>
      <c r="V20" s="30">
        <f t="array" aca="1" ref="V20" ca="1">INDIRECT("'"&amp;$A20&amp;"'!S8")</f>
        <v>0</v>
      </c>
      <c r="W20" s="30">
        <f t="array" aca="1" ref="W20" ca="1">INDIRECT("'"&amp;$A20&amp;"'!T8")</f>
        <v>0</v>
      </c>
      <c r="X20" s="30">
        <f t="array" aca="1" ref="X20" ca="1">INDIRECT("'"&amp;$A20&amp;"'!U8")</f>
        <v>0</v>
      </c>
      <c r="Y20" s="30">
        <f t="array" aca="1" ref="Y20" ca="1">INDIRECT("'"&amp;$A20&amp;"'!V8")</f>
        <v>0</v>
      </c>
      <c r="Z20" s="30">
        <f t="array" aca="1" ref="Z20" ca="1">INDIRECT("'"&amp;$A20&amp;"'!W8")</f>
        <v>0</v>
      </c>
      <c r="AA20" s="30">
        <f t="array" aca="1" ref="AA20" ca="1">INDIRECT("'"&amp;$A20&amp;"'!X8")</f>
        <v>0</v>
      </c>
      <c r="AB20" s="30">
        <f t="array" aca="1" ref="AB20" ca="1">INDIRECT("'"&amp;$A20&amp;"'!Y8")</f>
        <v>0</v>
      </c>
      <c r="AC20" s="30">
        <f t="array" aca="1" ref="AC20" ca="1">INDIRECT("'"&amp;$A20&amp;"'!Z8")</f>
        <v>0</v>
      </c>
      <c r="AD20" s="31">
        <f t="array" aca="1" ref="AD20" ca="1">INDIRECT("'"&amp;$A20&amp;"'!AA8")</f>
        <v>0</v>
      </c>
      <c r="AE20" s="81">
        <f t="array" aca="1" ref="AE20" ca="1">INDIRECT("'"&amp;$A21&amp;"'!J2")</f>
        <v>0</v>
      </c>
      <c r="AF20" s="53" t="str">
        <f t="array" aca="1" ref="AF20" ca="1">INDIRECT("'"&amp;$A21&amp;"'!AD1")</f>
        <v/>
      </c>
    </row>
    <row r="21" spans="1:32">
      <c r="A21" s="58">
        <v>7</v>
      </c>
      <c r="B21" s="106"/>
      <c r="C21" s="67" t="str">
        <f t="array" aca="1" ref="C21" ca="1">CONCATENATE("粮 ",INDIRECT("'"&amp;$A21&amp;"'!D4"))</f>
        <v>粮 16400</v>
      </c>
      <c r="D21" s="55" t="s">
        <v>7</v>
      </c>
      <c r="E21" s="82">
        <f t="array" aca="1" ref="E21" ca="1">INDIRECT("'"&amp;$A21&amp;"'!I3")</f>
        <v>18</v>
      </c>
      <c r="F21" s="52">
        <f t="array" aca="1" ref="F21" ca="1">INDIRECT("'"&amp;$A21&amp;"'!C11")</f>
        <v>0</v>
      </c>
      <c r="G21" s="3">
        <f t="array" aca="1" ref="G21" ca="1">INDIRECT("'"&amp;$A21&amp;"'!D11")</f>
        <v>0</v>
      </c>
      <c r="H21" s="3">
        <f t="array" aca="1" ref="H21" ca="1">INDIRECT("'"&amp;$A21&amp;"'!E11")</f>
        <v>0</v>
      </c>
      <c r="I21" s="3">
        <f t="array" aca="1" ref="I21" ca="1">INDIRECT("'"&amp;$A21&amp;"'!F11")</f>
        <v>0</v>
      </c>
      <c r="J21" s="3">
        <f t="array" aca="1" ref="J21" ca="1">INDIRECT("'"&amp;$A21&amp;"'!G11")</f>
        <v>0</v>
      </c>
      <c r="K21" s="3">
        <f t="array" aca="1" ref="K21" ca="1">INDIRECT("'"&amp;$A21&amp;"'!H11")</f>
        <v>0</v>
      </c>
      <c r="L21" s="3">
        <f t="array" aca="1" ref="L21" ca="1">INDIRECT("'"&amp;$A21&amp;"'!I11")</f>
        <v>0</v>
      </c>
      <c r="M21" s="3">
        <f t="array" aca="1" ref="M21" ca="1">INDIRECT("'"&amp;$A21&amp;"'!J11")</f>
        <v>0</v>
      </c>
      <c r="N21" s="3">
        <f t="array" aca="1" ref="N21" ca="1">INDIRECT("'"&amp;$A21&amp;"'!K11")</f>
        <v>0</v>
      </c>
      <c r="O21" s="3">
        <f t="array" aca="1" ref="O21" ca="1">INDIRECT("'"&amp;$A21&amp;"'!L11")</f>
        <v>0</v>
      </c>
      <c r="P21" s="3">
        <f t="array" aca="1" ref="P21" ca="1">INDIRECT("'"&amp;$A21&amp;"'!M11")</f>
        <v>0</v>
      </c>
      <c r="Q21" s="3">
        <f t="array" aca="1" ref="Q21" ca="1">INDIRECT("'"&amp;$A21&amp;"'!N11")</f>
        <v>0</v>
      </c>
      <c r="R21" s="3">
        <f t="array" aca="1" ref="R21" ca="1">INDIRECT("'"&amp;$A21&amp;"'!O11")</f>
        <v>0</v>
      </c>
      <c r="S21" s="3">
        <f t="array" aca="1" ref="S21" ca="1">INDIRECT("'"&amp;$A21&amp;"'!P11")</f>
        <v>0</v>
      </c>
      <c r="T21" s="3">
        <f t="array" aca="1" ref="T21" ca="1">INDIRECT("'"&amp;$A21&amp;"'!Q11")</f>
        <v>0</v>
      </c>
      <c r="U21" s="3">
        <f t="array" aca="1" ref="U21" ca="1">INDIRECT("'"&amp;$A21&amp;"'!R11")</f>
        <v>0</v>
      </c>
      <c r="V21" s="3">
        <f t="array" aca="1" ref="V21" ca="1">INDIRECT("'"&amp;$A21&amp;"'!S11")</f>
        <v>0</v>
      </c>
      <c r="W21" s="3">
        <f t="array" aca="1" ref="W21" ca="1">INDIRECT("'"&amp;$A21&amp;"'!T11")</f>
        <v>0</v>
      </c>
      <c r="X21" s="3">
        <f t="array" aca="1" ref="X21" ca="1">INDIRECT("'"&amp;$A21&amp;"'!U11")</f>
        <v>0</v>
      </c>
      <c r="Y21" s="3">
        <f t="array" aca="1" ref="Y21" ca="1">INDIRECT("'"&amp;$A21&amp;"'!V11")</f>
        <v>0</v>
      </c>
      <c r="Z21" s="3">
        <f t="array" aca="1" ref="Z21" ca="1">INDIRECT("'"&amp;$A21&amp;"'!W11")</f>
        <v>0</v>
      </c>
      <c r="AA21" s="3">
        <f t="array" aca="1" ref="AA21" ca="1">INDIRECT("'"&amp;$A21&amp;"'!X11")</f>
        <v>0</v>
      </c>
      <c r="AB21" s="3">
        <f t="array" aca="1" ref="AB21" ca="1">INDIRECT("'"&amp;$A21&amp;"'!Y11")</f>
        <v>0</v>
      </c>
      <c r="AC21" s="3">
        <f t="array" aca="1" ref="AC21" ca="1">INDIRECT("'"&amp;$A21&amp;"'!Z11")</f>
        <v>0</v>
      </c>
      <c r="AD21" s="32">
        <f t="array" aca="1" ref="AD21" ca="1">INDIRECT("'"&amp;$A21&amp;"'!AA11")</f>
        <v>0</v>
      </c>
      <c r="AE21" s="82">
        <f t="array" aca="1" ref="AE21" ca="1">INDIRECT("'"&amp;$A21&amp;"'!J3")</f>
        <v>0</v>
      </c>
      <c r="AF21" s="53" t="str">
        <f t="array" aca="1" ref="AF21" ca="1">INDIRECT("'"&amp;$A21&amp;"'!AC1")</f>
        <v/>
      </c>
    </row>
    <row r="22" spans="1:32" ht="15.75" customHeight="1" thickBot="1">
      <c r="A22" s="58">
        <v>7</v>
      </c>
      <c r="B22" s="107"/>
      <c r="C22" s="77" t="str">
        <f t="array" aca="1" ref="C22" ca="1">CONCATENATE("分 ",INDIRECT("'"&amp;$A21&amp;"'!D6"))</f>
        <v>分 0</v>
      </c>
      <c r="D22" s="56" t="s">
        <v>8</v>
      </c>
      <c r="E22" s="83">
        <f t="array" aca="1" ref="E22" ca="1">INDIRECT("'"&amp;$A21&amp;"'!I4")</f>
        <v>18</v>
      </c>
      <c r="F22" s="52">
        <f t="array" aca="1" ref="F22" ca="1">INDIRECT("'"&amp;$A22&amp;"'!C14")</f>
        <v>0</v>
      </c>
      <c r="G22" s="3">
        <f t="array" aca="1" ref="G22" ca="1">INDIRECT("'"&amp;$A22&amp;"'!D14")</f>
        <v>0</v>
      </c>
      <c r="H22" s="3">
        <f t="array" aca="1" ref="H22" ca="1">INDIRECT("'"&amp;$A22&amp;"'!E14")</f>
        <v>0</v>
      </c>
      <c r="I22" s="3">
        <f t="array" aca="1" ref="I22" ca="1">INDIRECT("'"&amp;$A22&amp;"'!F14")</f>
        <v>0</v>
      </c>
      <c r="J22" s="3">
        <f t="array" aca="1" ref="J22" ca="1">INDIRECT("'"&amp;$A22&amp;"'!G14")</f>
        <v>0</v>
      </c>
      <c r="K22" s="3">
        <f t="array" aca="1" ref="K22" ca="1">INDIRECT("'"&amp;$A22&amp;"'!H14")</f>
        <v>0</v>
      </c>
      <c r="L22" s="3">
        <f t="array" aca="1" ref="L22" ca="1">INDIRECT("'"&amp;$A22&amp;"'!I14")</f>
        <v>0</v>
      </c>
      <c r="M22" s="3">
        <f t="array" aca="1" ref="M22" ca="1">INDIRECT("'"&amp;$A22&amp;"'!J14")</f>
        <v>0</v>
      </c>
      <c r="N22" s="3">
        <f t="array" aca="1" ref="N22" ca="1">INDIRECT("'"&amp;$A22&amp;"'!K14")</f>
        <v>0</v>
      </c>
      <c r="O22" s="3">
        <f t="array" aca="1" ref="O22" ca="1">INDIRECT("'"&amp;$A22&amp;"'!L14")</f>
        <v>0</v>
      </c>
      <c r="P22" s="3">
        <f t="array" aca="1" ref="P22" ca="1">INDIRECT("'"&amp;$A22&amp;"'!M14")</f>
        <v>0</v>
      </c>
      <c r="Q22" s="3">
        <f t="array" aca="1" ref="Q22" ca="1">INDIRECT("'"&amp;$A22&amp;"'!N14")</f>
        <v>0</v>
      </c>
      <c r="R22" s="3">
        <f t="array" aca="1" ref="R22" ca="1">INDIRECT("'"&amp;$A22&amp;"'!O14")</f>
        <v>0</v>
      </c>
      <c r="S22" s="3">
        <f t="array" aca="1" ref="S22" ca="1">INDIRECT("'"&amp;$A22&amp;"'!P14")</f>
        <v>0</v>
      </c>
      <c r="T22" s="3">
        <f t="array" aca="1" ref="T22" ca="1">INDIRECT("'"&amp;$A22&amp;"'!Q14")</f>
        <v>0</v>
      </c>
      <c r="U22" s="3">
        <f t="array" aca="1" ref="U22" ca="1">INDIRECT("'"&amp;$A22&amp;"'!R14")</f>
        <v>0</v>
      </c>
      <c r="V22" s="3">
        <f t="array" aca="1" ref="V22" ca="1">INDIRECT("'"&amp;$A22&amp;"'!S14")</f>
        <v>0</v>
      </c>
      <c r="W22" s="3">
        <f t="array" aca="1" ref="W22" ca="1">INDIRECT("'"&amp;$A22&amp;"'!T14")</f>
        <v>0</v>
      </c>
      <c r="X22" s="3">
        <f t="array" aca="1" ref="X22" ca="1">INDIRECT("'"&amp;$A22&amp;"'!U14")</f>
        <v>0</v>
      </c>
      <c r="Y22" s="3">
        <f t="array" aca="1" ref="Y22" ca="1">INDIRECT("'"&amp;$A22&amp;"'!V14")</f>
        <v>0</v>
      </c>
      <c r="Z22" s="3">
        <f t="array" aca="1" ref="Z22" ca="1">INDIRECT("'"&amp;$A22&amp;"'!W14")</f>
        <v>0</v>
      </c>
      <c r="AA22" s="3">
        <f t="array" aca="1" ref="AA22" ca="1">INDIRECT("'"&amp;$A22&amp;"'!X14")</f>
        <v>0</v>
      </c>
      <c r="AB22" s="3">
        <f t="array" aca="1" ref="AB22" ca="1">INDIRECT("'"&amp;$A22&amp;"'!Y14")</f>
        <v>0</v>
      </c>
      <c r="AC22" s="3">
        <f t="array" aca="1" ref="AC22" ca="1">INDIRECT("'"&amp;$A22&amp;"'!Z14")</f>
        <v>0</v>
      </c>
      <c r="AD22" s="32">
        <f t="array" aca="1" ref="AD22" ca="1">INDIRECT("'"&amp;$A22&amp;"'!AA14")</f>
        <v>0</v>
      </c>
      <c r="AE22" s="83">
        <f t="array" aca="1" ref="AE22" ca="1">INDIRECT("'"&amp;$A21&amp;"'!J4")</f>
        <v>0</v>
      </c>
      <c r="AF22" s="53"/>
    </row>
    <row r="23" spans="1:32">
      <c r="A23" s="58">
        <v>8</v>
      </c>
      <c r="B23" s="105">
        <f>INDEX(data!$I$2:$I$91,MATCH(A23*1,data!$G$2:$G$91,0))</f>
        <v>46192</v>
      </c>
      <c r="C23" s="66" t="str">
        <f>HYPERLINK("#'" &amp; A23 &amp; "'!A1", "编辑")</f>
        <v>编辑</v>
      </c>
      <c r="D23" s="54" t="s">
        <v>6</v>
      </c>
      <c r="E23" s="81">
        <f t="array" aca="1" ref="E23" ca="1">INDIRECT("'"&amp;$A24&amp;"'!I2")</f>
        <v>18</v>
      </c>
      <c r="F23" s="29">
        <f t="array" aca="1" ref="F23" ca="1">INDIRECT("'"&amp;$A23&amp;"'!C8")</f>
        <v>0</v>
      </c>
      <c r="G23" s="30">
        <f t="array" aca="1" ref="G23" ca="1">INDIRECT("'"&amp;$A23&amp;"'!D8")</f>
        <v>0</v>
      </c>
      <c r="H23" s="30">
        <f t="array" aca="1" ref="H23" ca="1">INDIRECT("'"&amp;$A23&amp;"'!E8")</f>
        <v>0</v>
      </c>
      <c r="I23" s="30">
        <f t="array" aca="1" ref="I23" ca="1">INDIRECT("'"&amp;$A23&amp;"'!F8")</f>
        <v>0</v>
      </c>
      <c r="J23" s="30">
        <f t="array" aca="1" ref="J23" ca="1">INDIRECT("'"&amp;$A23&amp;"'!G8")</f>
        <v>0</v>
      </c>
      <c r="K23" s="30">
        <f t="array" aca="1" ref="K23" ca="1">INDIRECT("'"&amp;$A23&amp;"'!H8")</f>
        <v>0</v>
      </c>
      <c r="L23" s="30">
        <f t="array" aca="1" ref="L23" ca="1">INDIRECT("'"&amp;$A23&amp;"'!I8")</f>
        <v>0</v>
      </c>
      <c r="M23" s="30">
        <f t="array" aca="1" ref="M23" ca="1">INDIRECT("'"&amp;$A23&amp;"'!J8")</f>
        <v>0</v>
      </c>
      <c r="N23" s="30">
        <f t="array" aca="1" ref="N23" ca="1">INDIRECT("'"&amp;$A23&amp;"'!K8")</f>
        <v>0</v>
      </c>
      <c r="O23" s="30">
        <f t="array" aca="1" ref="O23" ca="1">INDIRECT("'"&amp;$A23&amp;"'!L8")</f>
        <v>0</v>
      </c>
      <c r="P23" s="30">
        <f t="array" aca="1" ref="P23" ca="1">INDIRECT("'"&amp;$A23&amp;"'!M8")</f>
        <v>0</v>
      </c>
      <c r="Q23" s="30">
        <f t="array" aca="1" ref="Q23" ca="1">INDIRECT("'"&amp;$A23&amp;"'!N8")</f>
        <v>0</v>
      </c>
      <c r="R23" s="30">
        <f t="array" aca="1" ref="R23" ca="1">INDIRECT("'"&amp;$A23&amp;"'!O8")</f>
        <v>0</v>
      </c>
      <c r="S23" s="30">
        <f t="array" aca="1" ref="S23" ca="1">INDIRECT("'"&amp;$A23&amp;"'!P8")</f>
        <v>0</v>
      </c>
      <c r="T23" s="30">
        <f t="array" aca="1" ref="T23" ca="1">INDIRECT("'"&amp;$A23&amp;"'!Q8")</f>
        <v>0</v>
      </c>
      <c r="U23" s="30">
        <f t="array" aca="1" ref="U23" ca="1">INDIRECT("'"&amp;$A23&amp;"'!R8")</f>
        <v>0</v>
      </c>
      <c r="V23" s="30">
        <f t="array" aca="1" ref="V23" ca="1">INDIRECT("'"&amp;$A23&amp;"'!S8")</f>
        <v>0</v>
      </c>
      <c r="W23" s="30">
        <f t="array" aca="1" ref="W23" ca="1">INDIRECT("'"&amp;$A23&amp;"'!T8")</f>
        <v>0</v>
      </c>
      <c r="X23" s="30">
        <f t="array" aca="1" ref="X23" ca="1">INDIRECT("'"&amp;$A23&amp;"'!U8")</f>
        <v>0</v>
      </c>
      <c r="Y23" s="30">
        <f t="array" aca="1" ref="Y23" ca="1">INDIRECT("'"&amp;$A23&amp;"'!V8")</f>
        <v>0</v>
      </c>
      <c r="Z23" s="30">
        <f t="array" aca="1" ref="Z23" ca="1">INDIRECT("'"&amp;$A23&amp;"'!W8")</f>
        <v>0</v>
      </c>
      <c r="AA23" s="30">
        <f t="array" aca="1" ref="AA23" ca="1">INDIRECT("'"&amp;$A23&amp;"'!X8")</f>
        <v>0</v>
      </c>
      <c r="AB23" s="30">
        <f t="array" aca="1" ref="AB23" ca="1">INDIRECT("'"&amp;$A23&amp;"'!Y8")</f>
        <v>0</v>
      </c>
      <c r="AC23" s="30">
        <f t="array" aca="1" ref="AC23" ca="1">INDIRECT("'"&amp;$A23&amp;"'!Z8")</f>
        <v>0</v>
      </c>
      <c r="AD23" s="31">
        <f t="array" aca="1" ref="AD23" ca="1">INDIRECT("'"&amp;$A23&amp;"'!AA8")</f>
        <v>0</v>
      </c>
      <c r="AE23" s="81">
        <f t="array" aca="1" ref="AE23" ca="1">INDIRECT("'"&amp;$A24&amp;"'!J2")</f>
        <v>0</v>
      </c>
      <c r="AF23" s="53" t="str">
        <f t="array" aca="1" ref="AF23" ca="1">INDIRECT("'"&amp;$A24&amp;"'!AD1")</f>
        <v/>
      </c>
    </row>
    <row r="24" spans="1:32">
      <c r="A24" s="58">
        <v>8</v>
      </c>
      <c r="B24" s="106"/>
      <c r="C24" s="67" t="str">
        <f t="array" aca="1" ref="C24" ca="1">CONCATENATE("粮 ",INDIRECT("'"&amp;$A24&amp;"'!D4"))</f>
        <v>粮 18000</v>
      </c>
      <c r="D24" s="55" t="s">
        <v>7</v>
      </c>
      <c r="E24" s="82">
        <f t="array" aca="1" ref="E24" ca="1">INDIRECT("'"&amp;$A24&amp;"'!I3")</f>
        <v>18</v>
      </c>
      <c r="F24" s="52">
        <f t="array" aca="1" ref="F24" ca="1">INDIRECT("'"&amp;$A24&amp;"'!C11")</f>
        <v>0</v>
      </c>
      <c r="G24" s="3">
        <f t="array" aca="1" ref="G24" ca="1">INDIRECT("'"&amp;$A24&amp;"'!D11")</f>
        <v>0</v>
      </c>
      <c r="H24" s="3">
        <f t="array" aca="1" ref="H24" ca="1">INDIRECT("'"&amp;$A24&amp;"'!E11")</f>
        <v>0</v>
      </c>
      <c r="I24" s="3">
        <f t="array" aca="1" ref="I24" ca="1">INDIRECT("'"&amp;$A24&amp;"'!F11")</f>
        <v>0</v>
      </c>
      <c r="J24" s="3">
        <f t="array" aca="1" ref="J24" ca="1">INDIRECT("'"&amp;$A24&amp;"'!G11")</f>
        <v>0</v>
      </c>
      <c r="K24" s="3">
        <f t="array" aca="1" ref="K24" ca="1">INDIRECT("'"&amp;$A24&amp;"'!H11")</f>
        <v>0</v>
      </c>
      <c r="L24" s="3">
        <f t="array" aca="1" ref="L24" ca="1">INDIRECT("'"&amp;$A24&amp;"'!I11")</f>
        <v>0</v>
      </c>
      <c r="M24" s="3">
        <f t="array" aca="1" ref="M24" ca="1">INDIRECT("'"&amp;$A24&amp;"'!J11")</f>
        <v>0</v>
      </c>
      <c r="N24" s="3">
        <f t="array" aca="1" ref="N24" ca="1">INDIRECT("'"&amp;$A24&amp;"'!K11")</f>
        <v>0</v>
      </c>
      <c r="O24" s="3">
        <f t="array" aca="1" ref="O24" ca="1">INDIRECT("'"&amp;$A24&amp;"'!L11")</f>
        <v>0</v>
      </c>
      <c r="P24" s="3">
        <f t="array" aca="1" ref="P24" ca="1">INDIRECT("'"&amp;$A24&amp;"'!M11")</f>
        <v>0</v>
      </c>
      <c r="Q24" s="3">
        <f t="array" aca="1" ref="Q24" ca="1">INDIRECT("'"&amp;$A24&amp;"'!N11")</f>
        <v>0</v>
      </c>
      <c r="R24" s="3">
        <f t="array" aca="1" ref="R24" ca="1">INDIRECT("'"&amp;$A24&amp;"'!O11")</f>
        <v>0</v>
      </c>
      <c r="S24" s="3">
        <f t="array" aca="1" ref="S24" ca="1">INDIRECT("'"&amp;$A24&amp;"'!P11")</f>
        <v>0</v>
      </c>
      <c r="T24" s="3">
        <f t="array" aca="1" ref="T24" ca="1">INDIRECT("'"&amp;$A24&amp;"'!Q11")</f>
        <v>0</v>
      </c>
      <c r="U24" s="3">
        <f t="array" aca="1" ref="U24" ca="1">INDIRECT("'"&amp;$A24&amp;"'!R11")</f>
        <v>0</v>
      </c>
      <c r="V24" s="3">
        <f t="array" aca="1" ref="V24" ca="1">INDIRECT("'"&amp;$A24&amp;"'!S11")</f>
        <v>0</v>
      </c>
      <c r="W24" s="3">
        <f t="array" aca="1" ref="W24" ca="1">INDIRECT("'"&amp;$A24&amp;"'!T11")</f>
        <v>0</v>
      </c>
      <c r="X24" s="3">
        <f t="array" aca="1" ref="X24" ca="1">INDIRECT("'"&amp;$A24&amp;"'!U11")</f>
        <v>0</v>
      </c>
      <c r="Y24" s="3">
        <f t="array" aca="1" ref="Y24" ca="1">INDIRECT("'"&amp;$A24&amp;"'!V11")</f>
        <v>0</v>
      </c>
      <c r="Z24" s="3">
        <f t="array" aca="1" ref="Z24" ca="1">INDIRECT("'"&amp;$A24&amp;"'!W11")</f>
        <v>0</v>
      </c>
      <c r="AA24" s="3">
        <f t="array" aca="1" ref="AA24" ca="1">INDIRECT("'"&amp;$A24&amp;"'!X11")</f>
        <v>0</v>
      </c>
      <c r="AB24" s="3">
        <f t="array" aca="1" ref="AB24" ca="1">INDIRECT("'"&amp;$A24&amp;"'!Y11")</f>
        <v>0</v>
      </c>
      <c r="AC24" s="3">
        <f t="array" aca="1" ref="AC24" ca="1">INDIRECT("'"&amp;$A24&amp;"'!Z11")</f>
        <v>0</v>
      </c>
      <c r="AD24" s="32">
        <f t="array" aca="1" ref="AD24" ca="1">INDIRECT("'"&amp;$A24&amp;"'!AA11")</f>
        <v>0</v>
      </c>
      <c r="AE24" s="82">
        <f t="array" aca="1" ref="AE24" ca="1">INDIRECT("'"&amp;$A24&amp;"'!J3")</f>
        <v>0</v>
      </c>
      <c r="AF24" s="53" t="str">
        <f t="array" aca="1" ref="AF24" ca="1">INDIRECT("'"&amp;$A24&amp;"'!AC1")</f>
        <v/>
      </c>
    </row>
    <row r="25" spans="1:32" ht="15.75" customHeight="1" thickBot="1">
      <c r="A25" s="58">
        <v>8</v>
      </c>
      <c r="B25" s="107"/>
      <c r="C25" s="77" t="str">
        <f t="array" aca="1" ref="C25" ca="1">CONCATENATE("分 ",INDIRECT("'"&amp;$A24&amp;"'!D6"))</f>
        <v>分 0</v>
      </c>
      <c r="D25" s="56" t="s">
        <v>8</v>
      </c>
      <c r="E25" s="83">
        <f t="array" aca="1" ref="E25" ca="1">INDIRECT("'"&amp;$A24&amp;"'!I4")</f>
        <v>18</v>
      </c>
      <c r="F25" s="52">
        <f t="array" aca="1" ref="F25" ca="1">INDIRECT("'"&amp;$A25&amp;"'!C14")</f>
        <v>0</v>
      </c>
      <c r="G25" s="3">
        <f t="array" aca="1" ref="G25" ca="1">INDIRECT("'"&amp;$A25&amp;"'!D14")</f>
        <v>0</v>
      </c>
      <c r="H25" s="3">
        <f t="array" aca="1" ref="H25" ca="1">INDIRECT("'"&amp;$A25&amp;"'!E14")</f>
        <v>0</v>
      </c>
      <c r="I25" s="3">
        <f t="array" aca="1" ref="I25" ca="1">INDIRECT("'"&amp;$A25&amp;"'!F14")</f>
        <v>0</v>
      </c>
      <c r="J25" s="3">
        <f t="array" aca="1" ref="J25" ca="1">INDIRECT("'"&amp;$A25&amp;"'!G14")</f>
        <v>0</v>
      </c>
      <c r="K25" s="3">
        <f t="array" aca="1" ref="K25" ca="1">INDIRECT("'"&amp;$A25&amp;"'!H14")</f>
        <v>0</v>
      </c>
      <c r="L25" s="3">
        <f t="array" aca="1" ref="L25" ca="1">INDIRECT("'"&amp;$A25&amp;"'!I14")</f>
        <v>0</v>
      </c>
      <c r="M25" s="3">
        <f t="array" aca="1" ref="M25" ca="1">INDIRECT("'"&amp;$A25&amp;"'!J14")</f>
        <v>0</v>
      </c>
      <c r="N25" s="3">
        <f t="array" aca="1" ref="N25" ca="1">INDIRECT("'"&amp;$A25&amp;"'!K14")</f>
        <v>0</v>
      </c>
      <c r="O25" s="3">
        <f t="array" aca="1" ref="O25" ca="1">INDIRECT("'"&amp;$A25&amp;"'!L14")</f>
        <v>0</v>
      </c>
      <c r="P25" s="3">
        <f t="array" aca="1" ref="P25" ca="1">INDIRECT("'"&amp;$A25&amp;"'!M14")</f>
        <v>0</v>
      </c>
      <c r="Q25" s="3">
        <f t="array" aca="1" ref="Q25" ca="1">INDIRECT("'"&amp;$A25&amp;"'!N14")</f>
        <v>0</v>
      </c>
      <c r="R25" s="3">
        <f t="array" aca="1" ref="R25" ca="1">INDIRECT("'"&amp;$A25&amp;"'!O14")</f>
        <v>0</v>
      </c>
      <c r="S25" s="3">
        <f t="array" aca="1" ref="S25" ca="1">INDIRECT("'"&amp;$A25&amp;"'!P14")</f>
        <v>0</v>
      </c>
      <c r="T25" s="3">
        <f t="array" aca="1" ref="T25" ca="1">INDIRECT("'"&amp;$A25&amp;"'!Q14")</f>
        <v>0</v>
      </c>
      <c r="U25" s="3">
        <f t="array" aca="1" ref="U25" ca="1">INDIRECT("'"&amp;$A25&amp;"'!R14")</f>
        <v>0</v>
      </c>
      <c r="V25" s="3">
        <f t="array" aca="1" ref="V25" ca="1">INDIRECT("'"&amp;$A25&amp;"'!S14")</f>
        <v>0</v>
      </c>
      <c r="W25" s="3">
        <f t="array" aca="1" ref="W25" ca="1">INDIRECT("'"&amp;$A25&amp;"'!T14")</f>
        <v>0</v>
      </c>
      <c r="X25" s="3">
        <f t="array" aca="1" ref="X25" ca="1">INDIRECT("'"&amp;$A25&amp;"'!U14")</f>
        <v>0</v>
      </c>
      <c r="Y25" s="3">
        <f t="array" aca="1" ref="Y25" ca="1">INDIRECT("'"&amp;$A25&amp;"'!V14")</f>
        <v>0</v>
      </c>
      <c r="Z25" s="3">
        <f t="array" aca="1" ref="Z25" ca="1">INDIRECT("'"&amp;$A25&amp;"'!W14")</f>
        <v>0</v>
      </c>
      <c r="AA25" s="3">
        <f t="array" aca="1" ref="AA25" ca="1">INDIRECT("'"&amp;$A25&amp;"'!X14")</f>
        <v>0</v>
      </c>
      <c r="AB25" s="3">
        <f t="array" aca="1" ref="AB25" ca="1">INDIRECT("'"&amp;$A25&amp;"'!Y14")</f>
        <v>0</v>
      </c>
      <c r="AC25" s="3">
        <f t="array" aca="1" ref="AC25" ca="1">INDIRECT("'"&amp;$A25&amp;"'!Z14")</f>
        <v>0</v>
      </c>
      <c r="AD25" s="32">
        <f t="array" aca="1" ref="AD25" ca="1">INDIRECT("'"&amp;$A25&amp;"'!AA14")</f>
        <v>0</v>
      </c>
      <c r="AE25" s="83">
        <f t="array" aca="1" ref="AE25" ca="1">INDIRECT("'"&amp;$A24&amp;"'!J4")</f>
        <v>0</v>
      </c>
      <c r="AF25" s="53"/>
    </row>
    <row r="26" spans="1:32">
      <c r="A26" s="58">
        <v>9</v>
      </c>
      <c r="B26" s="105">
        <f>INDEX(data!$I$2:$I$91,MATCH(A26*1,data!$G$2:$G$91,0))</f>
        <v>46193</v>
      </c>
      <c r="C26" s="66" t="str">
        <f>HYPERLINK("#'" &amp; A26 &amp; "'!A1", "编辑")</f>
        <v>编辑</v>
      </c>
      <c r="D26" s="54" t="s">
        <v>6</v>
      </c>
      <c r="E26" s="81">
        <f t="array" aca="1" ref="E26" ca="1">INDIRECT("'"&amp;$A27&amp;"'!I2")</f>
        <v>18</v>
      </c>
      <c r="F26" s="29">
        <f t="array" aca="1" ref="F26" ca="1">INDIRECT("'"&amp;$A26&amp;"'!C8")</f>
        <v>0</v>
      </c>
      <c r="G26" s="30">
        <f t="array" aca="1" ref="G26" ca="1">INDIRECT("'"&amp;$A26&amp;"'!D8")</f>
        <v>0</v>
      </c>
      <c r="H26" s="30">
        <f t="array" aca="1" ref="H26" ca="1">INDIRECT("'"&amp;$A26&amp;"'!E8")</f>
        <v>0</v>
      </c>
      <c r="I26" s="30">
        <f t="array" aca="1" ref="I26" ca="1">INDIRECT("'"&amp;$A26&amp;"'!F8")</f>
        <v>0</v>
      </c>
      <c r="J26" s="30">
        <f t="array" aca="1" ref="J26" ca="1">INDIRECT("'"&amp;$A26&amp;"'!G8")</f>
        <v>0</v>
      </c>
      <c r="K26" s="30">
        <f t="array" aca="1" ref="K26" ca="1">INDIRECT("'"&amp;$A26&amp;"'!H8")</f>
        <v>0</v>
      </c>
      <c r="L26" s="30">
        <f t="array" aca="1" ref="L26" ca="1">INDIRECT("'"&amp;$A26&amp;"'!I8")</f>
        <v>0</v>
      </c>
      <c r="M26" s="30">
        <f t="array" aca="1" ref="M26" ca="1">INDIRECT("'"&amp;$A26&amp;"'!J8")</f>
        <v>0</v>
      </c>
      <c r="N26" s="30">
        <f t="array" aca="1" ref="N26" ca="1">INDIRECT("'"&amp;$A26&amp;"'!K8")</f>
        <v>0</v>
      </c>
      <c r="O26" s="30">
        <f t="array" aca="1" ref="O26" ca="1">INDIRECT("'"&amp;$A26&amp;"'!L8")</f>
        <v>0</v>
      </c>
      <c r="P26" s="30">
        <f t="array" aca="1" ref="P26" ca="1">INDIRECT("'"&amp;$A26&amp;"'!M8")</f>
        <v>0</v>
      </c>
      <c r="Q26" s="30">
        <f t="array" aca="1" ref="Q26" ca="1">INDIRECT("'"&amp;$A26&amp;"'!N8")</f>
        <v>0</v>
      </c>
      <c r="R26" s="30">
        <f t="array" aca="1" ref="R26" ca="1">INDIRECT("'"&amp;$A26&amp;"'!O8")</f>
        <v>0</v>
      </c>
      <c r="S26" s="30">
        <f t="array" aca="1" ref="S26" ca="1">INDIRECT("'"&amp;$A26&amp;"'!P8")</f>
        <v>0</v>
      </c>
      <c r="T26" s="30">
        <f t="array" aca="1" ref="T26" ca="1">INDIRECT("'"&amp;$A26&amp;"'!Q8")</f>
        <v>0</v>
      </c>
      <c r="U26" s="30">
        <f t="array" aca="1" ref="U26" ca="1">INDIRECT("'"&amp;$A26&amp;"'!R8")</f>
        <v>0</v>
      </c>
      <c r="V26" s="30">
        <f t="array" aca="1" ref="V26" ca="1">INDIRECT("'"&amp;$A26&amp;"'!S8")</f>
        <v>0</v>
      </c>
      <c r="W26" s="30">
        <f t="array" aca="1" ref="W26" ca="1">INDIRECT("'"&amp;$A26&amp;"'!T8")</f>
        <v>0</v>
      </c>
      <c r="X26" s="30">
        <f t="array" aca="1" ref="X26" ca="1">INDIRECT("'"&amp;$A26&amp;"'!U8")</f>
        <v>0</v>
      </c>
      <c r="Y26" s="30">
        <f t="array" aca="1" ref="Y26" ca="1">INDIRECT("'"&amp;$A26&amp;"'!V8")</f>
        <v>0</v>
      </c>
      <c r="Z26" s="30">
        <f t="array" aca="1" ref="Z26" ca="1">INDIRECT("'"&amp;$A26&amp;"'!W8")</f>
        <v>0</v>
      </c>
      <c r="AA26" s="30">
        <f t="array" aca="1" ref="AA26" ca="1">INDIRECT("'"&amp;$A26&amp;"'!X8")</f>
        <v>0</v>
      </c>
      <c r="AB26" s="30">
        <f t="array" aca="1" ref="AB26" ca="1">INDIRECT("'"&amp;$A26&amp;"'!Y8")</f>
        <v>0</v>
      </c>
      <c r="AC26" s="30">
        <f t="array" aca="1" ref="AC26" ca="1">INDIRECT("'"&amp;$A26&amp;"'!Z8")</f>
        <v>0</v>
      </c>
      <c r="AD26" s="31">
        <f t="array" aca="1" ref="AD26" ca="1">INDIRECT("'"&amp;$A26&amp;"'!AA8")</f>
        <v>0</v>
      </c>
      <c r="AE26" s="81">
        <f t="array" aca="1" ref="AE26" ca="1">INDIRECT("'"&amp;$A27&amp;"'!J2")</f>
        <v>0</v>
      </c>
      <c r="AF26" s="53" t="str">
        <f t="array" aca="1" ref="AF26" ca="1">INDIRECT("'"&amp;$A27&amp;"'!AD1")</f>
        <v/>
      </c>
    </row>
    <row r="27" spans="1:32">
      <c r="A27" s="58">
        <v>9</v>
      </c>
      <c r="B27" s="106"/>
      <c r="C27" s="67" t="str">
        <f t="array" aca="1" ref="C27" ca="1">CONCATENATE("粮 ",INDIRECT("'"&amp;$A27&amp;"'!D4"))</f>
        <v>粮 19600</v>
      </c>
      <c r="D27" s="55" t="s">
        <v>7</v>
      </c>
      <c r="E27" s="82">
        <f t="array" aca="1" ref="E27" ca="1">INDIRECT("'"&amp;$A27&amp;"'!I3")</f>
        <v>18</v>
      </c>
      <c r="F27" s="52">
        <f t="array" aca="1" ref="F27" ca="1">INDIRECT("'"&amp;$A27&amp;"'!C11")</f>
        <v>0</v>
      </c>
      <c r="G27" s="3">
        <f t="array" aca="1" ref="G27" ca="1">INDIRECT("'"&amp;$A27&amp;"'!D11")</f>
        <v>0</v>
      </c>
      <c r="H27" s="3">
        <f t="array" aca="1" ref="H27" ca="1">INDIRECT("'"&amp;$A27&amp;"'!E11")</f>
        <v>0</v>
      </c>
      <c r="I27" s="3">
        <f t="array" aca="1" ref="I27" ca="1">INDIRECT("'"&amp;$A27&amp;"'!F11")</f>
        <v>0</v>
      </c>
      <c r="J27" s="3">
        <f t="array" aca="1" ref="J27" ca="1">INDIRECT("'"&amp;$A27&amp;"'!G11")</f>
        <v>0</v>
      </c>
      <c r="K27" s="3">
        <f t="array" aca="1" ref="K27" ca="1">INDIRECT("'"&amp;$A27&amp;"'!H11")</f>
        <v>0</v>
      </c>
      <c r="L27" s="3">
        <f t="array" aca="1" ref="L27" ca="1">INDIRECT("'"&amp;$A27&amp;"'!I11")</f>
        <v>0</v>
      </c>
      <c r="M27" s="3">
        <f t="array" aca="1" ref="M27" ca="1">INDIRECT("'"&amp;$A27&amp;"'!J11")</f>
        <v>0</v>
      </c>
      <c r="N27" s="3">
        <f t="array" aca="1" ref="N27" ca="1">INDIRECT("'"&amp;$A27&amp;"'!K11")</f>
        <v>0</v>
      </c>
      <c r="O27" s="3">
        <f t="array" aca="1" ref="O27" ca="1">INDIRECT("'"&amp;$A27&amp;"'!L11")</f>
        <v>0</v>
      </c>
      <c r="P27" s="3">
        <f t="array" aca="1" ref="P27" ca="1">INDIRECT("'"&amp;$A27&amp;"'!M11")</f>
        <v>0</v>
      </c>
      <c r="Q27" s="3">
        <f t="array" aca="1" ref="Q27" ca="1">INDIRECT("'"&amp;$A27&amp;"'!N11")</f>
        <v>0</v>
      </c>
      <c r="R27" s="3">
        <f t="array" aca="1" ref="R27" ca="1">INDIRECT("'"&amp;$A27&amp;"'!O11")</f>
        <v>0</v>
      </c>
      <c r="S27" s="3">
        <f t="array" aca="1" ref="S27" ca="1">INDIRECT("'"&amp;$A27&amp;"'!P11")</f>
        <v>0</v>
      </c>
      <c r="T27" s="3">
        <f t="array" aca="1" ref="T27" ca="1">INDIRECT("'"&amp;$A27&amp;"'!Q11")</f>
        <v>0</v>
      </c>
      <c r="U27" s="3">
        <f t="array" aca="1" ref="U27" ca="1">INDIRECT("'"&amp;$A27&amp;"'!R11")</f>
        <v>0</v>
      </c>
      <c r="V27" s="3">
        <f t="array" aca="1" ref="V27" ca="1">INDIRECT("'"&amp;$A27&amp;"'!S11")</f>
        <v>0</v>
      </c>
      <c r="W27" s="3">
        <f t="array" aca="1" ref="W27" ca="1">INDIRECT("'"&amp;$A27&amp;"'!T11")</f>
        <v>0</v>
      </c>
      <c r="X27" s="3">
        <f t="array" aca="1" ref="X27" ca="1">INDIRECT("'"&amp;$A27&amp;"'!U11")</f>
        <v>0</v>
      </c>
      <c r="Y27" s="3">
        <f t="array" aca="1" ref="Y27" ca="1">INDIRECT("'"&amp;$A27&amp;"'!V11")</f>
        <v>0</v>
      </c>
      <c r="Z27" s="3">
        <f t="array" aca="1" ref="Z27" ca="1">INDIRECT("'"&amp;$A27&amp;"'!W11")</f>
        <v>0</v>
      </c>
      <c r="AA27" s="3">
        <f t="array" aca="1" ref="AA27" ca="1">INDIRECT("'"&amp;$A27&amp;"'!X11")</f>
        <v>0</v>
      </c>
      <c r="AB27" s="3">
        <f t="array" aca="1" ref="AB27" ca="1">INDIRECT("'"&amp;$A27&amp;"'!Y11")</f>
        <v>0</v>
      </c>
      <c r="AC27" s="3">
        <f t="array" aca="1" ref="AC27" ca="1">INDIRECT("'"&amp;$A27&amp;"'!Z11")</f>
        <v>0</v>
      </c>
      <c r="AD27" s="32">
        <f t="array" aca="1" ref="AD27" ca="1">INDIRECT("'"&amp;$A27&amp;"'!AA11")</f>
        <v>0</v>
      </c>
      <c r="AE27" s="82">
        <f t="array" aca="1" ref="AE27" ca="1">INDIRECT("'"&amp;$A27&amp;"'!J3")</f>
        <v>0</v>
      </c>
      <c r="AF27" s="53" t="str">
        <f t="array" aca="1" ref="AF27" ca="1">INDIRECT("'"&amp;$A27&amp;"'!AC1")</f>
        <v/>
      </c>
    </row>
    <row r="28" spans="1:32" ht="15.75" customHeight="1" thickBot="1">
      <c r="A28" s="58">
        <v>9</v>
      </c>
      <c r="B28" s="107"/>
      <c r="C28" s="77" t="str">
        <f t="array" aca="1" ref="C28" ca="1">CONCATENATE("分 ",INDIRECT("'"&amp;$A27&amp;"'!D6"))</f>
        <v>分 0</v>
      </c>
      <c r="D28" s="56" t="s">
        <v>8</v>
      </c>
      <c r="E28" s="83">
        <f t="array" aca="1" ref="E28" ca="1">INDIRECT("'"&amp;$A27&amp;"'!I4")</f>
        <v>18</v>
      </c>
      <c r="F28" s="52">
        <f t="array" aca="1" ref="F28" ca="1">INDIRECT("'"&amp;$A28&amp;"'!C14")</f>
        <v>0</v>
      </c>
      <c r="G28" s="3">
        <f t="array" aca="1" ref="G28" ca="1">INDIRECT("'"&amp;$A28&amp;"'!D14")</f>
        <v>0</v>
      </c>
      <c r="H28" s="3">
        <f t="array" aca="1" ref="H28" ca="1">INDIRECT("'"&amp;$A28&amp;"'!E14")</f>
        <v>0</v>
      </c>
      <c r="I28" s="3">
        <f t="array" aca="1" ref="I28" ca="1">INDIRECT("'"&amp;$A28&amp;"'!F14")</f>
        <v>0</v>
      </c>
      <c r="J28" s="3">
        <f t="array" aca="1" ref="J28" ca="1">INDIRECT("'"&amp;$A28&amp;"'!G14")</f>
        <v>0</v>
      </c>
      <c r="K28" s="3">
        <f t="array" aca="1" ref="K28" ca="1">INDIRECT("'"&amp;$A28&amp;"'!H14")</f>
        <v>0</v>
      </c>
      <c r="L28" s="3">
        <f t="array" aca="1" ref="L28" ca="1">INDIRECT("'"&amp;$A28&amp;"'!I14")</f>
        <v>0</v>
      </c>
      <c r="M28" s="3">
        <f t="array" aca="1" ref="M28" ca="1">INDIRECT("'"&amp;$A28&amp;"'!J14")</f>
        <v>0</v>
      </c>
      <c r="N28" s="3">
        <f t="array" aca="1" ref="N28" ca="1">INDIRECT("'"&amp;$A28&amp;"'!K14")</f>
        <v>0</v>
      </c>
      <c r="O28" s="3">
        <f t="array" aca="1" ref="O28" ca="1">INDIRECT("'"&amp;$A28&amp;"'!L14")</f>
        <v>0</v>
      </c>
      <c r="P28" s="3">
        <f t="array" aca="1" ref="P28" ca="1">INDIRECT("'"&amp;$A28&amp;"'!M14")</f>
        <v>0</v>
      </c>
      <c r="Q28" s="3">
        <f t="array" aca="1" ref="Q28" ca="1">INDIRECT("'"&amp;$A28&amp;"'!N14")</f>
        <v>0</v>
      </c>
      <c r="R28" s="3">
        <f t="array" aca="1" ref="R28" ca="1">INDIRECT("'"&amp;$A28&amp;"'!O14")</f>
        <v>0</v>
      </c>
      <c r="S28" s="3">
        <f t="array" aca="1" ref="S28" ca="1">INDIRECT("'"&amp;$A28&amp;"'!P14")</f>
        <v>0</v>
      </c>
      <c r="T28" s="3">
        <f t="array" aca="1" ref="T28" ca="1">INDIRECT("'"&amp;$A28&amp;"'!Q14")</f>
        <v>0</v>
      </c>
      <c r="U28" s="3">
        <f t="array" aca="1" ref="U28" ca="1">INDIRECT("'"&amp;$A28&amp;"'!R14")</f>
        <v>0</v>
      </c>
      <c r="V28" s="3">
        <f t="array" aca="1" ref="V28" ca="1">INDIRECT("'"&amp;$A28&amp;"'!S14")</f>
        <v>0</v>
      </c>
      <c r="W28" s="3">
        <f t="array" aca="1" ref="W28" ca="1">INDIRECT("'"&amp;$A28&amp;"'!T14")</f>
        <v>0</v>
      </c>
      <c r="X28" s="3">
        <f t="array" aca="1" ref="X28" ca="1">INDIRECT("'"&amp;$A28&amp;"'!U14")</f>
        <v>0</v>
      </c>
      <c r="Y28" s="3">
        <f t="array" aca="1" ref="Y28" ca="1">INDIRECT("'"&amp;$A28&amp;"'!V14")</f>
        <v>0</v>
      </c>
      <c r="Z28" s="3">
        <f t="array" aca="1" ref="Z28" ca="1">INDIRECT("'"&amp;$A28&amp;"'!W14")</f>
        <v>0</v>
      </c>
      <c r="AA28" s="3">
        <f t="array" aca="1" ref="AA28" ca="1">INDIRECT("'"&amp;$A28&amp;"'!X14")</f>
        <v>0</v>
      </c>
      <c r="AB28" s="3">
        <f t="array" aca="1" ref="AB28" ca="1">INDIRECT("'"&amp;$A28&amp;"'!Y14")</f>
        <v>0</v>
      </c>
      <c r="AC28" s="3">
        <f t="array" aca="1" ref="AC28" ca="1">INDIRECT("'"&amp;$A28&amp;"'!Z14")</f>
        <v>0</v>
      </c>
      <c r="AD28" s="32">
        <f t="array" aca="1" ref="AD28" ca="1">INDIRECT("'"&amp;$A28&amp;"'!AA14")</f>
        <v>0</v>
      </c>
      <c r="AE28" s="83">
        <f t="array" aca="1" ref="AE28" ca="1">INDIRECT("'"&amp;$A27&amp;"'!J4")</f>
        <v>0</v>
      </c>
      <c r="AF28" s="53"/>
    </row>
    <row r="29" spans="1:32">
      <c r="A29" s="58">
        <v>10</v>
      </c>
      <c r="B29" s="105">
        <f>INDEX(data!$I$2:$I$91,MATCH(A29*1,data!$G$2:$G$91,0))</f>
        <v>46194</v>
      </c>
      <c r="C29" s="66" t="str">
        <f>HYPERLINK("#'" &amp; A29 &amp; "'!A1", "编辑")</f>
        <v>编辑</v>
      </c>
      <c r="D29" s="54" t="s">
        <v>6</v>
      </c>
      <c r="E29" s="81">
        <f t="array" aca="1" ref="E29" ca="1">INDIRECT("'"&amp;$A30&amp;"'!I2")</f>
        <v>18</v>
      </c>
      <c r="F29" s="29">
        <f t="array" aca="1" ref="F29" ca="1">INDIRECT("'"&amp;$A29&amp;"'!C8")</f>
        <v>0</v>
      </c>
      <c r="G29" s="30">
        <f t="array" aca="1" ref="G29" ca="1">INDIRECT("'"&amp;$A29&amp;"'!D8")</f>
        <v>0</v>
      </c>
      <c r="H29" s="30">
        <f t="array" aca="1" ref="H29" ca="1">INDIRECT("'"&amp;$A29&amp;"'!E8")</f>
        <v>0</v>
      </c>
      <c r="I29" s="30">
        <f t="array" aca="1" ref="I29" ca="1">INDIRECT("'"&amp;$A29&amp;"'!F8")</f>
        <v>0</v>
      </c>
      <c r="J29" s="30">
        <f t="array" aca="1" ref="J29" ca="1">INDIRECT("'"&amp;$A29&amp;"'!G8")</f>
        <v>0</v>
      </c>
      <c r="K29" s="30">
        <f t="array" aca="1" ref="K29" ca="1">INDIRECT("'"&amp;$A29&amp;"'!H8")</f>
        <v>0</v>
      </c>
      <c r="L29" s="30">
        <f t="array" aca="1" ref="L29" ca="1">INDIRECT("'"&amp;$A29&amp;"'!I8")</f>
        <v>0</v>
      </c>
      <c r="M29" s="30">
        <f t="array" aca="1" ref="M29" ca="1">INDIRECT("'"&amp;$A29&amp;"'!J8")</f>
        <v>0</v>
      </c>
      <c r="N29" s="30">
        <f t="array" aca="1" ref="N29" ca="1">INDIRECT("'"&amp;$A29&amp;"'!K8")</f>
        <v>0</v>
      </c>
      <c r="O29" s="30">
        <f t="array" aca="1" ref="O29" ca="1">INDIRECT("'"&amp;$A29&amp;"'!L8")</f>
        <v>0</v>
      </c>
      <c r="P29" s="30">
        <f t="array" aca="1" ref="P29" ca="1">INDIRECT("'"&amp;$A29&amp;"'!M8")</f>
        <v>0</v>
      </c>
      <c r="Q29" s="30">
        <f t="array" aca="1" ref="Q29" ca="1">INDIRECT("'"&amp;$A29&amp;"'!N8")</f>
        <v>0</v>
      </c>
      <c r="R29" s="30">
        <f t="array" aca="1" ref="R29" ca="1">INDIRECT("'"&amp;$A29&amp;"'!O8")</f>
        <v>0</v>
      </c>
      <c r="S29" s="30">
        <f t="array" aca="1" ref="S29" ca="1">INDIRECT("'"&amp;$A29&amp;"'!P8")</f>
        <v>0</v>
      </c>
      <c r="T29" s="30">
        <f t="array" aca="1" ref="T29" ca="1">INDIRECT("'"&amp;$A29&amp;"'!Q8")</f>
        <v>0</v>
      </c>
      <c r="U29" s="30">
        <f t="array" aca="1" ref="U29" ca="1">INDIRECT("'"&amp;$A29&amp;"'!R8")</f>
        <v>0</v>
      </c>
      <c r="V29" s="30">
        <f t="array" aca="1" ref="V29" ca="1">INDIRECT("'"&amp;$A29&amp;"'!S8")</f>
        <v>0</v>
      </c>
      <c r="W29" s="30">
        <f t="array" aca="1" ref="W29" ca="1">INDIRECT("'"&amp;$A29&amp;"'!T8")</f>
        <v>0</v>
      </c>
      <c r="X29" s="30">
        <f t="array" aca="1" ref="X29" ca="1">INDIRECT("'"&amp;$A29&amp;"'!U8")</f>
        <v>0</v>
      </c>
      <c r="Y29" s="30">
        <f t="array" aca="1" ref="Y29" ca="1">INDIRECT("'"&amp;$A29&amp;"'!V8")</f>
        <v>0</v>
      </c>
      <c r="Z29" s="30">
        <f t="array" aca="1" ref="Z29" ca="1">INDIRECT("'"&amp;$A29&amp;"'!W8")</f>
        <v>0</v>
      </c>
      <c r="AA29" s="30">
        <f t="array" aca="1" ref="AA29" ca="1">INDIRECT("'"&amp;$A29&amp;"'!X8")</f>
        <v>0</v>
      </c>
      <c r="AB29" s="30">
        <f t="array" aca="1" ref="AB29" ca="1">INDIRECT("'"&amp;$A29&amp;"'!Y8")</f>
        <v>0</v>
      </c>
      <c r="AC29" s="30">
        <f t="array" aca="1" ref="AC29" ca="1">INDIRECT("'"&amp;$A29&amp;"'!Z8")</f>
        <v>0</v>
      </c>
      <c r="AD29" s="31">
        <f t="array" aca="1" ref="AD29" ca="1">INDIRECT("'"&amp;$A29&amp;"'!AA8")</f>
        <v>0</v>
      </c>
      <c r="AE29" s="81">
        <f t="array" aca="1" ref="AE29" ca="1">INDIRECT("'"&amp;$A30&amp;"'!J2")</f>
        <v>0</v>
      </c>
      <c r="AF29" s="53" t="str">
        <f t="array" aca="1" ref="AF29" ca="1">INDIRECT("'"&amp;$A30&amp;"'!AD1")</f>
        <v/>
      </c>
    </row>
    <row r="30" spans="1:32">
      <c r="A30" s="58">
        <v>10</v>
      </c>
      <c r="B30" s="106"/>
      <c r="C30" s="67" t="str">
        <f t="array" aca="1" ref="C30" ca="1">CONCATENATE("粮 ",INDIRECT("'"&amp;$A30&amp;"'!D4"))</f>
        <v>粮 21200</v>
      </c>
      <c r="D30" s="55" t="s">
        <v>7</v>
      </c>
      <c r="E30" s="82">
        <f t="array" aca="1" ref="E30" ca="1">INDIRECT("'"&amp;$A30&amp;"'!I3")</f>
        <v>18</v>
      </c>
      <c r="F30" s="52">
        <f t="array" aca="1" ref="F30" ca="1">INDIRECT("'"&amp;$A30&amp;"'!C11")</f>
        <v>0</v>
      </c>
      <c r="G30" s="3">
        <f t="array" aca="1" ref="G30" ca="1">INDIRECT("'"&amp;$A30&amp;"'!D11")</f>
        <v>0</v>
      </c>
      <c r="H30" s="3">
        <f t="array" aca="1" ref="H30" ca="1">INDIRECT("'"&amp;$A30&amp;"'!E11")</f>
        <v>0</v>
      </c>
      <c r="I30" s="3">
        <f t="array" aca="1" ref="I30" ca="1">INDIRECT("'"&amp;$A30&amp;"'!F11")</f>
        <v>0</v>
      </c>
      <c r="J30" s="3">
        <f t="array" aca="1" ref="J30" ca="1">INDIRECT("'"&amp;$A30&amp;"'!G11")</f>
        <v>0</v>
      </c>
      <c r="K30" s="3">
        <f t="array" aca="1" ref="K30" ca="1">INDIRECT("'"&amp;$A30&amp;"'!H11")</f>
        <v>0</v>
      </c>
      <c r="L30" s="3">
        <f t="array" aca="1" ref="L30" ca="1">INDIRECT("'"&amp;$A30&amp;"'!I11")</f>
        <v>0</v>
      </c>
      <c r="M30" s="3">
        <f t="array" aca="1" ref="M30" ca="1">INDIRECT("'"&amp;$A30&amp;"'!J11")</f>
        <v>0</v>
      </c>
      <c r="N30" s="3">
        <f t="array" aca="1" ref="N30" ca="1">INDIRECT("'"&amp;$A30&amp;"'!K11")</f>
        <v>0</v>
      </c>
      <c r="O30" s="3">
        <f t="array" aca="1" ref="O30" ca="1">INDIRECT("'"&amp;$A30&amp;"'!L11")</f>
        <v>0</v>
      </c>
      <c r="P30" s="3">
        <f t="array" aca="1" ref="P30" ca="1">INDIRECT("'"&amp;$A30&amp;"'!M11")</f>
        <v>0</v>
      </c>
      <c r="Q30" s="3">
        <f t="array" aca="1" ref="Q30" ca="1">INDIRECT("'"&amp;$A30&amp;"'!N11")</f>
        <v>0</v>
      </c>
      <c r="R30" s="3">
        <f t="array" aca="1" ref="R30" ca="1">INDIRECT("'"&amp;$A30&amp;"'!O11")</f>
        <v>0</v>
      </c>
      <c r="S30" s="3">
        <f t="array" aca="1" ref="S30" ca="1">INDIRECT("'"&amp;$A30&amp;"'!P11")</f>
        <v>0</v>
      </c>
      <c r="T30" s="3">
        <f t="array" aca="1" ref="T30" ca="1">INDIRECT("'"&amp;$A30&amp;"'!Q11")</f>
        <v>0</v>
      </c>
      <c r="U30" s="3">
        <f t="array" aca="1" ref="U30" ca="1">INDIRECT("'"&amp;$A30&amp;"'!R11")</f>
        <v>0</v>
      </c>
      <c r="V30" s="3">
        <f t="array" aca="1" ref="V30" ca="1">INDIRECT("'"&amp;$A30&amp;"'!S11")</f>
        <v>0</v>
      </c>
      <c r="W30" s="3">
        <f t="array" aca="1" ref="W30" ca="1">INDIRECT("'"&amp;$A30&amp;"'!T11")</f>
        <v>0</v>
      </c>
      <c r="X30" s="3">
        <f t="array" aca="1" ref="X30" ca="1">INDIRECT("'"&amp;$A30&amp;"'!U11")</f>
        <v>0</v>
      </c>
      <c r="Y30" s="3">
        <f t="array" aca="1" ref="Y30" ca="1">INDIRECT("'"&amp;$A30&amp;"'!V11")</f>
        <v>0</v>
      </c>
      <c r="Z30" s="3">
        <f t="array" aca="1" ref="Z30" ca="1">INDIRECT("'"&amp;$A30&amp;"'!W11")</f>
        <v>0</v>
      </c>
      <c r="AA30" s="3">
        <f t="array" aca="1" ref="AA30" ca="1">INDIRECT("'"&amp;$A30&amp;"'!X11")</f>
        <v>0</v>
      </c>
      <c r="AB30" s="3">
        <f t="array" aca="1" ref="AB30" ca="1">INDIRECT("'"&amp;$A30&amp;"'!Y11")</f>
        <v>0</v>
      </c>
      <c r="AC30" s="3">
        <f t="array" aca="1" ref="AC30" ca="1">INDIRECT("'"&amp;$A30&amp;"'!Z11")</f>
        <v>0</v>
      </c>
      <c r="AD30" s="32">
        <f t="array" aca="1" ref="AD30" ca="1">INDIRECT("'"&amp;$A30&amp;"'!AA11")</f>
        <v>0</v>
      </c>
      <c r="AE30" s="82">
        <f t="array" aca="1" ref="AE30" ca="1">INDIRECT("'"&amp;$A30&amp;"'!J3")</f>
        <v>0</v>
      </c>
      <c r="AF30" s="53" t="str">
        <f t="array" aca="1" ref="AF30" ca="1">INDIRECT("'"&amp;$A30&amp;"'!AC1")</f>
        <v/>
      </c>
    </row>
    <row r="31" spans="1:32" ht="15.75" customHeight="1" thickBot="1">
      <c r="A31" s="58">
        <v>10</v>
      </c>
      <c r="B31" s="107"/>
      <c r="C31" s="77" t="str">
        <f t="array" aca="1" ref="C31" ca="1">CONCATENATE("分 ",INDIRECT("'"&amp;$A30&amp;"'!D6"))</f>
        <v>分 0</v>
      </c>
      <c r="D31" s="56" t="s">
        <v>8</v>
      </c>
      <c r="E31" s="83">
        <f t="array" aca="1" ref="E31" ca="1">INDIRECT("'"&amp;$A30&amp;"'!I4")</f>
        <v>18</v>
      </c>
      <c r="F31" s="52">
        <f t="array" aca="1" ref="F31" ca="1">INDIRECT("'"&amp;$A31&amp;"'!C14")</f>
        <v>0</v>
      </c>
      <c r="G31" s="3">
        <f t="array" aca="1" ref="G31" ca="1">INDIRECT("'"&amp;$A31&amp;"'!D14")</f>
        <v>0</v>
      </c>
      <c r="H31" s="3">
        <f t="array" aca="1" ref="H31" ca="1">INDIRECT("'"&amp;$A31&amp;"'!E14")</f>
        <v>0</v>
      </c>
      <c r="I31" s="3">
        <f t="array" aca="1" ref="I31" ca="1">INDIRECT("'"&amp;$A31&amp;"'!F14")</f>
        <v>0</v>
      </c>
      <c r="J31" s="3">
        <f t="array" aca="1" ref="J31" ca="1">INDIRECT("'"&amp;$A31&amp;"'!G14")</f>
        <v>0</v>
      </c>
      <c r="K31" s="3">
        <f t="array" aca="1" ref="K31" ca="1">INDIRECT("'"&amp;$A31&amp;"'!H14")</f>
        <v>0</v>
      </c>
      <c r="L31" s="3">
        <f t="array" aca="1" ref="L31" ca="1">INDIRECT("'"&amp;$A31&amp;"'!I14")</f>
        <v>0</v>
      </c>
      <c r="M31" s="3">
        <f t="array" aca="1" ref="M31" ca="1">INDIRECT("'"&amp;$A31&amp;"'!J14")</f>
        <v>0</v>
      </c>
      <c r="N31" s="3">
        <f t="array" aca="1" ref="N31" ca="1">INDIRECT("'"&amp;$A31&amp;"'!K14")</f>
        <v>0</v>
      </c>
      <c r="O31" s="3">
        <f t="array" aca="1" ref="O31" ca="1">INDIRECT("'"&amp;$A31&amp;"'!L14")</f>
        <v>0</v>
      </c>
      <c r="P31" s="3">
        <f t="array" aca="1" ref="P31" ca="1">INDIRECT("'"&amp;$A31&amp;"'!M14")</f>
        <v>0</v>
      </c>
      <c r="Q31" s="3">
        <f t="array" aca="1" ref="Q31" ca="1">INDIRECT("'"&amp;$A31&amp;"'!N14")</f>
        <v>0</v>
      </c>
      <c r="R31" s="3">
        <f t="array" aca="1" ref="R31" ca="1">INDIRECT("'"&amp;$A31&amp;"'!O14")</f>
        <v>0</v>
      </c>
      <c r="S31" s="3">
        <f t="array" aca="1" ref="S31" ca="1">INDIRECT("'"&amp;$A31&amp;"'!P14")</f>
        <v>0</v>
      </c>
      <c r="T31" s="3">
        <f t="array" aca="1" ref="T31" ca="1">INDIRECT("'"&amp;$A31&amp;"'!Q14")</f>
        <v>0</v>
      </c>
      <c r="U31" s="3">
        <f t="array" aca="1" ref="U31" ca="1">INDIRECT("'"&amp;$A31&amp;"'!R14")</f>
        <v>0</v>
      </c>
      <c r="V31" s="3">
        <f t="array" aca="1" ref="V31" ca="1">INDIRECT("'"&amp;$A31&amp;"'!S14")</f>
        <v>0</v>
      </c>
      <c r="W31" s="3">
        <f t="array" aca="1" ref="W31" ca="1">INDIRECT("'"&amp;$A31&amp;"'!T14")</f>
        <v>0</v>
      </c>
      <c r="X31" s="3">
        <f t="array" aca="1" ref="X31" ca="1">INDIRECT("'"&amp;$A31&amp;"'!U14")</f>
        <v>0</v>
      </c>
      <c r="Y31" s="3">
        <f t="array" aca="1" ref="Y31" ca="1">INDIRECT("'"&amp;$A31&amp;"'!V14")</f>
        <v>0</v>
      </c>
      <c r="Z31" s="3">
        <f t="array" aca="1" ref="Z31" ca="1">INDIRECT("'"&amp;$A31&amp;"'!W14")</f>
        <v>0</v>
      </c>
      <c r="AA31" s="3">
        <f t="array" aca="1" ref="AA31" ca="1">INDIRECT("'"&amp;$A31&amp;"'!X14")</f>
        <v>0</v>
      </c>
      <c r="AB31" s="3">
        <f t="array" aca="1" ref="AB31" ca="1">INDIRECT("'"&amp;$A31&amp;"'!Y14")</f>
        <v>0</v>
      </c>
      <c r="AC31" s="3">
        <f t="array" aca="1" ref="AC31" ca="1">INDIRECT("'"&amp;$A31&amp;"'!Z14")</f>
        <v>0</v>
      </c>
      <c r="AD31" s="32">
        <f t="array" aca="1" ref="AD31" ca="1">INDIRECT("'"&amp;$A31&amp;"'!AA14")</f>
        <v>0</v>
      </c>
      <c r="AE31" s="83">
        <f t="array" aca="1" ref="AE31" ca="1">INDIRECT("'"&amp;$A30&amp;"'!J4")</f>
        <v>0</v>
      </c>
      <c r="AF31" s="53"/>
    </row>
    <row r="32" spans="1:32">
      <c r="A32" s="58">
        <v>11</v>
      </c>
      <c r="B32" s="105">
        <f>INDEX(data!$I$2:$I$91,MATCH(A32*1,data!$G$2:$G$91,0))</f>
        <v>46195</v>
      </c>
      <c r="C32" s="66" t="str">
        <f>HYPERLINK("#'" &amp; A32 &amp; "'!A1", "编辑")</f>
        <v>编辑</v>
      </c>
      <c r="D32" s="54" t="s">
        <v>6</v>
      </c>
      <c r="E32" s="81">
        <f t="array" aca="1" ref="E32" ca="1">INDIRECT("'"&amp;$A33&amp;"'!I2")</f>
        <v>18</v>
      </c>
      <c r="F32" s="29">
        <f t="array" aca="1" ref="F32" ca="1">INDIRECT("'"&amp;$A32&amp;"'!C8")</f>
        <v>0</v>
      </c>
      <c r="G32" s="30">
        <f t="array" aca="1" ref="G32" ca="1">INDIRECT("'"&amp;$A32&amp;"'!D8")</f>
        <v>0</v>
      </c>
      <c r="H32" s="30">
        <f t="array" aca="1" ref="H32" ca="1">INDIRECT("'"&amp;$A32&amp;"'!E8")</f>
        <v>0</v>
      </c>
      <c r="I32" s="30">
        <f t="array" aca="1" ref="I32" ca="1">INDIRECT("'"&amp;$A32&amp;"'!F8")</f>
        <v>0</v>
      </c>
      <c r="J32" s="30">
        <f t="array" aca="1" ref="J32" ca="1">INDIRECT("'"&amp;$A32&amp;"'!G8")</f>
        <v>0</v>
      </c>
      <c r="K32" s="30">
        <f t="array" aca="1" ref="K32" ca="1">INDIRECT("'"&amp;$A32&amp;"'!H8")</f>
        <v>0</v>
      </c>
      <c r="L32" s="30">
        <f t="array" aca="1" ref="L32" ca="1">INDIRECT("'"&amp;$A32&amp;"'!I8")</f>
        <v>0</v>
      </c>
      <c r="M32" s="30">
        <f t="array" aca="1" ref="M32" ca="1">INDIRECT("'"&amp;$A32&amp;"'!J8")</f>
        <v>0</v>
      </c>
      <c r="N32" s="30">
        <f t="array" aca="1" ref="N32" ca="1">INDIRECT("'"&amp;$A32&amp;"'!K8")</f>
        <v>0</v>
      </c>
      <c r="O32" s="30">
        <f t="array" aca="1" ref="O32" ca="1">INDIRECT("'"&amp;$A32&amp;"'!L8")</f>
        <v>0</v>
      </c>
      <c r="P32" s="30">
        <f t="array" aca="1" ref="P32" ca="1">INDIRECT("'"&amp;$A32&amp;"'!M8")</f>
        <v>0</v>
      </c>
      <c r="Q32" s="30">
        <f t="array" aca="1" ref="Q32" ca="1">INDIRECT("'"&amp;$A32&amp;"'!N8")</f>
        <v>0</v>
      </c>
      <c r="R32" s="30">
        <f t="array" aca="1" ref="R32" ca="1">INDIRECT("'"&amp;$A32&amp;"'!O8")</f>
        <v>0</v>
      </c>
      <c r="S32" s="30">
        <f t="array" aca="1" ref="S32" ca="1">INDIRECT("'"&amp;$A32&amp;"'!P8")</f>
        <v>0</v>
      </c>
      <c r="T32" s="30">
        <f t="array" aca="1" ref="T32" ca="1">INDIRECT("'"&amp;$A32&amp;"'!Q8")</f>
        <v>0</v>
      </c>
      <c r="U32" s="30">
        <f t="array" aca="1" ref="U32" ca="1">INDIRECT("'"&amp;$A32&amp;"'!R8")</f>
        <v>0</v>
      </c>
      <c r="V32" s="30">
        <f t="array" aca="1" ref="V32" ca="1">INDIRECT("'"&amp;$A32&amp;"'!S8")</f>
        <v>0</v>
      </c>
      <c r="W32" s="30">
        <f t="array" aca="1" ref="W32" ca="1">INDIRECT("'"&amp;$A32&amp;"'!T8")</f>
        <v>0</v>
      </c>
      <c r="X32" s="30">
        <f t="array" aca="1" ref="X32" ca="1">INDIRECT("'"&amp;$A32&amp;"'!U8")</f>
        <v>0</v>
      </c>
      <c r="Y32" s="30">
        <f t="array" aca="1" ref="Y32" ca="1">INDIRECT("'"&amp;$A32&amp;"'!V8")</f>
        <v>0</v>
      </c>
      <c r="Z32" s="30">
        <f t="array" aca="1" ref="Z32" ca="1">INDIRECT("'"&amp;$A32&amp;"'!W8")</f>
        <v>0</v>
      </c>
      <c r="AA32" s="30">
        <f t="array" aca="1" ref="AA32" ca="1">INDIRECT("'"&amp;$A32&amp;"'!X8")</f>
        <v>0</v>
      </c>
      <c r="AB32" s="30">
        <f t="array" aca="1" ref="AB32" ca="1">INDIRECT("'"&amp;$A32&amp;"'!Y8")</f>
        <v>0</v>
      </c>
      <c r="AC32" s="30">
        <f t="array" aca="1" ref="AC32" ca="1">INDIRECT("'"&amp;$A32&amp;"'!Z8")</f>
        <v>0</v>
      </c>
      <c r="AD32" s="31">
        <f t="array" aca="1" ref="AD32" ca="1">INDIRECT("'"&amp;$A32&amp;"'!AA8")</f>
        <v>0</v>
      </c>
      <c r="AE32" s="81">
        <f t="array" aca="1" ref="AE32" ca="1">INDIRECT("'"&amp;$A33&amp;"'!J2")</f>
        <v>0</v>
      </c>
      <c r="AF32" s="53" t="str">
        <f t="array" aca="1" ref="AF32" ca="1">INDIRECT("'"&amp;$A33&amp;"'!AD1")</f>
        <v/>
      </c>
    </row>
    <row r="33" spans="1:32">
      <c r="A33" s="58">
        <v>11</v>
      </c>
      <c r="B33" s="106"/>
      <c r="C33" s="67" t="str">
        <f t="array" aca="1" ref="C33" ca="1">CONCATENATE("粮 ",INDIRECT("'"&amp;$A33&amp;"'!D4"))</f>
        <v>粮 22800</v>
      </c>
      <c r="D33" s="55" t="s">
        <v>7</v>
      </c>
      <c r="E33" s="82">
        <f t="array" aca="1" ref="E33" ca="1">INDIRECT("'"&amp;$A33&amp;"'!I3")</f>
        <v>18</v>
      </c>
      <c r="F33" s="52">
        <f t="array" aca="1" ref="F33" ca="1">INDIRECT("'"&amp;$A33&amp;"'!C11")</f>
        <v>0</v>
      </c>
      <c r="G33" s="3">
        <f t="array" aca="1" ref="G33" ca="1">INDIRECT("'"&amp;$A33&amp;"'!D11")</f>
        <v>0</v>
      </c>
      <c r="H33" s="3">
        <f t="array" aca="1" ref="H33" ca="1">INDIRECT("'"&amp;$A33&amp;"'!E11")</f>
        <v>0</v>
      </c>
      <c r="I33" s="3">
        <f t="array" aca="1" ref="I33" ca="1">INDIRECT("'"&amp;$A33&amp;"'!F11")</f>
        <v>0</v>
      </c>
      <c r="J33" s="3">
        <f t="array" aca="1" ref="J33" ca="1">INDIRECT("'"&amp;$A33&amp;"'!G11")</f>
        <v>0</v>
      </c>
      <c r="K33" s="3">
        <f t="array" aca="1" ref="K33" ca="1">INDIRECT("'"&amp;$A33&amp;"'!H11")</f>
        <v>0</v>
      </c>
      <c r="L33" s="3">
        <f t="array" aca="1" ref="L33" ca="1">INDIRECT("'"&amp;$A33&amp;"'!I11")</f>
        <v>0</v>
      </c>
      <c r="M33" s="3">
        <f t="array" aca="1" ref="M33" ca="1">INDIRECT("'"&amp;$A33&amp;"'!J11")</f>
        <v>0</v>
      </c>
      <c r="N33" s="3">
        <f t="array" aca="1" ref="N33" ca="1">INDIRECT("'"&amp;$A33&amp;"'!K11")</f>
        <v>0</v>
      </c>
      <c r="O33" s="3">
        <f t="array" aca="1" ref="O33" ca="1">INDIRECT("'"&amp;$A33&amp;"'!L11")</f>
        <v>0</v>
      </c>
      <c r="P33" s="3">
        <f t="array" aca="1" ref="P33" ca="1">INDIRECT("'"&amp;$A33&amp;"'!M11")</f>
        <v>0</v>
      </c>
      <c r="Q33" s="3">
        <f t="array" aca="1" ref="Q33" ca="1">INDIRECT("'"&amp;$A33&amp;"'!N11")</f>
        <v>0</v>
      </c>
      <c r="R33" s="3">
        <f t="array" aca="1" ref="R33" ca="1">INDIRECT("'"&amp;$A33&amp;"'!O11")</f>
        <v>0</v>
      </c>
      <c r="S33" s="3">
        <f t="array" aca="1" ref="S33" ca="1">INDIRECT("'"&amp;$A33&amp;"'!P11")</f>
        <v>0</v>
      </c>
      <c r="T33" s="3">
        <f t="array" aca="1" ref="T33" ca="1">INDIRECT("'"&amp;$A33&amp;"'!Q11")</f>
        <v>0</v>
      </c>
      <c r="U33" s="3">
        <f t="array" aca="1" ref="U33" ca="1">INDIRECT("'"&amp;$A33&amp;"'!R11")</f>
        <v>0</v>
      </c>
      <c r="V33" s="3">
        <f t="array" aca="1" ref="V33" ca="1">INDIRECT("'"&amp;$A33&amp;"'!S11")</f>
        <v>0</v>
      </c>
      <c r="W33" s="3">
        <f t="array" aca="1" ref="W33" ca="1">INDIRECT("'"&amp;$A33&amp;"'!T11")</f>
        <v>0</v>
      </c>
      <c r="X33" s="3">
        <f t="array" aca="1" ref="X33" ca="1">INDIRECT("'"&amp;$A33&amp;"'!U11")</f>
        <v>0</v>
      </c>
      <c r="Y33" s="3">
        <f t="array" aca="1" ref="Y33" ca="1">INDIRECT("'"&amp;$A33&amp;"'!V11")</f>
        <v>0</v>
      </c>
      <c r="Z33" s="3">
        <f t="array" aca="1" ref="Z33" ca="1">INDIRECT("'"&amp;$A33&amp;"'!W11")</f>
        <v>0</v>
      </c>
      <c r="AA33" s="3">
        <f t="array" aca="1" ref="AA33" ca="1">INDIRECT("'"&amp;$A33&amp;"'!X11")</f>
        <v>0</v>
      </c>
      <c r="AB33" s="3">
        <f t="array" aca="1" ref="AB33" ca="1">INDIRECT("'"&amp;$A33&amp;"'!Y11")</f>
        <v>0</v>
      </c>
      <c r="AC33" s="3">
        <f t="array" aca="1" ref="AC33" ca="1">INDIRECT("'"&amp;$A33&amp;"'!Z11")</f>
        <v>0</v>
      </c>
      <c r="AD33" s="32">
        <f t="array" aca="1" ref="AD33" ca="1">INDIRECT("'"&amp;$A33&amp;"'!AA11")</f>
        <v>0</v>
      </c>
      <c r="AE33" s="82">
        <f t="array" aca="1" ref="AE33" ca="1">INDIRECT("'"&amp;$A33&amp;"'!J3")</f>
        <v>0</v>
      </c>
      <c r="AF33" s="53" t="str">
        <f t="array" aca="1" ref="AF33" ca="1">INDIRECT("'"&amp;$A33&amp;"'!AC1")</f>
        <v/>
      </c>
    </row>
    <row r="34" spans="1:32" ht="15.75" customHeight="1" thickBot="1">
      <c r="A34" s="58">
        <v>11</v>
      </c>
      <c r="B34" s="107"/>
      <c r="C34" s="77" t="str">
        <f t="array" aca="1" ref="C34" ca="1">CONCATENATE("分 ",INDIRECT("'"&amp;$A33&amp;"'!D6"))</f>
        <v>分 0</v>
      </c>
      <c r="D34" s="56" t="s">
        <v>8</v>
      </c>
      <c r="E34" s="83">
        <f t="array" aca="1" ref="E34" ca="1">INDIRECT("'"&amp;$A33&amp;"'!I4")</f>
        <v>18</v>
      </c>
      <c r="F34" s="52">
        <f t="array" aca="1" ref="F34" ca="1">INDIRECT("'"&amp;$A34&amp;"'!C14")</f>
        <v>0</v>
      </c>
      <c r="G34" s="3">
        <f t="array" aca="1" ref="G34" ca="1">INDIRECT("'"&amp;$A34&amp;"'!D14")</f>
        <v>0</v>
      </c>
      <c r="H34" s="3">
        <f t="array" aca="1" ref="H34" ca="1">INDIRECT("'"&amp;$A34&amp;"'!E14")</f>
        <v>0</v>
      </c>
      <c r="I34" s="3">
        <f t="array" aca="1" ref="I34" ca="1">INDIRECT("'"&amp;$A34&amp;"'!F14")</f>
        <v>0</v>
      </c>
      <c r="J34" s="3">
        <f t="array" aca="1" ref="J34" ca="1">INDIRECT("'"&amp;$A34&amp;"'!G14")</f>
        <v>0</v>
      </c>
      <c r="K34" s="3">
        <f t="array" aca="1" ref="K34" ca="1">INDIRECT("'"&amp;$A34&amp;"'!H14")</f>
        <v>0</v>
      </c>
      <c r="L34" s="3">
        <f t="array" aca="1" ref="L34" ca="1">INDIRECT("'"&amp;$A34&amp;"'!I14")</f>
        <v>0</v>
      </c>
      <c r="M34" s="3">
        <f t="array" aca="1" ref="M34" ca="1">INDIRECT("'"&amp;$A34&amp;"'!J14")</f>
        <v>0</v>
      </c>
      <c r="N34" s="3">
        <f t="array" aca="1" ref="N34" ca="1">INDIRECT("'"&amp;$A34&amp;"'!K14")</f>
        <v>0</v>
      </c>
      <c r="O34" s="3">
        <f t="array" aca="1" ref="O34" ca="1">INDIRECT("'"&amp;$A34&amp;"'!L14")</f>
        <v>0</v>
      </c>
      <c r="P34" s="3">
        <f t="array" aca="1" ref="P34" ca="1">INDIRECT("'"&amp;$A34&amp;"'!M14")</f>
        <v>0</v>
      </c>
      <c r="Q34" s="3">
        <f t="array" aca="1" ref="Q34" ca="1">INDIRECT("'"&amp;$A34&amp;"'!N14")</f>
        <v>0</v>
      </c>
      <c r="R34" s="3">
        <f t="array" aca="1" ref="R34" ca="1">INDIRECT("'"&amp;$A34&amp;"'!O14")</f>
        <v>0</v>
      </c>
      <c r="S34" s="3">
        <f t="array" aca="1" ref="S34" ca="1">INDIRECT("'"&amp;$A34&amp;"'!P14")</f>
        <v>0</v>
      </c>
      <c r="T34" s="3">
        <f t="array" aca="1" ref="T34" ca="1">INDIRECT("'"&amp;$A34&amp;"'!Q14")</f>
        <v>0</v>
      </c>
      <c r="U34" s="3">
        <f t="array" aca="1" ref="U34" ca="1">INDIRECT("'"&amp;$A34&amp;"'!R14")</f>
        <v>0</v>
      </c>
      <c r="V34" s="3">
        <f t="array" aca="1" ref="V34" ca="1">INDIRECT("'"&amp;$A34&amp;"'!S14")</f>
        <v>0</v>
      </c>
      <c r="W34" s="3">
        <f t="array" aca="1" ref="W34" ca="1">INDIRECT("'"&amp;$A34&amp;"'!T14")</f>
        <v>0</v>
      </c>
      <c r="X34" s="3">
        <f t="array" aca="1" ref="X34" ca="1">INDIRECT("'"&amp;$A34&amp;"'!U14")</f>
        <v>0</v>
      </c>
      <c r="Y34" s="3">
        <f t="array" aca="1" ref="Y34" ca="1">INDIRECT("'"&amp;$A34&amp;"'!V14")</f>
        <v>0</v>
      </c>
      <c r="Z34" s="3">
        <f t="array" aca="1" ref="Z34" ca="1">INDIRECT("'"&amp;$A34&amp;"'!W14")</f>
        <v>0</v>
      </c>
      <c r="AA34" s="3">
        <f t="array" aca="1" ref="AA34" ca="1">INDIRECT("'"&amp;$A34&amp;"'!X14")</f>
        <v>0</v>
      </c>
      <c r="AB34" s="3">
        <f t="array" aca="1" ref="AB34" ca="1">INDIRECT("'"&amp;$A34&amp;"'!Y14")</f>
        <v>0</v>
      </c>
      <c r="AC34" s="3">
        <f t="array" aca="1" ref="AC34" ca="1">INDIRECT("'"&amp;$A34&amp;"'!Z14")</f>
        <v>0</v>
      </c>
      <c r="AD34" s="32">
        <f t="array" aca="1" ref="AD34" ca="1">INDIRECT("'"&amp;$A34&amp;"'!AA14")</f>
        <v>0</v>
      </c>
      <c r="AE34" s="83">
        <f t="array" aca="1" ref="AE34" ca="1">INDIRECT("'"&amp;$A33&amp;"'!J4")</f>
        <v>0</v>
      </c>
      <c r="AF34" s="53"/>
    </row>
    <row r="35" spans="1:32">
      <c r="A35" s="58">
        <v>12</v>
      </c>
      <c r="B35" s="105">
        <f>INDEX(data!$I$2:$I$91,MATCH(A35*1,data!$G$2:$G$91,0))</f>
        <v>46196</v>
      </c>
      <c r="C35" s="66" t="str">
        <f>HYPERLINK("#'" &amp; A35 &amp; "'!A1", "编辑")</f>
        <v>编辑</v>
      </c>
      <c r="D35" s="54" t="s">
        <v>6</v>
      </c>
      <c r="E35" s="81">
        <f t="array" aca="1" ref="E35" ca="1">INDIRECT("'"&amp;$A36&amp;"'!I2")</f>
        <v>18</v>
      </c>
      <c r="F35" s="29">
        <f t="array" aca="1" ref="F35" ca="1">INDIRECT("'"&amp;$A35&amp;"'!C8")</f>
        <v>0</v>
      </c>
      <c r="G35" s="30">
        <f t="array" aca="1" ref="G35" ca="1">INDIRECT("'"&amp;$A35&amp;"'!D8")</f>
        <v>0</v>
      </c>
      <c r="H35" s="30">
        <f t="array" aca="1" ref="H35" ca="1">INDIRECT("'"&amp;$A35&amp;"'!E8")</f>
        <v>0</v>
      </c>
      <c r="I35" s="30">
        <f t="array" aca="1" ref="I35" ca="1">INDIRECT("'"&amp;$A35&amp;"'!F8")</f>
        <v>0</v>
      </c>
      <c r="J35" s="30">
        <f t="array" aca="1" ref="J35" ca="1">INDIRECT("'"&amp;$A35&amp;"'!G8")</f>
        <v>0</v>
      </c>
      <c r="K35" s="30">
        <f t="array" aca="1" ref="K35" ca="1">INDIRECT("'"&amp;$A35&amp;"'!H8")</f>
        <v>0</v>
      </c>
      <c r="L35" s="30">
        <f t="array" aca="1" ref="L35" ca="1">INDIRECT("'"&amp;$A35&amp;"'!I8")</f>
        <v>0</v>
      </c>
      <c r="M35" s="30">
        <f t="array" aca="1" ref="M35" ca="1">INDIRECT("'"&amp;$A35&amp;"'!J8")</f>
        <v>0</v>
      </c>
      <c r="N35" s="30">
        <f t="array" aca="1" ref="N35" ca="1">INDIRECT("'"&amp;$A35&amp;"'!K8")</f>
        <v>0</v>
      </c>
      <c r="O35" s="30">
        <f t="array" aca="1" ref="O35" ca="1">INDIRECT("'"&amp;$A35&amp;"'!L8")</f>
        <v>0</v>
      </c>
      <c r="P35" s="30">
        <f t="array" aca="1" ref="P35" ca="1">INDIRECT("'"&amp;$A35&amp;"'!M8")</f>
        <v>0</v>
      </c>
      <c r="Q35" s="30">
        <f t="array" aca="1" ref="Q35" ca="1">INDIRECT("'"&amp;$A35&amp;"'!N8")</f>
        <v>0</v>
      </c>
      <c r="R35" s="30">
        <f t="array" aca="1" ref="R35" ca="1">INDIRECT("'"&amp;$A35&amp;"'!O8")</f>
        <v>0</v>
      </c>
      <c r="S35" s="30">
        <f t="array" aca="1" ref="S35" ca="1">INDIRECT("'"&amp;$A35&amp;"'!P8")</f>
        <v>0</v>
      </c>
      <c r="T35" s="30">
        <f t="array" aca="1" ref="T35" ca="1">INDIRECT("'"&amp;$A35&amp;"'!Q8")</f>
        <v>0</v>
      </c>
      <c r="U35" s="30">
        <f t="array" aca="1" ref="U35" ca="1">INDIRECT("'"&amp;$A35&amp;"'!R8")</f>
        <v>0</v>
      </c>
      <c r="V35" s="30">
        <f t="array" aca="1" ref="V35" ca="1">INDIRECT("'"&amp;$A35&amp;"'!S8")</f>
        <v>0</v>
      </c>
      <c r="W35" s="30">
        <f t="array" aca="1" ref="W35" ca="1">INDIRECT("'"&amp;$A35&amp;"'!T8")</f>
        <v>0</v>
      </c>
      <c r="X35" s="30">
        <f t="array" aca="1" ref="X35" ca="1">INDIRECT("'"&amp;$A35&amp;"'!U8")</f>
        <v>0</v>
      </c>
      <c r="Y35" s="30">
        <f t="array" aca="1" ref="Y35" ca="1">INDIRECT("'"&amp;$A35&amp;"'!V8")</f>
        <v>0</v>
      </c>
      <c r="Z35" s="30">
        <f t="array" aca="1" ref="Z35" ca="1">INDIRECT("'"&amp;$A35&amp;"'!W8")</f>
        <v>0</v>
      </c>
      <c r="AA35" s="30">
        <f t="array" aca="1" ref="AA35" ca="1">INDIRECT("'"&amp;$A35&amp;"'!X8")</f>
        <v>0</v>
      </c>
      <c r="AB35" s="30">
        <f t="array" aca="1" ref="AB35" ca="1">INDIRECT("'"&amp;$A35&amp;"'!Y8")</f>
        <v>0</v>
      </c>
      <c r="AC35" s="30">
        <f t="array" aca="1" ref="AC35" ca="1">INDIRECT("'"&amp;$A35&amp;"'!Z8")</f>
        <v>0</v>
      </c>
      <c r="AD35" s="31">
        <f t="array" aca="1" ref="AD35" ca="1">INDIRECT("'"&amp;$A35&amp;"'!AA8")</f>
        <v>0</v>
      </c>
      <c r="AE35" s="81">
        <f t="array" aca="1" ref="AE35" ca="1">INDIRECT("'"&amp;$A36&amp;"'!J2")</f>
        <v>0</v>
      </c>
      <c r="AF35" s="53" t="str">
        <f t="array" aca="1" ref="AF35" ca="1">INDIRECT("'"&amp;$A36&amp;"'!AD1")</f>
        <v/>
      </c>
    </row>
    <row r="36" spans="1:32">
      <c r="A36" s="58">
        <v>12</v>
      </c>
      <c r="B36" s="106"/>
      <c r="C36" s="67" t="str">
        <f t="array" aca="1" ref="C36" ca="1">CONCATENATE("粮 ",INDIRECT("'"&amp;$A36&amp;"'!D4"))</f>
        <v>粮 24400</v>
      </c>
      <c r="D36" s="55" t="s">
        <v>7</v>
      </c>
      <c r="E36" s="82">
        <f t="array" aca="1" ref="E36" ca="1">INDIRECT("'"&amp;$A36&amp;"'!I3")</f>
        <v>18</v>
      </c>
      <c r="F36" s="52">
        <f t="array" aca="1" ref="F36" ca="1">INDIRECT("'"&amp;$A36&amp;"'!C11")</f>
        <v>0</v>
      </c>
      <c r="G36" s="3">
        <f t="array" aca="1" ref="G36" ca="1">INDIRECT("'"&amp;$A36&amp;"'!D11")</f>
        <v>0</v>
      </c>
      <c r="H36" s="3">
        <f t="array" aca="1" ref="H36" ca="1">INDIRECT("'"&amp;$A36&amp;"'!E11")</f>
        <v>0</v>
      </c>
      <c r="I36" s="3">
        <f t="array" aca="1" ref="I36" ca="1">INDIRECT("'"&amp;$A36&amp;"'!F11")</f>
        <v>0</v>
      </c>
      <c r="J36" s="3">
        <f t="array" aca="1" ref="J36" ca="1">INDIRECT("'"&amp;$A36&amp;"'!G11")</f>
        <v>0</v>
      </c>
      <c r="K36" s="3">
        <f t="array" aca="1" ref="K36" ca="1">INDIRECT("'"&amp;$A36&amp;"'!H11")</f>
        <v>0</v>
      </c>
      <c r="L36" s="3">
        <f t="array" aca="1" ref="L36" ca="1">INDIRECT("'"&amp;$A36&amp;"'!I11")</f>
        <v>0</v>
      </c>
      <c r="M36" s="3">
        <f t="array" aca="1" ref="M36" ca="1">INDIRECT("'"&amp;$A36&amp;"'!J11")</f>
        <v>0</v>
      </c>
      <c r="N36" s="3">
        <f t="array" aca="1" ref="N36" ca="1">INDIRECT("'"&amp;$A36&amp;"'!K11")</f>
        <v>0</v>
      </c>
      <c r="O36" s="3">
        <f t="array" aca="1" ref="O36" ca="1">INDIRECT("'"&amp;$A36&amp;"'!L11")</f>
        <v>0</v>
      </c>
      <c r="P36" s="3">
        <f t="array" aca="1" ref="P36" ca="1">INDIRECT("'"&amp;$A36&amp;"'!M11")</f>
        <v>0</v>
      </c>
      <c r="Q36" s="3">
        <f t="array" aca="1" ref="Q36" ca="1">INDIRECT("'"&amp;$A36&amp;"'!N11")</f>
        <v>0</v>
      </c>
      <c r="R36" s="3">
        <f t="array" aca="1" ref="R36" ca="1">INDIRECT("'"&amp;$A36&amp;"'!O11")</f>
        <v>0</v>
      </c>
      <c r="S36" s="3">
        <f t="array" aca="1" ref="S36" ca="1">INDIRECT("'"&amp;$A36&amp;"'!P11")</f>
        <v>0</v>
      </c>
      <c r="T36" s="3">
        <f t="array" aca="1" ref="T36" ca="1">INDIRECT("'"&amp;$A36&amp;"'!Q11")</f>
        <v>0</v>
      </c>
      <c r="U36" s="3">
        <f t="array" aca="1" ref="U36" ca="1">INDIRECT("'"&amp;$A36&amp;"'!R11")</f>
        <v>0</v>
      </c>
      <c r="V36" s="3">
        <f t="array" aca="1" ref="V36" ca="1">INDIRECT("'"&amp;$A36&amp;"'!S11")</f>
        <v>0</v>
      </c>
      <c r="W36" s="3">
        <f t="array" aca="1" ref="W36" ca="1">INDIRECT("'"&amp;$A36&amp;"'!T11")</f>
        <v>0</v>
      </c>
      <c r="X36" s="3">
        <f t="array" aca="1" ref="X36" ca="1">INDIRECT("'"&amp;$A36&amp;"'!U11")</f>
        <v>0</v>
      </c>
      <c r="Y36" s="3">
        <f t="array" aca="1" ref="Y36" ca="1">INDIRECT("'"&amp;$A36&amp;"'!V11")</f>
        <v>0</v>
      </c>
      <c r="Z36" s="3">
        <f t="array" aca="1" ref="Z36" ca="1">INDIRECT("'"&amp;$A36&amp;"'!W11")</f>
        <v>0</v>
      </c>
      <c r="AA36" s="3">
        <f t="array" aca="1" ref="AA36" ca="1">INDIRECT("'"&amp;$A36&amp;"'!X11")</f>
        <v>0</v>
      </c>
      <c r="AB36" s="3">
        <f t="array" aca="1" ref="AB36" ca="1">INDIRECT("'"&amp;$A36&amp;"'!Y11")</f>
        <v>0</v>
      </c>
      <c r="AC36" s="3">
        <f t="array" aca="1" ref="AC36" ca="1">INDIRECT("'"&amp;$A36&amp;"'!Z11")</f>
        <v>0</v>
      </c>
      <c r="AD36" s="32">
        <f t="array" aca="1" ref="AD36" ca="1">INDIRECT("'"&amp;$A36&amp;"'!AA11")</f>
        <v>0</v>
      </c>
      <c r="AE36" s="82">
        <f t="array" aca="1" ref="AE36" ca="1">INDIRECT("'"&amp;$A36&amp;"'!J3")</f>
        <v>0</v>
      </c>
      <c r="AF36" s="53" t="str">
        <f t="array" aca="1" ref="AF36" ca="1">INDIRECT("'"&amp;$A36&amp;"'!AC1")</f>
        <v/>
      </c>
    </row>
    <row r="37" spans="1:32" ht="15.75" customHeight="1" thickBot="1">
      <c r="A37" s="58">
        <v>12</v>
      </c>
      <c r="B37" s="107"/>
      <c r="C37" s="77" t="str">
        <f t="array" aca="1" ref="C37" ca="1">CONCATENATE("分 ",INDIRECT("'"&amp;$A36&amp;"'!D6"))</f>
        <v>分 0</v>
      </c>
      <c r="D37" s="56" t="s">
        <v>8</v>
      </c>
      <c r="E37" s="83">
        <f t="array" aca="1" ref="E37" ca="1">INDIRECT("'"&amp;$A36&amp;"'!I4")</f>
        <v>18</v>
      </c>
      <c r="F37" s="52">
        <f t="array" aca="1" ref="F37" ca="1">INDIRECT("'"&amp;$A37&amp;"'!C14")</f>
        <v>0</v>
      </c>
      <c r="G37" s="3">
        <f t="array" aca="1" ref="G37" ca="1">INDIRECT("'"&amp;$A37&amp;"'!D14")</f>
        <v>0</v>
      </c>
      <c r="H37" s="3">
        <f t="array" aca="1" ref="H37" ca="1">INDIRECT("'"&amp;$A37&amp;"'!E14")</f>
        <v>0</v>
      </c>
      <c r="I37" s="3">
        <f t="array" aca="1" ref="I37" ca="1">INDIRECT("'"&amp;$A37&amp;"'!F14")</f>
        <v>0</v>
      </c>
      <c r="J37" s="3">
        <f t="array" aca="1" ref="J37" ca="1">INDIRECT("'"&amp;$A37&amp;"'!G14")</f>
        <v>0</v>
      </c>
      <c r="K37" s="3">
        <f t="array" aca="1" ref="K37" ca="1">INDIRECT("'"&amp;$A37&amp;"'!H14")</f>
        <v>0</v>
      </c>
      <c r="L37" s="3">
        <f t="array" aca="1" ref="L37" ca="1">INDIRECT("'"&amp;$A37&amp;"'!I14")</f>
        <v>0</v>
      </c>
      <c r="M37" s="3">
        <f t="array" aca="1" ref="M37" ca="1">INDIRECT("'"&amp;$A37&amp;"'!J14")</f>
        <v>0</v>
      </c>
      <c r="N37" s="3">
        <f t="array" aca="1" ref="N37" ca="1">INDIRECT("'"&amp;$A37&amp;"'!K14")</f>
        <v>0</v>
      </c>
      <c r="O37" s="3">
        <f t="array" aca="1" ref="O37" ca="1">INDIRECT("'"&amp;$A37&amp;"'!L14")</f>
        <v>0</v>
      </c>
      <c r="P37" s="3">
        <f t="array" aca="1" ref="P37" ca="1">INDIRECT("'"&amp;$A37&amp;"'!M14")</f>
        <v>0</v>
      </c>
      <c r="Q37" s="3">
        <f t="array" aca="1" ref="Q37" ca="1">INDIRECT("'"&amp;$A37&amp;"'!N14")</f>
        <v>0</v>
      </c>
      <c r="R37" s="3">
        <f t="array" aca="1" ref="R37" ca="1">INDIRECT("'"&amp;$A37&amp;"'!O14")</f>
        <v>0</v>
      </c>
      <c r="S37" s="3">
        <f t="array" aca="1" ref="S37" ca="1">INDIRECT("'"&amp;$A37&amp;"'!P14")</f>
        <v>0</v>
      </c>
      <c r="T37" s="3">
        <f t="array" aca="1" ref="T37" ca="1">INDIRECT("'"&amp;$A37&amp;"'!Q14")</f>
        <v>0</v>
      </c>
      <c r="U37" s="3">
        <f t="array" aca="1" ref="U37" ca="1">INDIRECT("'"&amp;$A37&amp;"'!R14")</f>
        <v>0</v>
      </c>
      <c r="V37" s="3">
        <f t="array" aca="1" ref="V37" ca="1">INDIRECT("'"&amp;$A37&amp;"'!S14")</f>
        <v>0</v>
      </c>
      <c r="W37" s="3">
        <f t="array" aca="1" ref="W37" ca="1">INDIRECT("'"&amp;$A37&amp;"'!T14")</f>
        <v>0</v>
      </c>
      <c r="X37" s="3">
        <f t="array" aca="1" ref="X37" ca="1">INDIRECT("'"&amp;$A37&amp;"'!U14")</f>
        <v>0</v>
      </c>
      <c r="Y37" s="3">
        <f t="array" aca="1" ref="Y37" ca="1">INDIRECT("'"&amp;$A37&amp;"'!V14")</f>
        <v>0</v>
      </c>
      <c r="Z37" s="3">
        <f t="array" aca="1" ref="Z37" ca="1">INDIRECT("'"&amp;$A37&amp;"'!W14")</f>
        <v>0</v>
      </c>
      <c r="AA37" s="3">
        <f t="array" aca="1" ref="AA37" ca="1">INDIRECT("'"&amp;$A37&amp;"'!X14")</f>
        <v>0</v>
      </c>
      <c r="AB37" s="3">
        <f t="array" aca="1" ref="AB37" ca="1">INDIRECT("'"&amp;$A37&amp;"'!Y14")</f>
        <v>0</v>
      </c>
      <c r="AC37" s="3">
        <f t="array" aca="1" ref="AC37" ca="1">INDIRECT("'"&amp;$A37&amp;"'!Z14")</f>
        <v>0</v>
      </c>
      <c r="AD37" s="32">
        <f t="array" aca="1" ref="AD37" ca="1">INDIRECT("'"&amp;$A37&amp;"'!AA14")</f>
        <v>0</v>
      </c>
      <c r="AE37" s="83">
        <f t="array" aca="1" ref="AE37" ca="1">INDIRECT("'"&amp;$A36&amp;"'!J4")</f>
        <v>0</v>
      </c>
      <c r="AF37" s="53"/>
    </row>
    <row r="38" spans="1:32">
      <c r="A38" s="58">
        <v>13</v>
      </c>
      <c r="B38" s="105">
        <f>INDEX(data!$I$2:$I$91,MATCH(A38*1,data!$G$2:$G$91,0))</f>
        <v>46197</v>
      </c>
      <c r="C38" s="66" t="str">
        <f>HYPERLINK("#'" &amp; A38 &amp; "'!A1", "编辑")</f>
        <v>编辑</v>
      </c>
      <c r="D38" s="54" t="s">
        <v>6</v>
      </c>
      <c r="E38" s="81">
        <f t="array" aca="1" ref="E38" ca="1">INDIRECT("'"&amp;$A39&amp;"'!I2")</f>
        <v>18</v>
      </c>
      <c r="F38" s="29">
        <f t="array" aca="1" ref="F38" ca="1">INDIRECT("'"&amp;$A38&amp;"'!C8")</f>
        <v>0</v>
      </c>
      <c r="G38" s="30">
        <f t="array" aca="1" ref="G38" ca="1">INDIRECT("'"&amp;$A38&amp;"'!D8")</f>
        <v>0</v>
      </c>
      <c r="H38" s="30">
        <f t="array" aca="1" ref="H38" ca="1">INDIRECT("'"&amp;$A38&amp;"'!E8")</f>
        <v>0</v>
      </c>
      <c r="I38" s="30">
        <f t="array" aca="1" ref="I38" ca="1">INDIRECT("'"&amp;$A38&amp;"'!F8")</f>
        <v>0</v>
      </c>
      <c r="J38" s="30">
        <f t="array" aca="1" ref="J38" ca="1">INDIRECT("'"&amp;$A38&amp;"'!G8")</f>
        <v>0</v>
      </c>
      <c r="K38" s="30">
        <f t="array" aca="1" ref="K38" ca="1">INDIRECT("'"&amp;$A38&amp;"'!H8")</f>
        <v>0</v>
      </c>
      <c r="L38" s="30">
        <f t="array" aca="1" ref="L38" ca="1">INDIRECT("'"&amp;$A38&amp;"'!I8")</f>
        <v>0</v>
      </c>
      <c r="M38" s="30">
        <f t="array" aca="1" ref="M38" ca="1">INDIRECT("'"&amp;$A38&amp;"'!J8")</f>
        <v>0</v>
      </c>
      <c r="N38" s="30">
        <f t="array" aca="1" ref="N38" ca="1">INDIRECT("'"&amp;$A38&amp;"'!K8")</f>
        <v>0</v>
      </c>
      <c r="O38" s="30">
        <f t="array" aca="1" ref="O38" ca="1">INDIRECT("'"&amp;$A38&amp;"'!L8")</f>
        <v>0</v>
      </c>
      <c r="P38" s="30">
        <f t="array" aca="1" ref="P38" ca="1">INDIRECT("'"&amp;$A38&amp;"'!M8")</f>
        <v>0</v>
      </c>
      <c r="Q38" s="30">
        <f t="array" aca="1" ref="Q38" ca="1">INDIRECT("'"&amp;$A38&amp;"'!N8")</f>
        <v>0</v>
      </c>
      <c r="R38" s="30">
        <f t="array" aca="1" ref="R38" ca="1">INDIRECT("'"&amp;$A38&amp;"'!O8")</f>
        <v>0</v>
      </c>
      <c r="S38" s="30">
        <f t="array" aca="1" ref="S38" ca="1">INDIRECT("'"&amp;$A38&amp;"'!P8")</f>
        <v>0</v>
      </c>
      <c r="T38" s="30">
        <f t="array" aca="1" ref="T38" ca="1">INDIRECT("'"&amp;$A38&amp;"'!Q8")</f>
        <v>0</v>
      </c>
      <c r="U38" s="30">
        <f t="array" aca="1" ref="U38" ca="1">INDIRECT("'"&amp;$A38&amp;"'!R8")</f>
        <v>0</v>
      </c>
      <c r="V38" s="30">
        <f t="array" aca="1" ref="V38" ca="1">INDIRECT("'"&amp;$A38&amp;"'!S8")</f>
        <v>0</v>
      </c>
      <c r="W38" s="30">
        <f t="array" aca="1" ref="W38" ca="1">INDIRECT("'"&amp;$A38&amp;"'!T8")</f>
        <v>0</v>
      </c>
      <c r="X38" s="30">
        <f t="array" aca="1" ref="X38" ca="1">INDIRECT("'"&amp;$A38&amp;"'!U8")</f>
        <v>0</v>
      </c>
      <c r="Y38" s="30">
        <f t="array" aca="1" ref="Y38" ca="1">INDIRECT("'"&amp;$A38&amp;"'!V8")</f>
        <v>0</v>
      </c>
      <c r="Z38" s="30">
        <f t="array" aca="1" ref="Z38" ca="1">INDIRECT("'"&amp;$A38&amp;"'!W8")</f>
        <v>0</v>
      </c>
      <c r="AA38" s="30">
        <f t="array" aca="1" ref="AA38" ca="1">INDIRECT("'"&amp;$A38&amp;"'!X8")</f>
        <v>0</v>
      </c>
      <c r="AB38" s="30">
        <f t="array" aca="1" ref="AB38" ca="1">INDIRECT("'"&amp;$A38&amp;"'!Y8")</f>
        <v>0</v>
      </c>
      <c r="AC38" s="30">
        <f t="array" aca="1" ref="AC38" ca="1">INDIRECT("'"&amp;$A38&amp;"'!Z8")</f>
        <v>0</v>
      </c>
      <c r="AD38" s="31">
        <f t="array" aca="1" ref="AD38" ca="1">INDIRECT("'"&amp;$A38&amp;"'!AA8")</f>
        <v>0</v>
      </c>
      <c r="AE38" s="81">
        <f t="array" aca="1" ref="AE38" ca="1">INDIRECT("'"&amp;$A39&amp;"'!J2")</f>
        <v>0</v>
      </c>
      <c r="AF38" s="53" t="str">
        <f t="array" aca="1" ref="AF38" ca="1">INDIRECT("'"&amp;$A39&amp;"'!AD1")</f>
        <v/>
      </c>
    </row>
    <row r="39" spans="1:32">
      <c r="A39" s="58">
        <v>13</v>
      </c>
      <c r="B39" s="106"/>
      <c r="C39" s="67" t="str">
        <f t="array" aca="1" ref="C39" ca="1">CONCATENATE("粮 ",INDIRECT("'"&amp;$A39&amp;"'!D4"))</f>
        <v>粮 26000</v>
      </c>
      <c r="D39" s="55" t="s">
        <v>7</v>
      </c>
      <c r="E39" s="82">
        <f t="array" aca="1" ref="E39" ca="1">INDIRECT("'"&amp;$A39&amp;"'!I3")</f>
        <v>18</v>
      </c>
      <c r="F39" s="52">
        <f t="array" aca="1" ref="F39" ca="1">INDIRECT("'"&amp;$A39&amp;"'!C11")</f>
        <v>0</v>
      </c>
      <c r="G39" s="3">
        <f t="array" aca="1" ref="G39" ca="1">INDIRECT("'"&amp;$A39&amp;"'!D11")</f>
        <v>0</v>
      </c>
      <c r="H39" s="3">
        <f t="array" aca="1" ref="H39" ca="1">INDIRECT("'"&amp;$A39&amp;"'!E11")</f>
        <v>0</v>
      </c>
      <c r="I39" s="3">
        <f t="array" aca="1" ref="I39" ca="1">INDIRECT("'"&amp;$A39&amp;"'!F11")</f>
        <v>0</v>
      </c>
      <c r="J39" s="3">
        <f t="array" aca="1" ref="J39" ca="1">INDIRECT("'"&amp;$A39&amp;"'!G11")</f>
        <v>0</v>
      </c>
      <c r="K39" s="3">
        <f t="array" aca="1" ref="K39" ca="1">INDIRECT("'"&amp;$A39&amp;"'!H11")</f>
        <v>0</v>
      </c>
      <c r="L39" s="3">
        <f t="array" aca="1" ref="L39" ca="1">INDIRECT("'"&amp;$A39&amp;"'!I11")</f>
        <v>0</v>
      </c>
      <c r="M39" s="3">
        <f t="array" aca="1" ref="M39" ca="1">INDIRECT("'"&amp;$A39&amp;"'!J11")</f>
        <v>0</v>
      </c>
      <c r="N39" s="3">
        <f t="array" aca="1" ref="N39" ca="1">INDIRECT("'"&amp;$A39&amp;"'!K11")</f>
        <v>0</v>
      </c>
      <c r="O39" s="3">
        <f t="array" aca="1" ref="O39" ca="1">INDIRECT("'"&amp;$A39&amp;"'!L11")</f>
        <v>0</v>
      </c>
      <c r="P39" s="3">
        <f t="array" aca="1" ref="P39" ca="1">INDIRECT("'"&amp;$A39&amp;"'!M11")</f>
        <v>0</v>
      </c>
      <c r="Q39" s="3">
        <f t="array" aca="1" ref="Q39" ca="1">INDIRECT("'"&amp;$A39&amp;"'!N11")</f>
        <v>0</v>
      </c>
      <c r="R39" s="3">
        <f t="array" aca="1" ref="R39" ca="1">INDIRECT("'"&amp;$A39&amp;"'!O11")</f>
        <v>0</v>
      </c>
      <c r="S39" s="3">
        <f t="array" aca="1" ref="S39" ca="1">INDIRECT("'"&amp;$A39&amp;"'!P11")</f>
        <v>0</v>
      </c>
      <c r="T39" s="3">
        <f t="array" aca="1" ref="T39" ca="1">INDIRECT("'"&amp;$A39&amp;"'!Q11")</f>
        <v>0</v>
      </c>
      <c r="U39" s="3">
        <f t="array" aca="1" ref="U39" ca="1">INDIRECT("'"&amp;$A39&amp;"'!R11")</f>
        <v>0</v>
      </c>
      <c r="V39" s="3">
        <f t="array" aca="1" ref="V39" ca="1">INDIRECT("'"&amp;$A39&amp;"'!S11")</f>
        <v>0</v>
      </c>
      <c r="W39" s="3">
        <f t="array" aca="1" ref="W39" ca="1">INDIRECT("'"&amp;$A39&amp;"'!T11")</f>
        <v>0</v>
      </c>
      <c r="X39" s="3">
        <f t="array" aca="1" ref="X39" ca="1">INDIRECT("'"&amp;$A39&amp;"'!U11")</f>
        <v>0</v>
      </c>
      <c r="Y39" s="3">
        <f t="array" aca="1" ref="Y39" ca="1">INDIRECT("'"&amp;$A39&amp;"'!V11")</f>
        <v>0</v>
      </c>
      <c r="Z39" s="3">
        <f t="array" aca="1" ref="Z39" ca="1">INDIRECT("'"&amp;$A39&amp;"'!W11")</f>
        <v>0</v>
      </c>
      <c r="AA39" s="3">
        <f t="array" aca="1" ref="AA39" ca="1">INDIRECT("'"&amp;$A39&amp;"'!X11")</f>
        <v>0</v>
      </c>
      <c r="AB39" s="3">
        <f t="array" aca="1" ref="AB39" ca="1">INDIRECT("'"&amp;$A39&amp;"'!Y11")</f>
        <v>0</v>
      </c>
      <c r="AC39" s="3">
        <f t="array" aca="1" ref="AC39" ca="1">INDIRECT("'"&amp;$A39&amp;"'!Z11")</f>
        <v>0</v>
      </c>
      <c r="AD39" s="32">
        <f t="array" aca="1" ref="AD39" ca="1">INDIRECT("'"&amp;$A39&amp;"'!AA11")</f>
        <v>0</v>
      </c>
      <c r="AE39" s="82">
        <f t="array" aca="1" ref="AE39" ca="1">INDIRECT("'"&amp;$A39&amp;"'!J3")</f>
        <v>0</v>
      </c>
      <c r="AF39" s="53" t="str">
        <f t="array" aca="1" ref="AF39" ca="1">INDIRECT("'"&amp;$A39&amp;"'!AC1")</f>
        <v/>
      </c>
    </row>
    <row r="40" spans="1:32" ht="15.75" customHeight="1" thickBot="1">
      <c r="A40" s="58">
        <v>13</v>
      </c>
      <c r="B40" s="107"/>
      <c r="C40" s="77" t="str">
        <f t="array" aca="1" ref="C40" ca="1">CONCATENATE("分 ",INDIRECT("'"&amp;$A39&amp;"'!D6"))</f>
        <v>分 0</v>
      </c>
      <c r="D40" s="56" t="s">
        <v>8</v>
      </c>
      <c r="E40" s="83">
        <f t="array" aca="1" ref="E40" ca="1">INDIRECT("'"&amp;$A39&amp;"'!I4")</f>
        <v>18</v>
      </c>
      <c r="F40" s="52">
        <f t="array" aca="1" ref="F40" ca="1">INDIRECT("'"&amp;$A40&amp;"'!C14")</f>
        <v>0</v>
      </c>
      <c r="G40" s="3">
        <f t="array" aca="1" ref="G40" ca="1">INDIRECT("'"&amp;$A40&amp;"'!D14")</f>
        <v>0</v>
      </c>
      <c r="H40" s="3">
        <f t="array" aca="1" ref="H40" ca="1">INDIRECT("'"&amp;$A40&amp;"'!E14")</f>
        <v>0</v>
      </c>
      <c r="I40" s="3">
        <f t="array" aca="1" ref="I40" ca="1">INDIRECT("'"&amp;$A40&amp;"'!F14")</f>
        <v>0</v>
      </c>
      <c r="J40" s="3">
        <f t="array" aca="1" ref="J40" ca="1">INDIRECT("'"&amp;$A40&amp;"'!G14")</f>
        <v>0</v>
      </c>
      <c r="K40" s="3">
        <f t="array" aca="1" ref="K40" ca="1">INDIRECT("'"&amp;$A40&amp;"'!H14")</f>
        <v>0</v>
      </c>
      <c r="L40" s="3">
        <f t="array" aca="1" ref="L40" ca="1">INDIRECT("'"&amp;$A40&amp;"'!I14")</f>
        <v>0</v>
      </c>
      <c r="M40" s="3">
        <f t="array" aca="1" ref="M40" ca="1">INDIRECT("'"&amp;$A40&amp;"'!J14")</f>
        <v>0</v>
      </c>
      <c r="N40" s="3">
        <f t="array" aca="1" ref="N40" ca="1">INDIRECT("'"&amp;$A40&amp;"'!K14")</f>
        <v>0</v>
      </c>
      <c r="O40" s="3">
        <f t="array" aca="1" ref="O40" ca="1">INDIRECT("'"&amp;$A40&amp;"'!L14")</f>
        <v>0</v>
      </c>
      <c r="P40" s="3">
        <f t="array" aca="1" ref="P40" ca="1">INDIRECT("'"&amp;$A40&amp;"'!M14")</f>
        <v>0</v>
      </c>
      <c r="Q40" s="3">
        <f t="array" aca="1" ref="Q40" ca="1">INDIRECT("'"&amp;$A40&amp;"'!N14")</f>
        <v>0</v>
      </c>
      <c r="R40" s="3">
        <f t="array" aca="1" ref="R40" ca="1">INDIRECT("'"&amp;$A40&amp;"'!O14")</f>
        <v>0</v>
      </c>
      <c r="S40" s="3">
        <f t="array" aca="1" ref="S40" ca="1">INDIRECT("'"&amp;$A40&amp;"'!P14")</f>
        <v>0</v>
      </c>
      <c r="T40" s="3">
        <f t="array" aca="1" ref="T40" ca="1">INDIRECT("'"&amp;$A40&amp;"'!Q14")</f>
        <v>0</v>
      </c>
      <c r="U40" s="3">
        <f t="array" aca="1" ref="U40" ca="1">INDIRECT("'"&amp;$A40&amp;"'!R14")</f>
        <v>0</v>
      </c>
      <c r="V40" s="3">
        <f t="array" aca="1" ref="V40" ca="1">INDIRECT("'"&amp;$A40&amp;"'!S14")</f>
        <v>0</v>
      </c>
      <c r="W40" s="3">
        <f t="array" aca="1" ref="W40" ca="1">INDIRECT("'"&amp;$A40&amp;"'!T14")</f>
        <v>0</v>
      </c>
      <c r="X40" s="3">
        <f t="array" aca="1" ref="X40" ca="1">INDIRECT("'"&amp;$A40&amp;"'!U14")</f>
        <v>0</v>
      </c>
      <c r="Y40" s="3">
        <f t="array" aca="1" ref="Y40" ca="1">INDIRECT("'"&amp;$A40&amp;"'!V14")</f>
        <v>0</v>
      </c>
      <c r="Z40" s="3">
        <f t="array" aca="1" ref="Z40" ca="1">INDIRECT("'"&amp;$A40&amp;"'!W14")</f>
        <v>0</v>
      </c>
      <c r="AA40" s="3">
        <f t="array" aca="1" ref="AA40" ca="1">INDIRECT("'"&amp;$A40&amp;"'!X14")</f>
        <v>0</v>
      </c>
      <c r="AB40" s="3">
        <f t="array" aca="1" ref="AB40" ca="1">INDIRECT("'"&amp;$A40&amp;"'!Y14")</f>
        <v>0</v>
      </c>
      <c r="AC40" s="3">
        <f t="array" aca="1" ref="AC40" ca="1">INDIRECT("'"&amp;$A40&amp;"'!Z14")</f>
        <v>0</v>
      </c>
      <c r="AD40" s="32">
        <f t="array" aca="1" ref="AD40" ca="1">INDIRECT("'"&amp;$A40&amp;"'!AA14")</f>
        <v>0</v>
      </c>
      <c r="AE40" s="83">
        <f t="array" aca="1" ref="AE40" ca="1">INDIRECT("'"&amp;$A39&amp;"'!J4")</f>
        <v>0</v>
      </c>
      <c r="AF40" s="53"/>
    </row>
    <row r="41" spans="1:32">
      <c r="A41" s="58">
        <v>14</v>
      </c>
      <c r="B41" s="105">
        <f>INDEX(data!$I$2:$I$91,MATCH(A41*1,data!$G$2:$G$91,0))</f>
        <v>46198</v>
      </c>
      <c r="C41" s="66" t="str">
        <f>HYPERLINK("#'" &amp; A41 &amp; "'!A1", "编辑")</f>
        <v>编辑</v>
      </c>
      <c r="D41" s="54" t="s">
        <v>6</v>
      </c>
      <c r="E41" s="81">
        <f t="array" aca="1" ref="E41" ca="1">INDIRECT("'"&amp;$A42&amp;"'!I2")</f>
        <v>18</v>
      </c>
      <c r="F41" s="29">
        <f t="array" aca="1" ref="F41" ca="1">INDIRECT("'"&amp;$A41&amp;"'!C8")</f>
        <v>0</v>
      </c>
      <c r="G41" s="30">
        <f t="array" aca="1" ref="G41" ca="1">INDIRECT("'"&amp;$A41&amp;"'!D8")</f>
        <v>0</v>
      </c>
      <c r="H41" s="30">
        <f t="array" aca="1" ref="H41" ca="1">INDIRECT("'"&amp;$A41&amp;"'!E8")</f>
        <v>0</v>
      </c>
      <c r="I41" s="30">
        <f t="array" aca="1" ref="I41" ca="1">INDIRECT("'"&amp;$A41&amp;"'!F8")</f>
        <v>0</v>
      </c>
      <c r="J41" s="30">
        <f t="array" aca="1" ref="J41" ca="1">INDIRECT("'"&amp;$A41&amp;"'!G8")</f>
        <v>0</v>
      </c>
      <c r="K41" s="30">
        <f t="array" aca="1" ref="K41" ca="1">INDIRECT("'"&amp;$A41&amp;"'!H8")</f>
        <v>0</v>
      </c>
      <c r="L41" s="30">
        <f t="array" aca="1" ref="L41" ca="1">INDIRECT("'"&amp;$A41&amp;"'!I8")</f>
        <v>0</v>
      </c>
      <c r="M41" s="30">
        <f t="array" aca="1" ref="M41" ca="1">INDIRECT("'"&amp;$A41&amp;"'!J8")</f>
        <v>0</v>
      </c>
      <c r="N41" s="30">
        <f t="array" aca="1" ref="N41" ca="1">INDIRECT("'"&amp;$A41&amp;"'!K8")</f>
        <v>0</v>
      </c>
      <c r="O41" s="30">
        <f t="array" aca="1" ref="O41" ca="1">INDIRECT("'"&amp;$A41&amp;"'!L8")</f>
        <v>0</v>
      </c>
      <c r="P41" s="30">
        <f t="array" aca="1" ref="P41" ca="1">INDIRECT("'"&amp;$A41&amp;"'!M8")</f>
        <v>0</v>
      </c>
      <c r="Q41" s="30">
        <f t="array" aca="1" ref="Q41" ca="1">INDIRECT("'"&amp;$A41&amp;"'!N8")</f>
        <v>0</v>
      </c>
      <c r="R41" s="30">
        <f t="array" aca="1" ref="R41" ca="1">INDIRECT("'"&amp;$A41&amp;"'!O8")</f>
        <v>0</v>
      </c>
      <c r="S41" s="30">
        <f t="array" aca="1" ref="S41" ca="1">INDIRECT("'"&amp;$A41&amp;"'!P8")</f>
        <v>0</v>
      </c>
      <c r="T41" s="30">
        <f t="array" aca="1" ref="T41" ca="1">INDIRECT("'"&amp;$A41&amp;"'!Q8")</f>
        <v>0</v>
      </c>
      <c r="U41" s="30">
        <f t="array" aca="1" ref="U41" ca="1">INDIRECT("'"&amp;$A41&amp;"'!R8")</f>
        <v>0</v>
      </c>
      <c r="V41" s="30">
        <f t="array" aca="1" ref="V41" ca="1">INDIRECT("'"&amp;$A41&amp;"'!S8")</f>
        <v>0</v>
      </c>
      <c r="W41" s="30">
        <f t="array" aca="1" ref="W41" ca="1">INDIRECT("'"&amp;$A41&amp;"'!T8")</f>
        <v>0</v>
      </c>
      <c r="X41" s="30">
        <f t="array" aca="1" ref="X41" ca="1">INDIRECT("'"&amp;$A41&amp;"'!U8")</f>
        <v>0</v>
      </c>
      <c r="Y41" s="30">
        <f t="array" aca="1" ref="Y41" ca="1">INDIRECT("'"&amp;$A41&amp;"'!V8")</f>
        <v>0</v>
      </c>
      <c r="Z41" s="30">
        <f t="array" aca="1" ref="Z41" ca="1">INDIRECT("'"&amp;$A41&amp;"'!W8")</f>
        <v>0</v>
      </c>
      <c r="AA41" s="30">
        <f t="array" aca="1" ref="AA41" ca="1">INDIRECT("'"&amp;$A41&amp;"'!X8")</f>
        <v>0</v>
      </c>
      <c r="AB41" s="30">
        <f t="array" aca="1" ref="AB41" ca="1">INDIRECT("'"&amp;$A41&amp;"'!Y8")</f>
        <v>0</v>
      </c>
      <c r="AC41" s="30">
        <f t="array" aca="1" ref="AC41" ca="1">INDIRECT("'"&amp;$A41&amp;"'!Z8")</f>
        <v>0</v>
      </c>
      <c r="AD41" s="31">
        <f t="array" aca="1" ref="AD41" ca="1">INDIRECT("'"&amp;$A41&amp;"'!AA8")</f>
        <v>0</v>
      </c>
      <c r="AE41" s="81">
        <f t="array" aca="1" ref="AE41" ca="1">INDIRECT("'"&amp;$A42&amp;"'!J2")</f>
        <v>0</v>
      </c>
      <c r="AF41" s="53" t="str">
        <f t="array" aca="1" ref="AF41" ca="1">INDIRECT("'"&amp;$A42&amp;"'!AD1")</f>
        <v/>
      </c>
    </row>
    <row r="42" spans="1:32">
      <c r="A42" s="58">
        <v>14</v>
      </c>
      <c r="B42" s="106"/>
      <c r="C42" s="67" t="str">
        <f t="array" aca="1" ref="C42" ca="1">CONCATENATE("粮 ",INDIRECT("'"&amp;$A42&amp;"'!D4"))</f>
        <v>粮 27600</v>
      </c>
      <c r="D42" s="55" t="s">
        <v>7</v>
      </c>
      <c r="E42" s="82">
        <f t="array" aca="1" ref="E42" ca="1">INDIRECT("'"&amp;$A42&amp;"'!I3")</f>
        <v>18</v>
      </c>
      <c r="F42" s="52">
        <f t="array" aca="1" ref="F42" ca="1">INDIRECT("'"&amp;$A42&amp;"'!C11")</f>
        <v>0</v>
      </c>
      <c r="G42" s="3">
        <f t="array" aca="1" ref="G42" ca="1">INDIRECT("'"&amp;$A42&amp;"'!D11")</f>
        <v>0</v>
      </c>
      <c r="H42" s="3">
        <f t="array" aca="1" ref="H42" ca="1">INDIRECT("'"&amp;$A42&amp;"'!E11")</f>
        <v>0</v>
      </c>
      <c r="I42" s="3">
        <f t="array" aca="1" ref="I42" ca="1">INDIRECT("'"&amp;$A42&amp;"'!F11")</f>
        <v>0</v>
      </c>
      <c r="J42" s="3">
        <f t="array" aca="1" ref="J42" ca="1">INDIRECT("'"&amp;$A42&amp;"'!G11")</f>
        <v>0</v>
      </c>
      <c r="K42" s="3">
        <f t="array" aca="1" ref="K42" ca="1">INDIRECT("'"&amp;$A42&amp;"'!H11")</f>
        <v>0</v>
      </c>
      <c r="L42" s="3">
        <f t="array" aca="1" ref="L42" ca="1">INDIRECT("'"&amp;$A42&amp;"'!I11")</f>
        <v>0</v>
      </c>
      <c r="M42" s="3">
        <f t="array" aca="1" ref="M42" ca="1">INDIRECT("'"&amp;$A42&amp;"'!J11")</f>
        <v>0</v>
      </c>
      <c r="N42" s="3">
        <f t="array" aca="1" ref="N42" ca="1">INDIRECT("'"&amp;$A42&amp;"'!K11")</f>
        <v>0</v>
      </c>
      <c r="O42" s="3">
        <f t="array" aca="1" ref="O42" ca="1">INDIRECT("'"&amp;$A42&amp;"'!L11")</f>
        <v>0</v>
      </c>
      <c r="P42" s="3">
        <f t="array" aca="1" ref="P42" ca="1">INDIRECT("'"&amp;$A42&amp;"'!M11")</f>
        <v>0</v>
      </c>
      <c r="Q42" s="3">
        <f t="array" aca="1" ref="Q42" ca="1">INDIRECT("'"&amp;$A42&amp;"'!N11")</f>
        <v>0</v>
      </c>
      <c r="R42" s="3">
        <f t="array" aca="1" ref="R42" ca="1">INDIRECT("'"&amp;$A42&amp;"'!O11")</f>
        <v>0</v>
      </c>
      <c r="S42" s="3">
        <f t="array" aca="1" ref="S42" ca="1">INDIRECT("'"&amp;$A42&amp;"'!P11")</f>
        <v>0</v>
      </c>
      <c r="T42" s="3">
        <f t="array" aca="1" ref="T42" ca="1">INDIRECT("'"&amp;$A42&amp;"'!Q11")</f>
        <v>0</v>
      </c>
      <c r="U42" s="3">
        <f t="array" aca="1" ref="U42" ca="1">INDIRECT("'"&amp;$A42&amp;"'!R11")</f>
        <v>0</v>
      </c>
      <c r="V42" s="3">
        <f t="array" aca="1" ref="V42" ca="1">INDIRECT("'"&amp;$A42&amp;"'!S11")</f>
        <v>0</v>
      </c>
      <c r="W42" s="3">
        <f t="array" aca="1" ref="W42" ca="1">INDIRECT("'"&amp;$A42&amp;"'!T11")</f>
        <v>0</v>
      </c>
      <c r="X42" s="3">
        <f t="array" aca="1" ref="X42" ca="1">INDIRECT("'"&amp;$A42&amp;"'!U11")</f>
        <v>0</v>
      </c>
      <c r="Y42" s="3">
        <f t="array" aca="1" ref="Y42" ca="1">INDIRECT("'"&amp;$A42&amp;"'!V11")</f>
        <v>0</v>
      </c>
      <c r="Z42" s="3">
        <f t="array" aca="1" ref="Z42" ca="1">INDIRECT("'"&amp;$A42&amp;"'!W11")</f>
        <v>0</v>
      </c>
      <c r="AA42" s="3">
        <f t="array" aca="1" ref="AA42" ca="1">INDIRECT("'"&amp;$A42&amp;"'!X11")</f>
        <v>0</v>
      </c>
      <c r="AB42" s="3">
        <f t="array" aca="1" ref="AB42" ca="1">INDIRECT("'"&amp;$A42&amp;"'!Y11")</f>
        <v>0</v>
      </c>
      <c r="AC42" s="3">
        <f t="array" aca="1" ref="AC42" ca="1">INDIRECT("'"&amp;$A42&amp;"'!Z11")</f>
        <v>0</v>
      </c>
      <c r="AD42" s="32">
        <f t="array" aca="1" ref="AD42" ca="1">INDIRECT("'"&amp;$A42&amp;"'!AA11")</f>
        <v>0</v>
      </c>
      <c r="AE42" s="82">
        <f t="array" aca="1" ref="AE42" ca="1">INDIRECT("'"&amp;$A42&amp;"'!J3")</f>
        <v>0</v>
      </c>
      <c r="AF42" s="53" t="str">
        <f t="array" aca="1" ref="AF42" ca="1">INDIRECT("'"&amp;$A42&amp;"'!AC1")</f>
        <v/>
      </c>
    </row>
    <row r="43" spans="1:32" ht="15.75" customHeight="1" thickBot="1">
      <c r="A43" s="58">
        <v>14</v>
      </c>
      <c r="B43" s="107"/>
      <c r="C43" s="77" t="str">
        <f t="array" aca="1" ref="C43" ca="1">CONCATENATE("分 ",INDIRECT("'"&amp;$A42&amp;"'!D6"))</f>
        <v>分 0</v>
      </c>
      <c r="D43" s="56" t="s">
        <v>8</v>
      </c>
      <c r="E43" s="83">
        <f t="array" aca="1" ref="E43" ca="1">INDIRECT("'"&amp;$A42&amp;"'!I4")</f>
        <v>18</v>
      </c>
      <c r="F43" s="52">
        <f t="array" aca="1" ref="F43" ca="1">INDIRECT("'"&amp;$A43&amp;"'!C14")</f>
        <v>0</v>
      </c>
      <c r="G43" s="3">
        <f t="array" aca="1" ref="G43" ca="1">INDIRECT("'"&amp;$A43&amp;"'!D14")</f>
        <v>0</v>
      </c>
      <c r="H43" s="3">
        <f t="array" aca="1" ref="H43" ca="1">INDIRECT("'"&amp;$A43&amp;"'!E14")</f>
        <v>0</v>
      </c>
      <c r="I43" s="3">
        <f t="array" aca="1" ref="I43" ca="1">INDIRECT("'"&amp;$A43&amp;"'!F14")</f>
        <v>0</v>
      </c>
      <c r="J43" s="3">
        <f t="array" aca="1" ref="J43" ca="1">INDIRECT("'"&amp;$A43&amp;"'!G14")</f>
        <v>0</v>
      </c>
      <c r="K43" s="3">
        <f t="array" aca="1" ref="K43" ca="1">INDIRECT("'"&amp;$A43&amp;"'!H14")</f>
        <v>0</v>
      </c>
      <c r="L43" s="3">
        <f t="array" aca="1" ref="L43" ca="1">INDIRECT("'"&amp;$A43&amp;"'!I14")</f>
        <v>0</v>
      </c>
      <c r="M43" s="3">
        <f t="array" aca="1" ref="M43" ca="1">INDIRECT("'"&amp;$A43&amp;"'!J14")</f>
        <v>0</v>
      </c>
      <c r="N43" s="3">
        <f t="array" aca="1" ref="N43" ca="1">INDIRECT("'"&amp;$A43&amp;"'!K14")</f>
        <v>0</v>
      </c>
      <c r="O43" s="3">
        <f t="array" aca="1" ref="O43" ca="1">INDIRECT("'"&amp;$A43&amp;"'!L14")</f>
        <v>0</v>
      </c>
      <c r="P43" s="3">
        <f t="array" aca="1" ref="P43" ca="1">INDIRECT("'"&amp;$A43&amp;"'!M14")</f>
        <v>0</v>
      </c>
      <c r="Q43" s="3">
        <f t="array" aca="1" ref="Q43" ca="1">INDIRECT("'"&amp;$A43&amp;"'!N14")</f>
        <v>0</v>
      </c>
      <c r="R43" s="3">
        <f t="array" aca="1" ref="R43" ca="1">INDIRECT("'"&amp;$A43&amp;"'!O14")</f>
        <v>0</v>
      </c>
      <c r="S43" s="3">
        <f t="array" aca="1" ref="S43" ca="1">INDIRECT("'"&amp;$A43&amp;"'!P14")</f>
        <v>0</v>
      </c>
      <c r="T43" s="3">
        <f t="array" aca="1" ref="T43" ca="1">INDIRECT("'"&amp;$A43&amp;"'!Q14")</f>
        <v>0</v>
      </c>
      <c r="U43" s="3">
        <f t="array" aca="1" ref="U43" ca="1">INDIRECT("'"&amp;$A43&amp;"'!R14")</f>
        <v>0</v>
      </c>
      <c r="V43" s="3">
        <f t="array" aca="1" ref="V43" ca="1">INDIRECT("'"&amp;$A43&amp;"'!S14")</f>
        <v>0</v>
      </c>
      <c r="W43" s="3">
        <f t="array" aca="1" ref="W43" ca="1">INDIRECT("'"&amp;$A43&amp;"'!T14")</f>
        <v>0</v>
      </c>
      <c r="X43" s="3">
        <f t="array" aca="1" ref="X43" ca="1">INDIRECT("'"&amp;$A43&amp;"'!U14")</f>
        <v>0</v>
      </c>
      <c r="Y43" s="3">
        <f t="array" aca="1" ref="Y43" ca="1">INDIRECT("'"&amp;$A43&amp;"'!V14")</f>
        <v>0</v>
      </c>
      <c r="Z43" s="3">
        <f t="array" aca="1" ref="Z43" ca="1">INDIRECT("'"&amp;$A43&amp;"'!W14")</f>
        <v>0</v>
      </c>
      <c r="AA43" s="3">
        <f t="array" aca="1" ref="AA43" ca="1">INDIRECT("'"&amp;$A43&amp;"'!X14")</f>
        <v>0</v>
      </c>
      <c r="AB43" s="3">
        <f t="array" aca="1" ref="AB43" ca="1">INDIRECT("'"&amp;$A43&amp;"'!Y14")</f>
        <v>0</v>
      </c>
      <c r="AC43" s="3">
        <f t="array" aca="1" ref="AC43" ca="1">INDIRECT("'"&amp;$A43&amp;"'!Z14")</f>
        <v>0</v>
      </c>
      <c r="AD43" s="32">
        <f t="array" aca="1" ref="AD43" ca="1">INDIRECT("'"&amp;$A43&amp;"'!AA14")</f>
        <v>0</v>
      </c>
      <c r="AE43" s="83">
        <f t="array" aca="1" ref="AE43" ca="1">INDIRECT("'"&amp;$A42&amp;"'!J4")</f>
        <v>0</v>
      </c>
      <c r="AF43" s="53"/>
    </row>
    <row r="44" spans="1:32">
      <c r="A44" s="58">
        <v>15</v>
      </c>
      <c r="B44" s="105">
        <f>INDEX(data!$I$2:$I$91,MATCH(A44*1,data!$G$2:$G$91,0))</f>
        <v>46199</v>
      </c>
      <c r="C44" s="66" t="str">
        <f>HYPERLINK("#'" &amp; A44 &amp; "'!A1", "编辑")</f>
        <v>编辑</v>
      </c>
      <c r="D44" s="54" t="s">
        <v>6</v>
      </c>
      <c r="E44" s="81">
        <f t="array" aca="1" ref="E44" ca="1">INDIRECT("'"&amp;$A45&amp;"'!I2")</f>
        <v>18</v>
      </c>
      <c r="F44" s="29">
        <f t="array" aca="1" ref="F44" ca="1">INDIRECT("'"&amp;$A44&amp;"'!C8")</f>
        <v>0</v>
      </c>
      <c r="G44" s="30">
        <f t="array" aca="1" ref="G44" ca="1">INDIRECT("'"&amp;$A44&amp;"'!D8")</f>
        <v>0</v>
      </c>
      <c r="H44" s="30">
        <f t="array" aca="1" ref="H44" ca="1">INDIRECT("'"&amp;$A44&amp;"'!E8")</f>
        <v>0</v>
      </c>
      <c r="I44" s="30">
        <f t="array" aca="1" ref="I44" ca="1">INDIRECT("'"&amp;$A44&amp;"'!F8")</f>
        <v>0</v>
      </c>
      <c r="J44" s="30">
        <f t="array" aca="1" ref="J44" ca="1">INDIRECT("'"&amp;$A44&amp;"'!G8")</f>
        <v>0</v>
      </c>
      <c r="K44" s="30">
        <f t="array" aca="1" ref="K44" ca="1">INDIRECT("'"&amp;$A44&amp;"'!H8")</f>
        <v>0</v>
      </c>
      <c r="L44" s="30">
        <f t="array" aca="1" ref="L44" ca="1">INDIRECT("'"&amp;$A44&amp;"'!I8")</f>
        <v>0</v>
      </c>
      <c r="M44" s="30">
        <f t="array" aca="1" ref="M44" ca="1">INDIRECT("'"&amp;$A44&amp;"'!J8")</f>
        <v>0</v>
      </c>
      <c r="N44" s="30">
        <f t="array" aca="1" ref="N44" ca="1">INDIRECT("'"&amp;$A44&amp;"'!K8")</f>
        <v>0</v>
      </c>
      <c r="O44" s="30">
        <f t="array" aca="1" ref="O44" ca="1">INDIRECT("'"&amp;$A44&amp;"'!L8")</f>
        <v>0</v>
      </c>
      <c r="P44" s="30">
        <f t="array" aca="1" ref="P44" ca="1">INDIRECT("'"&amp;$A44&amp;"'!M8")</f>
        <v>0</v>
      </c>
      <c r="Q44" s="30">
        <f t="array" aca="1" ref="Q44" ca="1">INDIRECT("'"&amp;$A44&amp;"'!N8")</f>
        <v>0</v>
      </c>
      <c r="R44" s="30">
        <f t="array" aca="1" ref="R44" ca="1">INDIRECT("'"&amp;$A44&amp;"'!O8")</f>
        <v>0</v>
      </c>
      <c r="S44" s="30">
        <f t="array" aca="1" ref="S44" ca="1">INDIRECT("'"&amp;$A44&amp;"'!P8")</f>
        <v>0</v>
      </c>
      <c r="T44" s="30">
        <f t="array" aca="1" ref="T44" ca="1">INDIRECT("'"&amp;$A44&amp;"'!Q8")</f>
        <v>0</v>
      </c>
      <c r="U44" s="30">
        <f t="array" aca="1" ref="U44" ca="1">INDIRECT("'"&amp;$A44&amp;"'!R8")</f>
        <v>0</v>
      </c>
      <c r="V44" s="30">
        <f t="array" aca="1" ref="V44" ca="1">INDIRECT("'"&amp;$A44&amp;"'!S8")</f>
        <v>0</v>
      </c>
      <c r="W44" s="30">
        <f t="array" aca="1" ref="W44" ca="1">INDIRECT("'"&amp;$A44&amp;"'!T8")</f>
        <v>0</v>
      </c>
      <c r="X44" s="30">
        <f t="array" aca="1" ref="X44" ca="1">INDIRECT("'"&amp;$A44&amp;"'!U8")</f>
        <v>0</v>
      </c>
      <c r="Y44" s="30">
        <f t="array" aca="1" ref="Y44" ca="1">INDIRECT("'"&amp;$A44&amp;"'!V8")</f>
        <v>0</v>
      </c>
      <c r="Z44" s="30">
        <f t="array" aca="1" ref="Z44" ca="1">INDIRECT("'"&amp;$A44&amp;"'!W8")</f>
        <v>0</v>
      </c>
      <c r="AA44" s="30">
        <f t="array" aca="1" ref="AA44" ca="1">INDIRECT("'"&amp;$A44&amp;"'!X8")</f>
        <v>0</v>
      </c>
      <c r="AB44" s="30">
        <f t="array" aca="1" ref="AB44" ca="1">INDIRECT("'"&amp;$A44&amp;"'!Y8")</f>
        <v>0</v>
      </c>
      <c r="AC44" s="30">
        <f t="array" aca="1" ref="AC44" ca="1">INDIRECT("'"&amp;$A44&amp;"'!Z8")</f>
        <v>0</v>
      </c>
      <c r="AD44" s="31">
        <f t="array" aca="1" ref="AD44" ca="1">INDIRECT("'"&amp;$A44&amp;"'!AA8")</f>
        <v>0</v>
      </c>
      <c r="AE44" s="81">
        <f t="array" aca="1" ref="AE44" ca="1">INDIRECT("'"&amp;$A45&amp;"'!J2")</f>
        <v>0</v>
      </c>
      <c r="AF44" s="53" t="str">
        <f t="array" aca="1" ref="AF44" ca="1">INDIRECT("'"&amp;$A45&amp;"'!AD1")</f>
        <v/>
      </c>
    </row>
    <row r="45" spans="1:32">
      <c r="A45" s="58">
        <v>15</v>
      </c>
      <c r="B45" s="106"/>
      <c r="C45" s="67" t="str">
        <f t="array" aca="1" ref="C45" ca="1">CONCATENATE("粮 ",INDIRECT("'"&amp;$A45&amp;"'!D4"))</f>
        <v>粮 29200</v>
      </c>
      <c r="D45" s="55" t="s">
        <v>7</v>
      </c>
      <c r="E45" s="82">
        <f t="array" aca="1" ref="E45" ca="1">INDIRECT("'"&amp;$A45&amp;"'!I3")</f>
        <v>18</v>
      </c>
      <c r="F45" s="52">
        <f t="array" aca="1" ref="F45" ca="1">INDIRECT("'"&amp;$A45&amp;"'!C11")</f>
        <v>0</v>
      </c>
      <c r="G45" s="3">
        <f t="array" aca="1" ref="G45" ca="1">INDIRECT("'"&amp;$A45&amp;"'!D11")</f>
        <v>0</v>
      </c>
      <c r="H45" s="3">
        <f t="array" aca="1" ref="H45" ca="1">INDIRECT("'"&amp;$A45&amp;"'!E11")</f>
        <v>0</v>
      </c>
      <c r="I45" s="3">
        <f t="array" aca="1" ref="I45" ca="1">INDIRECT("'"&amp;$A45&amp;"'!F11")</f>
        <v>0</v>
      </c>
      <c r="J45" s="3">
        <f t="array" aca="1" ref="J45" ca="1">INDIRECT("'"&amp;$A45&amp;"'!G11")</f>
        <v>0</v>
      </c>
      <c r="K45" s="3">
        <f t="array" aca="1" ref="K45" ca="1">INDIRECT("'"&amp;$A45&amp;"'!H11")</f>
        <v>0</v>
      </c>
      <c r="L45" s="3">
        <f t="array" aca="1" ref="L45" ca="1">INDIRECT("'"&amp;$A45&amp;"'!I11")</f>
        <v>0</v>
      </c>
      <c r="M45" s="3">
        <f t="array" aca="1" ref="M45" ca="1">INDIRECT("'"&amp;$A45&amp;"'!J11")</f>
        <v>0</v>
      </c>
      <c r="N45" s="3">
        <f t="array" aca="1" ref="N45" ca="1">INDIRECT("'"&amp;$A45&amp;"'!K11")</f>
        <v>0</v>
      </c>
      <c r="O45" s="3">
        <f t="array" aca="1" ref="O45" ca="1">INDIRECT("'"&amp;$A45&amp;"'!L11")</f>
        <v>0</v>
      </c>
      <c r="P45" s="3">
        <f t="array" aca="1" ref="P45" ca="1">INDIRECT("'"&amp;$A45&amp;"'!M11")</f>
        <v>0</v>
      </c>
      <c r="Q45" s="3">
        <f t="array" aca="1" ref="Q45" ca="1">INDIRECT("'"&amp;$A45&amp;"'!N11")</f>
        <v>0</v>
      </c>
      <c r="R45" s="3">
        <f t="array" aca="1" ref="R45" ca="1">INDIRECT("'"&amp;$A45&amp;"'!O11")</f>
        <v>0</v>
      </c>
      <c r="S45" s="3">
        <f t="array" aca="1" ref="S45" ca="1">INDIRECT("'"&amp;$A45&amp;"'!P11")</f>
        <v>0</v>
      </c>
      <c r="T45" s="3">
        <f t="array" aca="1" ref="T45" ca="1">INDIRECT("'"&amp;$A45&amp;"'!Q11")</f>
        <v>0</v>
      </c>
      <c r="U45" s="3">
        <f t="array" aca="1" ref="U45" ca="1">INDIRECT("'"&amp;$A45&amp;"'!R11")</f>
        <v>0</v>
      </c>
      <c r="V45" s="3">
        <f t="array" aca="1" ref="V45" ca="1">INDIRECT("'"&amp;$A45&amp;"'!S11")</f>
        <v>0</v>
      </c>
      <c r="W45" s="3">
        <f t="array" aca="1" ref="W45" ca="1">INDIRECT("'"&amp;$A45&amp;"'!T11")</f>
        <v>0</v>
      </c>
      <c r="X45" s="3">
        <f t="array" aca="1" ref="X45" ca="1">INDIRECT("'"&amp;$A45&amp;"'!U11")</f>
        <v>0</v>
      </c>
      <c r="Y45" s="3">
        <f t="array" aca="1" ref="Y45" ca="1">INDIRECT("'"&amp;$A45&amp;"'!V11")</f>
        <v>0</v>
      </c>
      <c r="Z45" s="3">
        <f t="array" aca="1" ref="Z45" ca="1">INDIRECT("'"&amp;$A45&amp;"'!W11")</f>
        <v>0</v>
      </c>
      <c r="AA45" s="3">
        <f t="array" aca="1" ref="AA45" ca="1">INDIRECT("'"&amp;$A45&amp;"'!X11")</f>
        <v>0</v>
      </c>
      <c r="AB45" s="3">
        <f t="array" aca="1" ref="AB45" ca="1">INDIRECT("'"&amp;$A45&amp;"'!Y11")</f>
        <v>0</v>
      </c>
      <c r="AC45" s="3">
        <f t="array" aca="1" ref="AC45" ca="1">INDIRECT("'"&amp;$A45&amp;"'!Z11")</f>
        <v>0</v>
      </c>
      <c r="AD45" s="32">
        <f t="array" aca="1" ref="AD45" ca="1">INDIRECT("'"&amp;$A45&amp;"'!AA11")</f>
        <v>0</v>
      </c>
      <c r="AE45" s="82">
        <f t="array" aca="1" ref="AE45" ca="1">INDIRECT("'"&amp;$A45&amp;"'!J3")</f>
        <v>0</v>
      </c>
      <c r="AF45" s="53" t="str">
        <f t="array" aca="1" ref="AF45" ca="1">INDIRECT("'"&amp;$A45&amp;"'!AC1")</f>
        <v/>
      </c>
    </row>
    <row r="46" spans="1:32" ht="15.75" customHeight="1" thickBot="1">
      <c r="A46" s="58">
        <v>15</v>
      </c>
      <c r="B46" s="107"/>
      <c r="C46" s="77" t="str">
        <f t="array" aca="1" ref="C46" ca="1">CONCATENATE("分 ",INDIRECT("'"&amp;$A45&amp;"'!D6"))</f>
        <v>分 0</v>
      </c>
      <c r="D46" s="56" t="s">
        <v>8</v>
      </c>
      <c r="E46" s="83">
        <f t="array" aca="1" ref="E46" ca="1">INDIRECT("'"&amp;$A45&amp;"'!I4")</f>
        <v>18</v>
      </c>
      <c r="F46" s="52">
        <f t="array" aca="1" ref="F46" ca="1">INDIRECT("'"&amp;$A46&amp;"'!C14")</f>
        <v>0</v>
      </c>
      <c r="G46" s="3">
        <f t="array" aca="1" ref="G46" ca="1">INDIRECT("'"&amp;$A46&amp;"'!D14")</f>
        <v>0</v>
      </c>
      <c r="H46" s="3">
        <f t="array" aca="1" ref="H46" ca="1">INDIRECT("'"&amp;$A46&amp;"'!E14")</f>
        <v>0</v>
      </c>
      <c r="I46" s="3">
        <f t="array" aca="1" ref="I46" ca="1">INDIRECT("'"&amp;$A46&amp;"'!F14")</f>
        <v>0</v>
      </c>
      <c r="J46" s="3">
        <f t="array" aca="1" ref="J46" ca="1">INDIRECT("'"&amp;$A46&amp;"'!G14")</f>
        <v>0</v>
      </c>
      <c r="K46" s="3">
        <f t="array" aca="1" ref="K46" ca="1">INDIRECT("'"&amp;$A46&amp;"'!H14")</f>
        <v>0</v>
      </c>
      <c r="L46" s="3">
        <f t="array" aca="1" ref="L46" ca="1">INDIRECT("'"&amp;$A46&amp;"'!I14")</f>
        <v>0</v>
      </c>
      <c r="M46" s="3">
        <f t="array" aca="1" ref="M46" ca="1">INDIRECT("'"&amp;$A46&amp;"'!J14")</f>
        <v>0</v>
      </c>
      <c r="N46" s="3">
        <f t="array" aca="1" ref="N46" ca="1">INDIRECT("'"&amp;$A46&amp;"'!K14")</f>
        <v>0</v>
      </c>
      <c r="O46" s="3">
        <f t="array" aca="1" ref="O46" ca="1">INDIRECT("'"&amp;$A46&amp;"'!L14")</f>
        <v>0</v>
      </c>
      <c r="P46" s="3">
        <f t="array" aca="1" ref="P46" ca="1">INDIRECT("'"&amp;$A46&amp;"'!M14")</f>
        <v>0</v>
      </c>
      <c r="Q46" s="3">
        <f t="array" aca="1" ref="Q46" ca="1">INDIRECT("'"&amp;$A46&amp;"'!N14")</f>
        <v>0</v>
      </c>
      <c r="R46" s="3">
        <f t="array" aca="1" ref="R46" ca="1">INDIRECT("'"&amp;$A46&amp;"'!O14")</f>
        <v>0</v>
      </c>
      <c r="S46" s="3">
        <f t="array" aca="1" ref="S46" ca="1">INDIRECT("'"&amp;$A46&amp;"'!P14")</f>
        <v>0</v>
      </c>
      <c r="T46" s="3">
        <f t="array" aca="1" ref="T46" ca="1">INDIRECT("'"&amp;$A46&amp;"'!Q14")</f>
        <v>0</v>
      </c>
      <c r="U46" s="3">
        <f t="array" aca="1" ref="U46" ca="1">INDIRECT("'"&amp;$A46&amp;"'!R14")</f>
        <v>0</v>
      </c>
      <c r="V46" s="3">
        <f t="array" aca="1" ref="V46" ca="1">INDIRECT("'"&amp;$A46&amp;"'!S14")</f>
        <v>0</v>
      </c>
      <c r="W46" s="3">
        <f t="array" aca="1" ref="W46" ca="1">INDIRECT("'"&amp;$A46&amp;"'!T14")</f>
        <v>0</v>
      </c>
      <c r="X46" s="3">
        <f t="array" aca="1" ref="X46" ca="1">INDIRECT("'"&amp;$A46&amp;"'!U14")</f>
        <v>0</v>
      </c>
      <c r="Y46" s="3">
        <f t="array" aca="1" ref="Y46" ca="1">INDIRECT("'"&amp;$A46&amp;"'!V14")</f>
        <v>0</v>
      </c>
      <c r="Z46" s="3">
        <f t="array" aca="1" ref="Z46" ca="1">INDIRECT("'"&amp;$A46&amp;"'!W14")</f>
        <v>0</v>
      </c>
      <c r="AA46" s="3">
        <f t="array" aca="1" ref="AA46" ca="1">INDIRECT("'"&amp;$A46&amp;"'!X14")</f>
        <v>0</v>
      </c>
      <c r="AB46" s="3">
        <f t="array" aca="1" ref="AB46" ca="1">INDIRECT("'"&amp;$A46&amp;"'!Y14")</f>
        <v>0</v>
      </c>
      <c r="AC46" s="3">
        <f t="array" aca="1" ref="AC46" ca="1">INDIRECT("'"&amp;$A46&amp;"'!Z14")</f>
        <v>0</v>
      </c>
      <c r="AD46" s="32">
        <f t="array" aca="1" ref="AD46" ca="1">INDIRECT("'"&amp;$A46&amp;"'!AA14")</f>
        <v>0</v>
      </c>
      <c r="AE46" s="83">
        <f t="array" aca="1" ref="AE46" ca="1">INDIRECT("'"&amp;$A45&amp;"'!J4")</f>
        <v>0</v>
      </c>
      <c r="AF46" s="53"/>
    </row>
    <row r="47" spans="1:32">
      <c r="A47" s="58">
        <v>16</v>
      </c>
      <c r="B47" s="105">
        <f>INDEX(data!$I$2:$I$91,MATCH(A47*1,data!$G$2:$G$91,0))</f>
        <v>46200</v>
      </c>
      <c r="C47" s="66" t="str">
        <f>HYPERLINK("#'" &amp; A47 &amp; "'!A1", "编辑")</f>
        <v>编辑</v>
      </c>
      <c r="D47" s="54" t="s">
        <v>6</v>
      </c>
      <c r="E47" s="81">
        <f t="array" aca="1" ref="E47" ca="1">INDIRECT("'"&amp;$A48&amp;"'!I2")</f>
        <v>18</v>
      </c>
      <c r="F47" s="29">
        <f t="array" aca="1" ref="F47" ca="1">INDIRECT("'"&amp;$A47&amp;"'!C8")</f>
        <v>0</v>
      </c>
      <c r="G47" s="30">
        <f t="array" aca="1" ref="G47" ca="1">INDIRECT("'"&amp;$A47&amp;"'!D8")</f>
        <v>0</v>
      </c>
      <c r="H47" s="30">
        <f t="array" aca="1" ref="H47" ca="1">INDIRECT("'"&amp;$A47&amp;"'!E8")</f>
        <v>0</v>
      </c>
      <c r="I47" s="30">
        <f t="array" aca="1" ref="I47" ca="1">INDIRECT("'"&amp;$A47&amp;"'!F8")</f>
        <v>0</v>
      </c>
      <c r="J47" s="30">
        <f t="array" aca="1" ref="J47" ca="1">INDIRECT("'"&amp;$A47&amp;"'!G8")</f>
        <v>0</v>
      </c>
      <c r="K47" s="30">
        <f t="array" aca="1" ref="K47" ca="1">INDIRECT("'"&amp;$A47&amp;"'!H8")</f>
        <v>0</v>
      </c>
      <c r="L47" s="30">
        <f t="array" aca="1" ref="L47" ca="1">INDIRECT("'"&amp;$A47&amp;"'!I8")</f>
        <v>0</v>
      </c>
      <c r="M47" s="30">
        <f t="array" aca="1" ref="M47" ca="1">INDIRECT("'"&amp;$A47&amp;"'!J8")</f>
        <v>0</v>
      </c>
      <c r="N47" s="30">
        <f t="array" aca="1" ref="N47" ca="1">INDIRECT("'"&amp;$A47&amp;"'!K8")</f>
        <v>0</v>
      </c>
      <c r="O47" s="30">
        <f t="array" aca="1" ref="O47" ca="1">INDIRECT("'"&amp;$A47&amp;"'!L8")</f>
        <v>0</v>
      </c>
      <c r="P47" s="30">
        <f t="array" aca="1" ref="P47" ca="1">INDIRECT("'"&amp;$A47&amp;"'!M8")</f>
        <v>0</v>
      </c>
      <c r="Q47" s="30">
        <f t="array" aca="1" ref="Q47" ca="1">INDIRECT("'"&amp;$A47&amp;"'!N8")</f>
        <v>0</v>
      </c>
      <c r="R47" s="30">
        <f t="array" aca="1" ref="R47" ca="1">INDIRECT("'"&amp;$A47&amp;"'!O8")</f>
        <v>0</v>
      </c>
      <c r="S47" s="30">
        <f t="array" aca="1" ref="S47" ca="1">INDIRECT("'"&amp;$A47&amp;"'!P8")</f>
        <v>0</v>
      </c>
      <c r="T47" s="30">
        <f t="array" aca="1" ref="T47" ca="1">INDIRECT("'"&amp;$A47&amp;"'!Q8")</f>
        <v>0</v>
      </c>
      <c r="U47" s="30">
        <f t="array" aca="1" ref="U47" ca="1">INDIRECT("'"&amp;$A47&amp;"'!R8")</f>
        <v>0</v>
      </c>
      <c r="V47" s="30">
        <f t="array" aca="1" ref="V47" ca="1">INDIRECT("'"&amp;$A47&amp;"'!S8")</f>
        <v>0</v>
      </c>
      <c r="W47" s="30">
        <f t="array" aca="1" ref="W47" ca="1">INDIRECT("'"&amp;$A47&amp;"'!T8")</f>
        <v>0</v>
      </c>
      <c r="X47" s="30">
        <f t="array" aca="1" ref="X47" ca="1">INDIRECT("'"&amp;$A47&amp;"'!U8")</f>
        <v>0</v>
      </c>
      <c r="Y47" s="30">
        <f t="array" aca="1" ref="Y47" ca="1">INDIRECT("'"&amp;$A47&amp;"'!V8")</f>
        <v>0</v>
      </c>
      <c r="Z47" s="30">
        <f t="array" aca="1" ref="Z47" ca="1">INDIRECT("'"&amp;$A47&amp;"'!W8")</f>
        <v>0</v>
      </c>
      <c r="AA47" s="30">
        <f t="array" aca="1" ref="AA47" ca="1">INDIRECT("'"&amp;$A47&amp;"'!X8")</f>
        <v>0</v>
      </c>
      <c r="AB47" s="30">
        <f t="array" aca="1" ref="AB47" ca="1">INDIRECT("'"&amp;$A47&amp;"'!Y8")</f>
        <v>0</v>
      </c>
      <c r="AC47" s="30">
        <f t="array" aca="1" ref="AC47" ca="1">INDIRECT("'"&amp;$A47&amp;"'!Z8")</f>
        <v>0</v>
      </c>
      <c r="AD47" s="31">
        <f t="array" aca="1" ref="AD47" ca="1">INDIRECT("'"&amp;$A47&amp;"'!AA8")</f>
        <v>0</v>
      </c>
      <c r="AE47" s="81">
        <f t="array" aca="1" ref="AE47" ca="1">INDIRECT("'"&amp;$A48&amp;"'!J2")</f>
        <v>0</v>
      </c>
      <c r="AF47" s="53" t="str">
        <f t="array" aca="1" ref="AF47" ca="1">INDIRECT("'"&amp;$A48&amp;"'!AD1")</f>
        <v/>
      </c>
    </row>
    <row r="48" spans="1:32">
      <c r="A48" s="58">
        <v>16</v>
      </c>
      <c r="B48" s="106"/>
      <c r="C48" s="67" t="str">
        <f t="array" aca="1" ref="C48" ca="1">CONCATENATE("粮 ",INDIRECT("'"&amp;$A48&amp;"'!D4"))</f>
        <v>粮 30800</v>
      </c>
      <c r="D48" s="55" t="s">
        <v>7</v>
      </c>
      <c r="E48" s="82">
        <f t="array" aca="1" ref="E48" ca="1">INDIRECT("'"&amp;$A48&amp;"'!I3")</f>
        <v>18</v>
      </c>
      <c r="F48" s="52">
        <f t="array" aca="1" ref="F48" ca="1">INDIRECT("'"&amp;$A48&amp;"'!C11")</f>
        <v>0</v>
      </c>
      <c r="G48" s="3">
        <f t="array" aca="1" ref="G48" ca="1">INDIRECT("'"&amp;$A48&amp;"'!D11")</f>
        <v>0</v>
      </c>
      <c r="H48" s="3">
        <f t="array" aca="1" ref="H48" ca="1">INDIRECT("'"&amp;$A48&amp;"'!E11")</f>
        <v>0</v>
      </c>
      <c r="I48" s="3">
        <f t="array" aca="1" ref="I48" ca="1">INDIRECT("'"&amp;$A48&amp;"'!F11")</f>
        <v>0</v>
      </c>
      <c r="J48" s="3">
        <f t="array" aca="1" ref="J48" ca="1">INDIRECT("'"&amp;$A48&amp;"'!G11")</f>
        <v>0</v>
      </c>
      <c r="K48" s="3">
        <f t="array" aca="1" ref="K48" ca="1">INDIRECT("'"&amp;$A48&amp;"'!H11")</f>
        <v>0</v>
      </c>
      <c r="L48" s="3">
        <f t="array" aca="1" ref="L48" ca="1">INDIRECT("'"&amp;$A48&amp;"'!I11")</f>
        <v>0</v>
      </c>
      <c r="M48" s="3">
        <f t="array" aca="1" ref="M48" ca="1">INDIRECT("'"&amp;$A48&amp;"'!J11")</f>
        <v>0</v>
      </c>
      <c r="N48" s="3">
        <f t="array" aca="1" ref="N48" ca="1">INDIRECT("'"&amp;$A48&amp;"'!K11")</f>
        <v>0</v>
      </c>
      <c r="O48" s="3">
        <f t="array" aca="1" ref="O48" ca="1">INDIRECT("'"&amp;$A48&amp;"'!L11")</f>
        <v>0</v>
      </c>
      <c r="P48" s="3">
        <f t="array" aca="1" ref="P48" ca="1">INDIRECT("'"&amp;$A48&amp;"'!M11")</f>
        <v>0</v>
      </c>
      <c r="Q48" s="3">
        <f t="array" aca="1" ref="Q48" ca="1">INDIRECT("'"&amp;$A48&amp;"'!N11")</f>
        <v>0</v>
      </c>
      <c r="R48" s="3">
        <f t="array" aca="1" ref="R48" ca="1">INDIRECT("'"&amp;$A48&amp;"'!O11")</f>
        <v>0</v>
      </c>
      <c r="S48" s="3">
        <f t="array" aca="1" ref="S48" ca="1">INDIRECT("'"&amp;$A48&amp;"'!P11")</f>
        <v>0</v>
      </c>
      <c r="T48" s="3">
        <f t="array" aca="1" ref="T48" ca="1">INDIRECT("'"&amp;$A48&amp;"'!Q11")</f>
        <v>0</v>
      </c>
      <c r="U48" s="3">
        <f t="array" aca="1" ref="U48" ca="1">INDIRECT("'"&amp;$A48&amp;"'!R11")</f>
        <v>0</v>
      </c>
      <c r="V48" s="3">
        <f t="array" aca="1" ref="V48" ca="1">INDIRECT("'"&amp;$A48&amp;"'!S11")</f>
        <v>0</v>
      </c>
      <c r="W48" s="3">
        <f t="array" aca="1" ref="W48" ca="1">INDIRECT("'"&amp;$A48&amp;"'!T11")</f>
        <v>0</v>
      </c>
      <c r="X48" s="3">
        <f t="array" aca="1" ref="X48" ca="1">INDIRECT("'"&amp;$A48&amp;"'!U11")</f>
        <v>0</v>
      </c>
      <c r="Y48" s="3">
        <f t="array" aca="1" ref="Y48" ca="1">INDIRECT("'"&amp;$A48&amp;"'!V11")</f>
        <v>0</v>
      </c>
      <c r="Z48" s="3">
        <f t="array" aca="1" ref="Z48" ca="1">INDIRECT("'"&amp;$A48&amp;"'!W11")</f>
        <v>0</v>
      </c>
      <c r="AA48" s="3">
        <f t="array" aca="1" ref="AA48" ca="1">INDIRECT("'"&amp;$A48&amp;"'!X11")</f>
        <v>0</v>
      </c>
      <c r="AB48" s="3">
        <f t="array" aca="1" ref="AB48" ca="1">INDIRECT("'"&amp;$A48&amp;"'!Y11")</f>
        <v>0</v>
      </c>
      <c r="AC48" s="3">
        <f t="array" aca="1" ref="AC48" ca="1">INDIRECT("'"&amp;$A48&amp;"'!Z11")</f>
        <v>0</v>
      </c>
      <c r="AD48" s="32">
        <f t="array" aca="1" ref="AD48" ca="1">INDIRECT("'"&amp;$A48&amp;"'!AA11")</f>
        <v>0</v>
      </c>
      <c r="AE48" s="82">
        <f t="array" aca="1" ref="AE48" ca="1">INDIRECT("'"&amp;$A48&amp;"'!J3")</f>
        <v>0</v>
      </c>
      <c r="AF48" s="53" t="str">
        <f t="array" aca="1" ref="AF48" ca="1">INDIRECT("'"&amp;$A48&amp;"'!AC1")</f>
        <v/>
      </c>
    </row>
    <row r="49" spans="1:32" ht="15.75" customHeight="1" thickBot="1">
      <c r="A49" s="58">
        <v>16</v>
      </c>
      <c r="B49" s="107"/>
      <c r="C49" s="77" t="str">
        <f t="array" aca="1" ref="C49" ca="1">CONCATENATE("分 ",INDIRECT("'"&amp;$A48&amp;"'!D6"))</f>
        <v>分 0</v>
      </c>
      <c r="D49" s="56" t="s">
        <v>8</v>
      </c>
      <c r="E49" s="83">
        <f t="array" aca="1" ref="E49" ca="1">INDIRECT("'"&amp;$A48&amp;"'!I4")</f>
        <v>18</v>
      </c>
      <c r="F49" s="52">
        <f t="array" aca="1" ref="F49" ca="1">INDIRECT("'"&amp;$A49&amp;"'!C14")</f>
        <v>0</v>
      </c>
      <c r="G49" s="3">
        <f t="array" aca="1" ref="G49" ca="1">INDIRECT("'"&amp;$A49&amp;"'!D14")</f>
        <v>0</v>
      </c>
      <c r="H49" s="3">
        <f t="array" aca="1" ref="H49" ca="1">INDIRECT("'"&amp;$A49&amp;"'!E14")</f>
        <v>0</v>
      </c>
      <c r="I49" s="3">
        <f t="array" aca="1" ref="I49" ca="1">INDIRECT("'"&amp;$A49&amp;"'!F14")</f>
        <v>0</v>
      </c>
      <c r="J49" s="3">
        <f t="array" aca="1" ref="J49" ca="1">INDIRECT("'"&amp;$A49&amp;"'!G14")</f>
        <v>0</v>
      </c>
      <c r="K49" s="3">
        <f t="array" aca="1" ref="K49" ca="1">INDIRECT("'"&amp;$A49&amp;"'!H14")</f>
        <v>0</v>
      </c>
      <c r="L49" s="3">
        <f t="array" aca="1" ref="L49" ca="1">INDIRECT("'"&amp;$A49&amp;"'!I14")</f>
        <v>0</v>
      </c>
      <c r="M49" s="3">
        <f t="array" aca="1" ref="M49" ca="1">INDIRECT("'"&amp;$A49&amp;"'!J14")</f>
        <v>0</v>
      </c>
      <c r="N49" s="3">
        <f t="array" aca="1" ref="N49" ca="1">INDIRECT("'"&amp;$A49&amp;"'!K14")</f>
        <v>0</v>
      </c>
      <c r="O49" s="3">
        <f t="array" aca="1" ref="O49" ca="1">INDIRECT("'"&amp;$A49&amp;"'!L14")</f>
        <v>0</v>
      </c>
      <c r="P49" s="3">
        <f t="array" aca="1" ref="P49" ca="1">INDIRECT("'"&amp;$A49&amp;"'!M14")</f>
        <v>0</v>
      </c>
      <c r="Q49" s="3">
        <f t="array" aca="1" ref="Q49" ca="1">INDIRECT("'"&amp;$A49&amp;"'!N14")</f>
        <v>0</v>
      </c>
      <c r="R49" s="3">
        <f t="array" aca="1" ref="R49" ca="1">INDIRECT("'"&amp;$A49&amp;"'!O14")</f>
        <v>0</v>
      </c>
      <c r="S49" s="3">
        <f t="array" aca="1" ref="S49" ca="1">INDIRECT("'"&amp;$A49&amp;"'!P14")</f>
        <v>0</v>
      </c>
      <c r="T49" s="3">
        <f t="array" aca="1" ref="T49" ca="1">INDIRECT("'"&amp;$A49&amp;"'!Q14")</f>
        <v>0</v>
      </c>
      <c r="U49" s="3">
        <f t="array" aca="1" ref="U49" ca="1">INDIRECT("'"&amp;$A49&amp;"'!R14")</f>
        <v>0</v>
      </c>
      <c r="V49" s="3">
        <f t="array" aca="1" ref="V49" ca="1">INDIRECT("'"&amp;$A49&amp;"'!S14")</f>
        <v>0</v>
      </c>
      <c r="W49" s="3">
        <f t="array" aca="1" ref="W49" ca="1">INDIRECT("'"&amp;$A49&amp;"'!T14")</f>
        <v>0</v>
      </c>
      <c r="X49" s="3">
        <f t="array" aca="1" ref="X49" ca="1">INDIRECT("'"&amp;$A49&amp;"'!U14")</f>
        <v>0</v>
      </c>
      <c r="Y49" s="3">
        <f t="array" aca="1" ref="Y49" ca="1">INDIRECT("'"&amp;$A49&amp;"'!V14")</f>
        <v>0</v>
      </c>
      <c r="Z49" s="3">
        <f t="array" aca="1" ref="Z49" ca="1">INDIRECT("'"&amp;$A49&amp;"'!W14")</f>
        <v>0</v>
      </c>
      <c r="AA49" s="3">
        <f t="array" aca="1" ref="AA49" ca="1">INDIRECT("'"&amp;$A49&amp;"'!X14")</f>
        <v>0</v>
      </c>
      <c r="AB49" s="3">
        <f t="array" aca="1" ref="AB49" ca="1">INDIRECT("'"&amp;$A49&amp;"'!Y14")</f>
        <v>0</v>
      </c>
      <c r="AC49" s="3">
        <f t="array" aca="1" ref="AC49" ca="1">INDIRECT("'"&amp;$A49&amp;"'!Z14")</f>
        <v>0</v>
      </c>
      <c r="AD49" s="32">
        <f t="array" aca="1" ref="AD49" ca="1">INDIRECT("'"&amp;$A49&amp;"'!AA14")</f>
        <v>0</v>
      </c>
      <c r="AE49" s="83">
        <f t="array" aca="1" ref="AE49" ca="1">INDIRECT("'"&amp;$A48&amp;"'!J4")</f>
        <v>0</v>
      </c>
      <c r="AF49" s="53"/>
    </row>
    <row r="50" spans="1:32">
      <c r="A50" s="58">
        <v>17</v>
      </c>
      <c r="B50" s="105">
        <f>INDEX(data!$I$2:$I$91,MATCH(A50*1,data!$G$2:$G$91,0))</f>
        <v>46201</v>
      </c>
      <c r="C50" s="66" t="str">
        <f>HYPERLINK("#'" &amp; A50 &amp; "'!A1", "编辑")</f>
        <v>编辑</v>
      </c>
      <c r="D50" s="54" t="s">
        <v>6</v>
      </c>
      <c r="E50" s="81">
        <f t="array" aca="1" ref="E50" ca="1">INDIRECT("'"&amp;$A51&amp;"'!I2")</f>
        <v>18</v>
      </c>
      <c r="F50" s="29">
        <f t="array" aca="1" ref="F50" ca="1">INDIRECT("'"&amp;$A50&amp;"'!C8")</f>
        <v>0</v>
      </c>
      <c r="G50" s="30">
        <f t="array" aca="1" ref="G50" ca="1">INDIRECT("'"&amp;$A50&amp;"'!D8")</f>
        <v>0</v>
      </c>
      <c r="H50" s="30">
        <f t="array" aca="1" ref="H50" ca="1">INDIRECT("'"&amp;$A50&amp;"'!E8")</f>
        <v>0</v>
      </c>
      <c r="I50" s="30">
        <f t="array" aca="1" ref="I50" ca="1">INDIRECT("'"&amp;$A50&amp;"'!F8")</f>
        <v>0</v>
      </c>
      <c r="J50" s="30">
        <f t="array" aca="1" ref="J50" ca="1">INDIRECT("'"&amp;$A50&amp;"'!G8")</f>
        <v>0</v>
      </c>
      <c r="K50" s="30">
        <f t="array" aca="1" ref="K50" ca="1">INDIRECT("'"&amp;$A50&amp;"'!H8")</f>
        <v>0</v>
      </c>
      <c r="L50" s="30">
        <f t="array" aca="1" ref="L50" ca="1">INDIRECT("'"&amp;$A50&amp;"'!I8")</f>
        <v>0</v>
      </c>
      <c r="M50" s="30">
        <f t="array" aca="1" ref="M50" ca="1">INDIRECT("'"&amp;$A50&amp;"'!J8")</f>
        <v>0</v>
      </c>
      <c r="N50" s="30">
        <f t="array" aca="1" ref="N50" ca="1">INDIRECT("'"&amp;$A50&amp;"'!K8")</f>
        <v>0</v>
      </c>
      <c r="O50" s="30">
        <f t="array" aca="1" ref="O50" ca="1">INDIRECT("'"&amp;$A50&amp;"'!L8")</f>
        <v>0</v>
      </c>
      <c r="P50" s="30">
        <f t="array" aca="1" ref="P50" ca="1">INDIRECT("'"&amp;$A50&amp;"'!M8")</f>
        <v>0</v>
      </c>
      <c r="Q50" s="30">
        <f t="array" aca="1" ref="Q50" ca="1">INDIRECT("'"&amp;$A50&amp;"'!N8")</f>
        <v>0</v>
      </c>
      <c r="R50" s="30">
        <f t="array" aca="1" ref="R50" ca="1">INDIRECT("'"&amp;$A50&amp;"'!O8")</f>
        <v>0</v>
      </c>
      <c r="S50" s="30">
        <f t="array" aca="1" ref="S50" ca="1">INDIRECT("'"&amp;$A50&amp;"'!P8")</f>
        <v>0</v>
      </c>
      <c r="T50" s="30">
        <f t="array" aca="1" ref="T50" ca="1">INDIRECT("'"&amp;$A50&amp;"'!Q8")</f>
        <v>0</v>
      </c>
      <c r="U50" s="30">
        <f t="array" aca="1" ref="U50" ca="1">INDIRECT("'"&amp;$A50&amp;"'!R8")</f>
        <v>0</v>
      </c>
      <c r="V50" s="30">
        <f t="array" aca="1" ref="V50" ca="1">INDIRECT("'"&amp;$A50&amp;"'!S8")</f>
        <v>0</v>
      </c>
      <c r="W50" s="30">
        <f t="array" aca="1" ref="W50" ca="1">INDIRECT("'"&amp;$A50&amp;"'!T8")</f>
        <v>0</v>
      </c>
      <c r="X50" s="30">
        <f t="array" aca="1" ref="X50" ca="1">INDIRECT("'"&amp;$A50&amp;"'!U8")</f>
        <v>0</v>
      </c>
      <c r="Y50" s="30">
        <f t="array" aca="1" ref="Y50" ca="1">INDIRECT("'"&amp;$A50&amp;"'!V8")</f>
        <v>0</v>
      </c>
      <c r="Z50" s="30">
        <f t="array" aca="1" ref="Z50" ca="1">INDIRECT("'"&amp;$A50&amp;"'!W8")</f>
        <v>0</v>
      </c>
      <c r="AA50" s="30">
        <f t="array" aca="1" ref="AA50" ca="1">INDIRECT("'"&amp;$A50&amp;"'!X8")</f>
        <v>0</v>
      </c>
      <c r="AB50" s="30">
        <f t="array" aca="1" ref="AB50" ca="1">INDIRECT("'"&amp;$A50&amp;"'!Y8")</f>
        <v>0</v>
      </c>
      <c r="AC50" s="30">
        <f t="array" aca="1" ref="AC50" ca="1">INDIRECT("'"&amp;$A50&amp;"'!Z8")</f>
        <v>0</v>
      </c>
      <c r="AD50" s="31">
        <f t="array" aca="1" ref="AD50" ca="1">INDIRECT("'"&amp;$A50&amp;"'!AA8")</f>
        <v>0</v>
      </c>
      <c r="AE50" s="81">
        <f t="array" aca="1" ref="AE50" ca="1">INDIRECT("'"&amp;$A51&amp;"'!J2")</f>
        <v>0</v>
      </c>
      <c r="AF50" s="53" t="str">
        <f t="array" aca="1" ref="AF50" ca="1">INDIRECT("'"&amp;$A51&amp;"'!AD1")</f>
        <v/>
      </c>
    </row>
    <row r="51" spans="1:32">
      <c r="A51" s="58">
        <v>17</v>
      </c>
      <c r="B51" s="106"/>
      <c r="C51" s="67" t="str">
        <f t="array" aca="1" ref="C51" ca="1">CONCATENATE("粮 ",INDIRECT("'"&amp;$A51&amp;"'!D4"))</f>
        <v>粮 32400</v>
      </c>
      <c r="D51" s="55" t="s">
        <v>7</v>
      </c>
      <c r="E51" s="82">
        <f t="array" aca="1" ref="E51" ca="1">INDIRECT("'"&amp;$A51&amp;"'!I3")</f>
        <v>18</v>
      </c>
      <c r="F51" s="52">
        <f t="array" aca="1" ref="F51" ca="1">INDIRECT("'"&amp;$A51&amp;"'!C11")</f>
        <v>0</v>
      </c>
      <c r="G51" s="3">
        <f t="array" aca="1" ref="G51" ca="1">INDIRECT("'"&amp;$A51&amp;"'!D11")</f>
        <v>0</v>
      </c>
      <c r="H51" s="3">
        <f t="array" aca="1" ref="H51" ca="1">INDIRECT("'"&amp;$A51&amp;"'!E11")</f>
        <v>0</v>
      </c>
      <c r="I51" s="3">
        <f t="array" aca="1" ref="I51" ca="1">INDIRECT("'"&amp;$A51&amp;"'!F11")</f>
        <v>0</v>
      </c>
      <c r="J51" s="3">
        <f t="array" aca="1" ref="J51" ca="1">INDIRECT("'"&amp;$A51&amp;"'!G11")</f>
        <v>0</v>
      </c>
      <c r="K51" s="3">
        <f t="array" aca="1" ref="K51" ca="1">INDIRECT("'"&amp;$A51&amp;"'!H11")</f>
        <v>0</v>
      </c>
      <c r="L51" s="3">
        <f t="array" aca="1" ref="L51" ca="1">INDIRECT("'"&amp;$A51&amp;"'!I11")</f>
        <v>0</v>
      </c>
      <c r="M51" s="3">
        <f t="array" aca="1" ref="M51" ca="1">INDIRECT("'"&amp;$A51&amp;"'!J11")</f>
        <v>0</v>
      </c>
      <c r="N51" s="3">
        <f t="array" aca="1" ref="N51" ca="1">INDIRECT("'"&amp;$A51&amp;"'!K11")</f>
        <v>0</v>
      </c>
      <c r="O51" s="3">
        <f t="array" aca="1" ref="O51" ca="1">INDIRECT("'"&amp;$A51&amp;"'!L11")</f>
        <v>0</v>
      </c>
      <c r="P51" s="3">
        <f t="array" aca="1" ref="P51" ca="1">INDIRECT("'"&amp;$A51&amp;"'!M11")</f>
        <v>0</v>
      </c>
      <c r="Q51" s="3">
        <f t="array" aca="1" ref="Q51" ca="1">INDIRECT("'"&amp;$A51&amp;"'!N11")</f>
        <v>0</v>
      </c>
      <c r="R51" s="3">
        <f t="array" aca="1" ref="R51" ca="1">INDIRECT("'"&amp;$A51&amp;"'!O11")</f>
        <v>0</v>
      </c>
      <c r="S51" s="3">
        <f t="array" aca="1" ref="S51" ca="1">INDIRECT("'"&amp;$A51&amp;"'!P11")</f>
        <v>0</v>
      </c>
      <c r="T51" s="3">
        <f t="array" aca="1" ref="T51" ca="1">INDIRECT("'"&amp;$A51&amp;"'!Q11")</f>
        <v>0</v>
      </c>
      <c r="U51" s="3">
        <f t="array" aca="1" ref="U51" ca="1">INDIRECT("'"&amp;$A51&amp;"'!R11")</f>
        <v>0</v>
      </c>
      <c r="V51" s="3">
        <f t="array" aca="1" ref="V51" ca="1">INDIRECT("'"&amp;$A51&amp;"'!S11")</f>
        <v>0</v>
      </c>
      <c r="W51" s="3">
        <f t="array" aca="1" ref="W51" ca="1">INDIRECT("'"&amp;$A51&amp;"'!T11")</f>
        <v>0</v>
      </c>
      <c r="X51" s="3">
        <f t="array" aca="1" ref="X51" ca="1">INDIRECT("'"&amp;$A51&amp;"'!U11")</f>
        <v>0</v>
      </c>
      <c r="Y51" s="3">
        <f t="array" aca="1" ref="Y51" ca="1">INDIRECT("'"&amp;$A51&amp;"'!V11")</f>
        <v>0</v>
      </c>
      <c r="Z51" s="3">
        <f t="array" aca="1" ref="Z51" ca="1">INDIRECT("'"&amp;$A51&amp;"'!W11")</f>
        <v>0</v>
      </c>
      <c r="AA51" s="3">
        <f t="array" aca="1" ref="AA51" ca="1">INDIRECT("'"&amp;$A51&amp;"'!X11")</f>
        <v>0</v>
      </c>
      <c r="AB51" s="3">
        <f t="array" aca="1" ref="AB51" ca="1">INDIRECT("'"&amp;$A51&amp;"'!Y11")</f>
        <v>0</v>
      </c>
      <c r="AC51" s="3">
        <f t="array" aca="1" ref="AC51" ca="1">INDIRECT("'"&amp;$A51&amp;"'!Z11")</f>
        <v>0</v>
      </c>
      <c r="AD51" s="32">
        <f t="array" aca="1" ref="AD51" ca="1">INDIRECT("'"&amp;$A51&amp;"'!AA11")</f>
        <v>0</v>
      </c>
      <c r="AE51" s="82">
        <f t="array" aca="1" ref="AE51" ca="1">INDIRECT("'"&amp;$A51&amp;"'!J3")</f>
        <v>0</v>
      </c>
      <c r="AF51" s="53" t="str">
        <f t="array" aca="1" ref="AF51" ca="1">INDIRECT("'"&amp;$A51&amp;"'!AC1")</f>
        <v/>
      </c>
    </row>
    <row r="52" spans="1:32" ht="15.75" customHeight="1" thickBot="1">
      <c r="A52" s="58">
        <v>17</v>
      </c>
      <c r="B52" s="107"/>
      <c r="C52" s="77" t="str">
        <f t="array" aca="1" ref="C52" ca="1">CONCATENATE("分 ",INDIRECT("'"&amp;$A51&amp;"'!D6"))</f>
        <v>分 0</v>
      </c>
      <c r="D52" s="56" t="s">
        <v>8</v>
      </c>
      <c r="E52" s="83">
        <f t="array" aca="1" ref="E52" ca="1">INDIRECT("'"&amp;$A51&amp;"'!I4")</f>
        <v>18</v>
      </c>
      <c r="F52" s="52">
        <f t="array" aca="1" ref="F52" ca="1">INDIRECT("'"&amp;$A52&amp;"'!C14")</f>
        <v>0</v>
      </c>
      <c r="G52" s="3">
        <f t="array" aca="1" ref="G52" ca="1">INDIRECT("'"&amp;$A52&amp;"'!D14")</f>
        <v>0</v>
      </c>
      <c r="H52" s="3">
        <f t="array" aca="1" ref="H52" ca="1">INDIRECT("'"&amp;$A52&amp;"'!E14")</f>
        <v>0</v>
      </c>
      <c r="I52" s="3">
        <f t="array" aca="1" ref="I52" ca="1">INDIRECT("'"&amp;$A52&amp;"'!F14")</f>
        <v>0</v>
      </c>
      <c r="J52" s="3">
        <f t="array" aca="1" ref="J52" ca="1">INDIRECT("'"&amp;$A52&amp;"'!G14")</f>
        <v>0</v>
      </c>
      <c r="K52" s="3">
        <f t="array" aca="1" ref="K52" ca="1">INDIRECT("'"&amp;$A52&amp;"'!H14")</f>
        <v>0</v>
      </c>
      <c r="L52" s="3">
        <f t="array" aca="1" ref="L52" ca="1">INDIRECT("'"&amp;$A52&amp;"'!I14")</f>
        <v>0</v>
      </c>
      <c r="M52" s="3">
        <f t="array" aca="1" ref="M52" ca="1">INDIRECT("'"&amp;$A52&amp;"'!J14")</f>
        <v>0</v>
      </c>
      <c r="N52" s="3">
        <f t="array" aca="1" ref="N52" ca="1">INDIRECT("'"&amp;$A52&amp;"'!K14")</f>
        <v>0</v>
      </c>
      <c r="O52" s="3">
        <f t="array" aca="1" ref="O52" ca="1">INDIRECT("'"&amp;$A52&amp;"'!L14")</f>
        <v>0</v>
      </c>
      <c r="P52" s="3">
        <f t="array" aca="1" ref="P52" ca="1">INDIRECT("'"&amp;$A52&amp;"'!M14")</f>
        <v>0</v>
      </c>
      <c r="Q52" s="3">
        <f t="array" aca="1" ref="Q52" ca="1">INDIRECT("'"&amp;$A52&amp;"'!N14")</f>
        <v>0</v>
      </c>
      <c r="R52" s="3">
        <f t="array" aca="1" ref="R52" ca="1">INDIRECT("'"&amp;$A52&amp;"'!O14")</f>
        <v>0</v>
      </c>
      <c r="S52" s="3">
        <f t="array" aca="1" ref="S52" ca="1">INDIRECT("'"&amp;$A52&amp;"'!P14")</f>
        <v>0</v>
      </c>
      <c r="T52" s="3">
        <f t="array" aca="1" ref="T52" ca="1">INDIRECT("'"&amp;$A52&amp;"'!Q14")</f>
        <v>0</v>
      </c>
      <c r="U52" s="3">
        <f t="array" aca="1" ref="U52" ca="1">INDIRECT("'"&amp;$A52&amp;"'!R14")</f>
        <v>0</v>
      </c>
      <c r="V52" s="3">
        <f t="array" aca="1" ref="V52" ca="1">INDIRECT("'"&amp;$A52&amp;"'!S14")</f>
        <v>0</v>
      </c>
      <c r="W52" s="3">
        <f t="array" aca="1" ref="W52" ca="1">INDIRECT("'"&amp;$A52&amp;"'!T14")</f>
        <v>0</v>
      </c>
      <c r="X52" s="3">
        <f t="array" aca="1" ref="X52" ca="1">INDIRECT("'"&amp;$A52&amp;"'!U14")</f>
        <v>0</v>
      </c>
      <c r="Y52" s="3">
        <f t="array" aca="1" ref="Y52" ca="1">INDIRECT("'"&amp;$A52&amp;"'!V14")</f>
        <v>0</v>
      </c>
      <c r="Z52" s="3">
        <f t="array" aca="1" ref="Z52" ca="1">INDIRECT("'"&amp;$A52&amp;"'!W14")</f>
        <v>0</v>
      </c>
      <c r="AA52" s="3">
        <f t="array" aca="1" ref="AA52" ca="1">INDIRECT("'"&amp;$A52&amp;"'!X14")</f>
        <v>0</v>
      </c>
      <c r="AB52" s="3">
        <f t="array" aca="1" ref="AB52" ca="1">INDIRECT("'"&amp;$A52&amp;"'!Y14")</f>
        <v>0</v>
      </c>
      <c r="AC52" s="3">
        <f t="array" aca="1" ref="AC52" ca="1">INDIRECT("'"&amp;$A52&amp;"'!Z14")</f>
        <v>0</v>
      </c>
      <c r="AD52" s="32">
        <f t="array" aca="1" ref="AD52" ca="1">INDIRECT("'"&amp;$A52&amp;"'!AA14")</f>
        <v>0</v>
      </c>
      <c r="AE52" s="83">
        <f t="array" aca="1" ref="AE52" ca="1">INDIRECT("'"&amp;$A51&amp;"'!J4")</f>
        <v>0</v>
      </c>
      <c r="AF52" s="53"/>
    </row>
    <row r="53" spans="1:32">
      <c r="A53" s="58">
        <v>18</v>
      </c>
      <c r="B53" s="105">
        <f>INDEX(data!$I$2:$I$91,MATCH(A53*1,data!$G$2:$G$91,0))</f>
        <v>46202</v>
      </c>
      <c r="C53" s="66" t="str">
        <f>HYPERLINK("#'" &amp; A53 &amp; "'!A1", "编辑")</f>
        <v>编辑</v>
      </c>
      <c r="D53" s="54" t="s">
        <v>6</v>
      </c>
      <c r="E53" s="81">
        <f t="array" aca="1" ref="E53" ca="1">INDIRECT("'"&amp;$A54&amp;"'!I2")</f>
        <v>18</v>
      </c>
      <c r="F53" s="29">
        <f t="array" aca="1" ref="F53" ca="1">INDIRECT("'"&amp;$A53&amp;"'!C8")</f>
        <v>0</v>
      </c>
      <c r="G53" s="30">
        <f t="array" aca="1" ref="G53" ca="1">INDIRECT("'"&amp;$A53&amp;"'!D8")</f>
        <v>0</v>
      </c>
      <c r="H53" s="30">
        <f t="array" aca="1" ref="H53" ca="1">INDIRECT("'"&amp;$A53&amp;"'!E8")</f>
        <v>0</v>
      </c>
      <c r="I53" s="30">
        <f t="array" aca="1" ref="I53" ca="1">INDIRECT("'"&amp;$A53&amp;"'!F8")</f>
        <v>0</v>
      </c>
      <c r="J53" s="30">
        <f t="array" aca="1" ref="J53" ca="1">INDIRECT("'"&amp;$A53&amp;"'!G8")</f>
        <v>0</v>
      </c>
      <c r="K53" s="30">
        <f t="array" aca="1" ref="K53" ca="1">INDIRECT("'"&amp;$A53&amp;"'!H8")</f>
        <v>0</v>
      </c>
      <c r="L53" s="30">
        <f t="array" aca="1" ref="L53" ca="1">INDIRECT("'"&amp;$A53&amp;"'!I8")</f>
        <v>0</v>
      </c>
      <c r="M53" s="30">
        <f t="array" aca="1" ref="M53" ca="1">INDIRECT("'"&amp;$A53&amp;"'!J8")</f>
        <v>0</v>
      </c>
      <c r="N53" s="30">
        <f t="array" aca="1" ref="N53" ca="1">INDIRECT("'"&amp;$A53&amp;"'!K8")</f>
        <v>0</v>
      </c>
      <c r="O53" s="30">
        <f t="array" aca="1" ref="O53" ca="1">INDIRECT("'"&amp;$A53&amp;"'!L8")</f>
        <v>0</v>
      </c>
      <c r="P53" s="30">
        <f t="array" aca="1" ref="P53" ca="1">INDIRECT("'"&amp;$A53&amp;"'!M8")</f>
        <v>0</v>
      </c>
      <c r="Q53" s="30">
        <f t="array" aca="1" ref="Q53" ca="1">INDIRECT("'"&amp;$A53&amp;"'!N8")</f>
        <v>0</v>
      </c>
      <c r="R53" s="30">
        <f t="array" aca="1" ref="R53" ca="1">INDIRECT("'"&amp;$A53&amp;"'!O8")</f>
        <v>0</v>
      </c>
      <c r="S53" s="30">
        <f t="array" aca="1" ref="S53" ca="1">INDIRECT("'"&amp;$A53&amp;"'!P8")</f>
        <v>0</v>
      </c>
      <c r="T53" s="30">
        <f t="array" aca="1" ref="T53" ca="1">INDIRECT("'"&amp;$A53&amp;"'!Q8")</f>
        <v>0</v>
      </c>
      <c r="U53" s="30">
        <f t="array" aca="1" ref="U53" ca="1">INDIRECT("'"&amp;$A53&amp;"'!R8")</f>
        <v>0</v>
      </c>
      <c r="V53" s="30">
        <f t="array" aca="1" ref="V53" ca="1">INDIRECT("'"&amp;$A53&amp;"'!S8")</f>
        <v>0</v>
      </c>
      <c r="W53" s="30">
        <f t="array" aca="1" ref="W53" ca="1">INDIRECT("'"&amp;$A53&amp;"'!T8")</f>
        <v>0</v>
      </c>
      <c r="X53" s="30">
        <f t="array" aca="1" ref="X53" ca="1">INDIRECT("'"&amp;$A53&amp;"'!U8")</f>
        <v>0</v>
      </c>
      <c r="Y53" s="30">
        <f t="array" aca="1" ref="Y53" ca="1">INDIRECT("'"&amp;$A53&amp;"'!V8")</f>
        <v>0</v>
      </c>
      <c r="Z53" s="30">
        <f t="array" aca="1" ref="Z53" ca="1">INDIRECT("'"&amp;$A53&amp;"'!W8")</f>
        <v>0</v>
      </c>
      <c r="AA53" s="30">
        <f t="array" aca="1" ref="AA53" ca="1">INDIRECT("'"&amp;$A53&amp;"'!X8")</f>
        <v>0</v>
      </c>
      <c r="AB53" s="30">
        <f t="array" aca="1" ref="AB53" ca="1">INDIRECT("'"&amp;$A53&amp;"'!Y8")</f>
        <v>0</v>
      </c>
      <c r="AC53" s="30">
        <f t="array" aca="1" ref="AC53" ca="1">INDIRECT("'"&amp;$A53&amp;"'!Z8")</f>
        <v>0</v>
      </c>
      <c r="AD53" s="31">
        <f t="array" aca="1" ref="AD53" ca="1">INDIRECT("'"&amp;$A53&amp;"'!AA8")</f>
        <v>0</v>
      </c>
      <c r="AE53" s="81">
        <f t="array" aca="1" ref="AE53" ca="1">INDIRECT("'"&amp;$A54&amp;"'!J2")</f>
        <v>0</v>
      </c>
      <c r="AF53" s="53" t="str">
        <f t="array" aca="1" ref="AF53" ca="1">INDIRECT("'"&amp;$A54&amp;"'!AD1")</f>
        <v/>
      </c>
    </row>
    <row r="54" spans="1:32">
      <c r="A54" s="58">
        <v>18</v>
      </c>
      <c r="B54" s="106"/>
      <c r="C54" s="67" t="str">
        <f t="array" aca="1" ref="C54" ca="1">CONCATENATE("粮 ",INDIRECT("'"&amp;$A54&amp;"'!D4"))</f>
        <v>粮 34000</v>
      </c>
      <c r="D54" s="55" t="s">
        <v>7</v>
      </c>
      <c r="E54" s="82">
        <f t="array" aca="1" ref="E54" ca="1">INDIRECT("'"&amp;$A54&amp;"'!I3")</f>
        <v>18</v>
      </c>
      <c r="F54" s="52">
        <f t="array" aca="1" ref="F54" ca="1">INDIRECT("'"&amp;$A54&amp;"'!C11")</f>
        <v>0</v>
      </c>
      <c r="G54" s="3">
        <f t="array" aca="1" ref="G54" ca="1">INDIRECT("'"&amp;$A54&amp;"'!D11")</f>
        <v>0</v>
      </c>
      <c r="H54" s="3">
        <f t="array" aca="1" ref="H54" ca="1">INDIRECT("'"&amp;$A54&amp;"'!E11")</f>
        <v>0</v>
      </c>
      <c r="I54" s="3">
        <f t="array" aca="1" ref="I54" ca="1">INDIRECT("'"&amp;$A54&amp;"'!F11")</f>
        <v>0</v>
      </c>
      <c r="J54" s="3">
        <f t="array" aca="1" ref="J54" ca="1">INDIRECT("'"&amp;$A54&amp;"'!G11")</f>
        <v>0</v>
      </c>
      <c r="K54" s="3">
        <f t="array" aca="1" ref="K54" ca="1">INDIRECT("'"&amp;$A54&amp;"'!H11")</f>
        <v>0</v>
      </c>
      <c r="L54" s="3">
        <f t="array" aca="1" ref="L54" ca="1">INDIRECT("'"&amp;$A54&amp;"'!I11")</f>
        <v>0</v>
      </c>
      <c r="M54" s="3">
        <f t="array" aca="1" ref="M54" ca="1">INDIRECT("'"&amp;$A54&amp;"'!J11")</f>
        <v>0</v>
      </c>
      <c r="N54" s="3">
        <f t="array" aca="1" ref="N54" ca="1">INDIRECT("'"&amp;$A54&amp;"'!K11")</f>
        <v>0</v>
      </c>
      <c r="O54" s="3">
        <f t="array" aca="1" ref="O54" ca="1">INDIRECT("'"&amp;$A54&amp;"'!L11")</f>
        <v>0</v>
      </c>
      <c r="P54" s="3">
        <f t="array" aca="1" ref="P54" ca="1">INDIRECT("'"&amp;$A54&amp;"'!M11")</f>
        <v>0</v>
      </c>
      <c r="Q54" s="3">
        <f t="array" aca="1" ref="Q54" ca="1">INDIRECT("'"&amp;$A54&amp;"'!N11")</f>
        <v>0</v>
      </c>
      <c r="R54" s="3">
        <f t="array" aca="1" ref="R54" ca="1">INDIRECT("'"&amp;$A54&amp;"'!O11")</f>
        <v>0</v>
      </c>
      <c r="S54" s="3">
        <f t="array" aca="1" ref="S54" ca="1">INDIRECT("'"&amp;$A54&amp;"'!P11")</f>
        <v>0</v>
      </c>
      <c r="T54" s="3">
        <f t="array" aca="1" ref="T54" ca="1">INDIRECT("'"&amp;$A54&amp;"'!Q11")</f>
        <v>0</v>
      </c>
      <c r="U54" s="3">
        <f t="array" aca="1" ref="U54" ca="1">INDIRECT("'"&amp;$A54&amp;"'!R11")</f>
        <v>0</v>
      </c>
      <c r="V54" s="3">
        <f t="array" aca="1" ref="V54" ca="1">INDIRECT("'"&amp;$A54&amp;"'!S11")</f>
        <v>0</v>
      </c>
      <c r="W54" s="3">
        <f t="array" aca="1" ref="W54" ca="1">INDIRECT("'"&amp;$A54&amp;"'!T11")</f>
        <v>0</v>
      </c>
      <c r="X54" s="3">
        <f t="array" aca="1" ref="X54" ca="1">INDIRECT("'"&amp;$A54&amp;"'!U11")</f>
        <v>0</v>
      </c>
      <c r="Y54" s="3">
        <f t="array" aca="1" ref="Y54" ca="1">INDIRECT("'"&amp;$A54&amp;"'!V11")</f>
        <v>0</v>
      </c>
      <c r="Z54" s="3">
        <f t="array" aca="1" ref="Z54" ca="1">INDIRECT("'"&amp;$A54&amp;"'!W11")</f>
        <v>0</v>
      </c>
      <c r="AA54" s="3">
        <f t="array" aca="1" ref="AA54" ca="1">INDIRECT("'"&amp;$A54&amp;"'!X11")</f>
        <v>0</v>
      </c>
      <c r="AB54" s="3">
        <f t="array" aca="1" ref="AB54" ca="1">INDIRECT("'"&amp;$A54&amp;"'!Y11")</f>
        <v>0</v>
      </c>
      <c r="AC54" s="3">
        <f t="array" aca="1" ref="AC54" ca="1">INDIRECT("'"&amp;$A54&amp;"'!Z11")</f>
        <v>0</v>
      </c>
      <c r="AD54" s="32">
        <f t="array" aca="1" ref="AD54" ca="1">INDIRECT("'"&amp;$A54&amp;"'!AA11")</f>
        <v>0</v>
      </c>
      <c r="AE54" s="82">
        <f t="array" aca="1" ref="AE54" ca="1">INDIRECT("'"&amp;$A54&amp;"'!J3")</f>
        <v>0</v>
      </c>
      <c r="AF54" s="53" t="str">
        <f t="array" aca="1" ref="AF54" ca="1">INDIRECT("'"&amp;$A54&amp;"'!AC1")</f>
        <v/>
      </c>
    </row>
    <row r="55" spans="1:32" ht="15.75" customHeight="1" thickBot="1">
      <c r="A55" s="58">
        <v>18</v>
      </c>
      <c r="B55" s="107"/>
      <c r="C55" s="77" t="str">
        <f t="array" aca="1" ref="C55" ca="1">CONCATENATE("分 ",INDIRECT("'"&amp;$A54&amp;"'!D6"))</f>
        <v>分 0</v>
      </c>
      <c r="D55" s="56" t="s">
        <v>8</v>
      </c>
      <c r="E55" s="83">
        <f t="array" aca="1" ref="E55" ca="1">INDIRECT("'"&amp;$A54&amp;"'!I4")</f>
        <v>18</v>
      </c>
      <c r="F55" s="52">
        <f t="array" aca="1" ref="F55" ca="1">INDIRECT("'"&amp;$A55&amp;"'!C14")</f>
        <v>0</v>
      </c>
      <c r="G55" s="3">
        <f t="array" aca="1" ref="G55" ca="1">INDIRECT("'"&amp;$A55&amp;"'!D14")</f>
        <v>0</v>
      </c>
      <c r="H55" s="3">
        <f t="array" aca="1" ref="H55" ca="1">INDIRECT("'"&amp;$A55&amp;"'!E14")</f>
        <v>0</v>
      </c>
      <c r="I55" s="3">
        <f t="array" aca="1" ref="I55" ca="1">INDIRECT("'"&amp;$A55&amp;"'!F14")</f>
        <v>0</v>
      </c>
      <c r="J55" s="3">
        <f t="array" aca="1" ref="J55" ca="1">INDIRECT("'"&amp;$A55&amp;"'!G14")</f>
        <v>0</v>
      </c>
      <c r="K55" s="3">
        <f t="array" aca="1" ref="K55" ca="1">INDIRECT("'"&amp;$A55&amp;"'!H14")</f>
        <v>0</v>
      </c>
      <c r="L55" s="3">
        <f t="array" aca="1" ref="L55" ca="1">INDIRECT("'"&amp;$A55&amp;"'!I14")</f>
        <v>0</v>
      </c>
      <c r="M55" s="3">
        <f t="array" aca="1" ref="M55" ca="1">INDIRECT("'"&amp;$A55&amp;"'!J14")</f>
        <v>0</v>
      </c>
      <c r="N55" s="3">
        <f t="array" aca="1" ref="N55" ca="1">INDIRECT("'"&amp;$A55&amp;"'!K14")</f>
        <v>0</v>
      </c>
      <c r="O55" s="3">
        <f t="array" aca="1" ref="O55" ca="1">INDIRECT("'"&amp;$A55&amp;"'!L14")</f>
        <v>0</v>
      </c>
      <c r="P55" s="3">
        <f t="array" aca="1" ref="P55" ca="1">INDIRECT("'"&amp;$A55&amp;"'!M14")</f>
        <v>0</v>
      </c>
      <c r="Q55" s="3">
        <f t="array" aca="1" ref="Q55" ca="1">INDIRECT("'"&amp;$A55&amp;"'!N14")</f>
        <v>0</v>
      </c>
      <c r="R55" s="3">
        <f t="array" aca="1" ref="R55" ca="1">INDIRECT("'"&amp;$A55&amp;"'!O14")</f>
        <v>0</v>
      </c>
      <c r="S55" s="3">
        <f t="array" aca="1" ref="S55" ca="1">INDIRECT("'"&amp;$A55&amp;"'!P14")</f>
        <v>0</v>
      </c>
      <c r="T55" s="3">
        <f t="array" aca="1" ref="T55" ca="1">INDIRECT("'"&amp;$A55&amp;"'!Q14")</f>
        <v>0</v>
      </c>
      <c r="U55" s="3">
        <f t="array" aca="1" ref="U55" ca="1">INDIRECT("'"&amp;$A55&amp;"'!R14")</f>
        <v>0</v>
      </c>
      <c r="V55" s="3">
        <f t="array" aca="1" ref="V55" ca="1">INDIRECT("'"&amp;$A55&amp;"'!S14")</f>
        <v>0</v>
      </c>
      <c r="W55" s="3">
        <f t="array" aca="1" ref="W55" ca="1">INDIRECT("'"&amp;$A55&amp;"'!T14")</f>
        <v>0</v>
      </c>
      <c r="X55" s="3">
        <f t="array" aca="1" ref="X55" ca="1">INDIRECT("'"&amp;$A55&amp;"'!U14")</f>
        <v>0</v>
      </c>
      <c r="Y55" s="3">
        <f t="array" aca="1" ref="Y55" ca="1">INDIRECT("'"&amp;$A55&amp;"'!V14")</f>
        <v>0</v>
      </c>
      <c r="Z55" s="3">
        <f t="array" aca="1" ref="Z55" ca="1">INDIRECT("'"&amp;$A55&amp;"'!W14")</f>
        <v>0</v>
      </c>
      <c r="AA55" s="3">
        <f t="array" aca="1" ref="AA55" ca="1">INDIRECT("'"&amp;$A55&amp;"'!X14")</f>
        <v>0</v>
      </c>
      <c r="AB55" s="3">
        <f t="array" aca="1" ref="AB55" ca="1">INDIRECT("'"&amp;$A55&amp;"'!Y14")</f>
        <v>0</v>
      </c>
      <c r="AC55" s="3">
        <f t="array" aca="1" ref="AC55" ca="1">INDIRECT("'"&amp;$A55&amp;"'!Z14")</f>
        <v>0</v>
      </c>
      <c r="AD55" s="32">
        <f t="array" aca="1" ref="AD55" ca="1">INDIRECT("'"&amp;$A55&amp;"'!AA14")</f>
        <v>0</v>
      </c>
      <c r="AE55" s="83">
        <f t="array" aca="1" ref="AE55" ca="1">INDIRECT("'"&amp;$A54&amp;"'!J4")</f>
        <v>0</v>
      </c>
      <c r="AF55" s="53"/>
    </row>
    <row r="56" spans="1:32">
      <c r="A56" s="58">
        <v>19</v>
      </c>
      <c r="B56" s="105">
        <f>INDEX(data!$I$2:$I$91,MATCH(A56*1,data!$G$2:$G$91,0))</f>
        <v>46203</v>
      </c>
      <c r="C56" s="66" t="str">
        <f>HYPERLINK("#'" &amp; A56 &amp; "'!A1", "编辑")</f>
        <v>编辑</v>
      </c>
      <c r="D56" s="54" t="s">
        <v>6</v>
      </c>
      <c r="E56" s="81">
        <f t="array" aca="1" ref="E56" ca="1">INDIRECT("'"&amp;$A57&amp;"'!I2")</f>
        <v>18</v>
      </c>
      <c r="F56" s="29">
        <f t="array" aca="1" ref="F56" ca="1">INDIRECT("'"&amp;$A56&amp;"'!C8")</f>
        <v>0</v>
      </c>
      <c r="G56" s="30">
        <f t="array" aca="1" ref="G56" ca="1">INDIRECT("'"&amp;$A56&amp;"'!D8")</f>
        <v>0</v>
      </c>
      <c r="H56" s="30">
        <f t="array" aca="1" ref="H56" ca="1">INDIRECT("'"&amp;$A56&amp;"'!E8")</f>
        <v>0</v>
      </c>
      <c r="I56" s="30">
        <f t="array" aca="1" ref="I56" ca="1">INDIRECT("'"&amp;$A56&amp;"'!F8")</f>
        <v>0</v>
      </c>
      <c r="J56" s="30">
        <f t="array" aca="1" ref="J56" ca="1">INDIRECT("'"&amp;$A56&amp;"'!G8")</f>
        <v>0</v>
      </c>
      <c r="K56" s="30">
        <f t="array" aca="1" ref="K56" ca="1">INDIRECT("'"&amp;$A56&amp;"'!H8")</f>
        <v>0</v>
      </c>
      <c r="L56" s="30">
        <f t="array" aca="1" ref="L56" ca="1">INDIRECT("'"&amp;$A56&amp;"'!I8")</f>
        <v>0</v>
      </c>
      <c r="M56" s="30">
        <f t="array" aca="1" ref="M56" ca="1">INDIRECT("'"&amp;$A56&amp;"'!J8")</f>
        <v>0</v>
      </c>
      <c r="N56" s="30">
        <f t="array" aca="1" ref="N56" ca="1">INDIRECT("'"&amp;$A56&amp;"'!K8")</f>
        <v>0</v>
      </c>
      <c r="O56" s="30">
        <f t="array" aca="1" ref="O56" ca="1">INDIRECT("'"&amp;$A56&amp;"'!L8")</f>
        <v>0</v>
      </c>
      <c r="P56" s="30">
        <f t="array" aca="1" ref="P56" ca="1">INDIRECT("'"&amp;$A56&amp;"'!M8")</f>
        <v>0</v>
      </c>
      <c r="Q56" s="30">
        <f t="array" aca="1" ref="Q56" ca="1">INDIRECT("'"&amp;$A56&amp;"'!N8")</f>
        <v>0</v>
      </c>
      <c r="R56" s="30">
        <f t="array" aca="1" ref="R56" ca="1">INDIRECT("'"&amp;$A56&amp;"'!O8")</f>
        <v>0</v>
      </c>
      <c r="S56" s="30">
        <f t="array" aca="1" ref="S56" ca="1">INDIRECT("'"&amp;$A56&amp;"'!P8")</f>
        <v>0</v>
      </c>
      <c r="T56" s="30">
        <f t="array" aca="1" ref="T56" ca="1">INDIRECT("'"&amp;$A56&amp;"'!Q8")</f>
        <v>0</v>
      </c>
      <c r="U56" s="30">
        <f t="array" aca="1" ref="U56" ca="1">INDIRECT("'"&amp;$A56&amp;"'!R8")</f>
        <v>0</v>
      </c>
      <c r="V56" s="30">
        <f t="array" aca="1" ref="V56" ca="1">INDIRECT("'"&amp;$A56&amp;"'!S8")</f>
        <v>0</v>
      </c>
      <c r="W56" s="30">
        <f t="array" aca="1" ref="W56" ca="1">INDIRECT("'"&amp;$A56&amp;"'!T8")</f>
        <v>0</v>
      </c>
      <c r="X56" s="30">
        <f t="array" aca="1" ref="X56" ca="1">INDIRECT("'"&amp;$A56&amp;"'!U8")</f>
        <v>0</v>
      </c>
      <c r="Y56" s="30">
        <f t="array" aca="1" ref="Y56" ca="1">INDIRECT("'"&amp;$A56&amp;"'!V8")</f>
        <v>0</v>
      </c>
      <c r="Z56" s="30">
        <f t="array" aca="1" ref="Z56" ca="1">INDIRECT("'"&amp;$A56&amp;"'!W8")</f>
        <v>0</v>
      </c>
      <c r="AA56" s="30">
        <f t="array" aca="1" ref="AA56" ca="1">INDIRECT("'"&amp;$A56&amp;"'!X8")</f>
        <v>0</v>
      </c>
      <c r="AB56" s="30">
        <f t="array" aca="1" ref="AB56" ca="1">INDIRECT("'"&amp;$A56&amp;"'!Y8")</f>
        <v>0</v>
      </c>
      <c r="AC56" s="30">
        <f t="array" aca="1" ref="AC56" ca="1">INDIRECT("'"&amp;$A56&amp;"'!Z8")</f>
        <v>0</v>
      </c>
      <c r="AD56" s="31">
        <f t="array" aca="1" ref="AD56" ca="1">INDIRECT("'"&amp;$A56&amp;"'!AA8")</f>
        <v>0</v>
      </c>
      <c r="AE56" s="81">
        <f t="array" aca="1" ref="AE56" ca="1">INDIRECT("'"&amp;$A57&amp;"'!J2")</f>
        <v>0</v>
      </c>
      <c r="AF56" s="53" t="str">
        <f t="array" aca="1" ref="AF56" ca="1">INDIRECT("'"&amp;$A57&amp;"'!AD1")</f>
        <v/>
      </c>
    </row>
    <row r="57" spans="1:32">
      <c r="A57" s="58">
        <v>19</v>
      </c>
      <c r="B57" s="106"/>
      <c r="C57" s="67" t="str">
        <f t="array" aca="1" ref="C57" ca="1">CONCATENATE("粮 ",INDIRECT("'"&amp;$A57&amp;"'!D4"))</f>
        <v>粮 35600</v>
      </c>
      <c r="D57" s="55" t="s">
        <v>7</v>
      </c>
      <c r="E57" s="82">
        <f t="array" aca="1" ref="E57" ca="1">INDIRECT("'"&amp;$A57&amp;"'!I3")</f>
        <v>18</v>
      </c>
      <c r="F57" s="52">
        <f t="array" aca="1" ref="F57" ca="1">INDIRECT("'"&amp;$A57&amp;"'!C11")</f>
        <v>0</v>
      </c>
      <c r="G57" s="3">
        <f t="array" aca="1" ref="G57" ca="1">INDIRECT("'"&amp;$A57&amp;"'!D11")</f>
        <v>0</v>
      </c>
      <c r="H57" s="3">
        <f t="array" aca="1" ref="H57" ca="1">INDIRECT("'"&amp;$A57&amp;"'!E11")</f>
        <v>0</v>
      </c>
      <c r="I57" s="3">
        <f t="array" aca="1" ref="I57" ca="1">INDIRECT("'"&amp;$A57&amp;"'!F11")</f>
        <v>0</v>
      </c>
      <c r="J57" s="3">
        <f t="array" aca="1" ref="J57" ca="1">INDIRECT("'"&amp;$A57&amp;"'!G11")</f>
        <v>0</v>
      </c>
      <c r="K57" s="3">
        <f t="array" aca="1" ref="K57" ca="1">INDIRECT("'"&amp;$A57&amp;"'!H11")</f>
        <v>0</v>
      </c>
      <c r="L57" s="3">
        <f t="array" aca="1" ref="L57" ca="1">INDIRECT("'"&amp;$A57&amp;"'!I11")</f>
        <v>0</v>
      </c>
      <c r="M57" s="3">
        <f t="array" aca="1" ref="M57" ca="1">INDIRECT("'"&amp;$A57&amp;"'!J11")</f>
        <v>0</v>
      </c>
      <c r="N57" s="3">
        <f t="array" aca="1" ref="N57" ca="1">INDIRECT("'"&amp;$A57&amp;"'!K11")</f>
        <v>0</v>
      </c>
      <c r="O57" s="3">
        <f t="array" aca="1" ref="O57" ca="1">INDIRECT("'"&amp;$A57&amp;"'!L11")</f>
        <v>0</v>
      </c>
      <c r="P57" s="3">
        <f t="array" aca="1" ref="P57" ca="1">INDIRECT("'"&amp;$A57&amp;"'!M11")</f>
        <v>0</v>
      </c>
      <c r="Q57" s="3">
        <f t="array" aca="1" ref="Q57" ca="1">INDIRECT("'"&amp;$A57&amp;"'!N11")</f>
        <v>0</v>
      </c>
      <c r="R57" s="3">
        <f t="array" aca="1" ref="R57" ca="1">INDIRECT("'"&amp;$A57&amp;"'!O11")</f>
        <v>0</v>
      </c>
      <c r="S57" s="3">
        <f t="array" aca="1" ref="S57" ca="1">INDIRECT("'"&amp;$A57&amp;"'!P11")</f>
        <v>0</v>
      </c>
      <c r="T57" s="3">
        <f t="array" aca="1" ref="T57" ca="1">INDIRECT("'"&amp;$A57&amp;"'!Q11")</f>
        <v>0</v>
      </c>
      <c r="U57" s="3">
        <f t="array" aca="1" ref="U57" ca="1">INDIRECT("'"&amp;$A57&amp;"'!R11")</f>
        <v>0</v>
      </c>
      <c r="V57" s="3">
        <f t="array" aca="1" ref="V57" ca="1">INDIRECT("'"&amp;$A57&amp;"'!S11")</f>
        <v>0</v>
      </c>
      <c r="W57" s="3">
        <f t="array" aca="1" ref="W57" ca="1">INDIRECT("'"&amp;$A57&amp;"'!T11")</f>
        <v>0</v>
      </c>
      <c r="X57" s="3">
        <f t="array" aca="1" ref="X57" ca="1">INDIRECT("'"&amp;$A57&amp;"'!U11")</f>
        <v>0</v>
      </c>
      <c r="Y57" s="3">
        <f t="array" aca="1" ref="Y57" ca="1">INDIRECT("'"&amp;$A57&amp;"'!V11")</f>
        <v>0</v>
      </c>
      <c r="Z57" s="3">
        <f t="array" aca="1" ref="Z57" ca="1">INDIRECT("'"&amp;$A57&amp;"'!W11")</f>
        <v>0</v>
      </c>
      <c r="AA57" s="3">
        <f t="array" aca="1" ref="AA57" ca="1">INDIRECT("'"&amp;$A57&amp;"'!X11")</f>
        <v>0</v>
      </c>
      <c r="AB57" s="3">
        <f t="array" aca="1" ref="AB57" ca="1">INDIRECT("'"&amp;$A57&amp;"'!Y11")</f>
        <v>0</v>
      </c>
      <c r="AC57" s="3">
        <f t="array" aca="1" ref="AC57" ca="1">INDIRECT("'"&amp;$A57&amp;"'!Z11")</f>
        <v>0</v>
      </c>
      <c r="AD57" s="32">
        <f t="array" aca="1" ref="AD57" ca="1">INDIRECT("'"&amp;$A57&amp;"'!AA11")</f>
        <v>0</v>
      </c>
      <c r="AE57" s="82">
        <f t="array" aca="1" ref="AE57" ca="1">INDIRECT("'"&amp;$A57&amp;"'!J3")</f>
        <v>0</v>
      </c>
      <c r="AF57" s="53" t="str">
        <f t="array" aca="1" ref="AF57" ca="1">INDIRECT("'"&amp;$A57&amp;"'!AC1")</f>
        <v/>
      </c>
    </row>
    <row r="58" spans="1:32" ht="15.75" customHeight="1" thickBot="1">
      <c r="A58" s="58">
        <v>19</v>
      </c>
      <c r="B58" s="107"/>
      <c r="C58" s="77" t="str">
        <f t="array" aca="1" ref="C58" ca="1">CONCATENATE("分 ",INDIRECT("'"&amp;$A57&amp;"'!D6"))</f>
        <v>分 0</v>
      </c>
      <c r="D58" s="56" t="s">
        <v>8</v>
      </c>
      <c r="E58" s="83">
        <f t="array" aca="1" ref="E58" ca="1">INDIRECT("'"&amp;$A57&amp;"'!I4")</f>
        <v>18</v>
      </c>
      <c r="F58" s="52">
        <f t="array" aca="1" ref="F58" ca="1">INDIRECT("'"&amp;$A58&amp;"'!C14")</f>
        <v>0</v>
      </c>
      <c r="G58" s="3">
        <f t="array" aca="1" ref="G58" ca="1">INDIRECT("'"&amp;$A58&amp;"'!D14")</f>
        <v>0</v>
      </c>
      <c r="H58" s="3">
        <f t="array" aca="1" ref="H58" ca="1">INDIRECT("'"&amp;$A58&amp;"'!E14")</f>
        <v>0</v>
      </c>
      <c r="I58" s="3">
        <f t="array" aca="1" ref="I58" ca="1">INDIRECT("'"&amp;$A58&amp;"'!F14")</f>
        <v>0</v>
      </c>
      <c r="J58" s="3">
        <f t="array" aca="1" ref="J58" ca="1">INDIRECT("'"&amp;$A58&amp;"'!G14")</f>
        <v>0</v>
      </c>
      <c r="K58" s="3">
        <f t="array" aca="1" ref="K58" ca="1">INDIRECT("'"&amp;$A58&amp;"'!H14")</f>
        <v>0</v>
      </c>
      <c r="L58" s="3">
        <f t="array" aca="1" ref="L58" ca="1">INDIRECT("'"&amp;$A58&amp;"'!I14")</f>
        <v>0</v>
      </c>
      <c r="M58" s="3">
        <f t="array" aca="1" ref="M58" ca="1">INDIRECT("'"&amp;$A58&amp;"'!J14")</f>
        <v>0</v>
      </c>
      <c r="N58" s="3">
        <f t="array" aca="1" ref="N58" ca="1">INDIRECT("'"&amp;$A58&amp;"'!K14")</f>
        <v>0</v>
      </c>
      <c r="O58" s="3">
        <f t="array" aca="1" ref="O58" ca="1">INDIRECT("'"&amp;$A58&amp;"'!L14")</f>
        <v>0</v>
      </c>
      <c r="P58" s="3">
        <f t="array" aca="1" ref="P58" ca="1">INDIRECT("'"&amp;$A58&amp;"'!M14")</f>
        <v>0</v>
      </c>
      <c r="Q58" s="3">
        <f t="array" aca="1" ref="Q58" ca="1">INDIRECT("'"&amp;$A58&amp;"'!N14")</f>
        <v>0</v>
      </c>
      <c r="R58" s="3">
        <f t="array" aca="1" ref="R58" ca="1">INDIRECT("'"&amp;$A58&amp;"'!O14")</f>
        <v>0</v>
      </c>
      <c r="S58" s="3">
        <f t="array" aca="1" ref="S58" ca="1">INDIRECT("'"&amp;$A58&amp;"'!P14")</f>
        <v>0</v>
      </c>
      <c r="T58" s="3">
        <f t="array" aca="1" ref="T58" ca="1">INDIRECT("'"&amp;$A58&amp;"'!Q14")</f>
        <v>0</v>
      </c>
      <c r="U58" s="3">
        <f t="array" aca="1" ref="U58" ca="1">INDIRECT("'"&amp;$A58&amp;"'!R14")</f>
        <v>0</v>
      </c>
      <c r="V58" s="3">
        <f t="array" aca="1" ref="V58" ca="1">INDIRECT("'"&amp;$A58&amp;"'!S14")</f>
        <v>0</v>
      </c>
      <c r="W58" s="3">
        <f t="array" aca="1" ref="W58" ca="1">INDIRECT("'"&amp;$A58&amp;"'!T14")</f>
        <v>0</v>
      </c>
      <c r="X58" s="3">
        <f t="array" aca="1" ref="X58" ca="1">INDIRECT("'"&amp;$A58&amp;"'!U14")</f>
        <v>0</v>
      </c>
      <c r="Y58" s="3">
        <f t="array" aca="1" ref="Y58" ca="1">INDIRECT("'"&amp;$A58&amp;"'!V14")</f>
        <v>0</v>
      </c>
      <c r="Z58" s="3">
        <f t="array" aca="1" ref="Z58" ca="1">INDIRECT("'"&amp;$A58&amp;"'!W14")</f>
        <v>0</v>
      </c>
      <c r="AA58" s="3">
        <f t="array" aca="1" ref="AA58" ca="1">INDIRECT("'"&amp;$A58&amp;"'!X14")</f>
        <v>0</v>
      </c>
      <c r="AB58" s="3">
        <f t="array" aca="1" ref="AB58" ca="1">INDIRECT("'"&amp;$A58&amp;"'!Y14")</f>
        <v>0</v>
      </c>
      <c r="AC58" s="3">
        <f t="array" aca="1" ref="AC58" ca="1">INDIRECT("'"&amp;$A58&amp;"'!Z14")</f>
        <v>0</v>
      </c>
      <c r="AD58" s="32">
        <f t="array" aca="1" ref="AD58" ca="1">INDIRECT("'"&amp;$A58&amp;"'!AA14")</f>
        <v>0</v>
      </c>
      <c r="AE58" s="83">
        <f t="array" aca="1" ref="AE58" ca="1">INDIRECT("'"&amp;$A57&amp;"'!J4")</f>
        <v>0</v>
      </c>
      <c r="AF58" s="53"/>
    </row>
    <row r="59" spans="1:32">
      <c r="A59" s="58">
        <v>20</v>
      </c>
      <c r="B59" s="105">
        <f>INDEX(data!$I$2:$I$91,MATCH(A59*1,data!$G$2:$G$91,0))</f>
        <v>46204</v>
      </c>
      <c r="C59" s="66" t="str">
        <f>HYPERLINK("#'" &amp; A59 &amp; "'!A1", "编辑")</f>
        <v>编辑</v>
      </c>
      <c r="D59" s="54" t="s">
        <v>6</v>
      </c>
      <c r="E59" s="81">
        <f t="array" aca="1" ref="E59" ca="1">INDIRECT("'"&amp;$A60&amp;"'!I2")</f>
        <v>18</v>
      </c>
      <c r="F59" s="29">
        <f t="array" aca="1" ref="F59" ca="1">INDIRECT("'"&amp;$A59&amp;"'!C8")</f>
        <v>0</v>
      </c>
      <c r="G59" s="30">
        <f t="array" aca="1" ref="G59" ca="1">INDIRECT("'"&amp;$A59&amp;"'!D8")</f>
        <v>0</v>
      </c>
      <c r="H59" s="30">
        <f t="array" aca="1" ref="H59" ca="1">INDIRECT("'"&amp;$A59&amp;"'!E8")</f>
        <v>0</v>
      </c>
      <c r="I59" s="30">
        <f t="array" aca="1" ref="I59" ca="1">INDIRECT("'"&amp;$A59&amp;"'!F8")</f>
        <v>0</v>
      </c>
      <c r="J59" s="30">
        <f t="array" aca="1" ref="J59" ca="1">INDIRECT("'"&amp;$A59&amp;"'!G8")</f>
        <v>0</v>
      </c>
      <c r="K59" s="30">
        <f t="array" aca="1" ref="K59" ca="1">INDIRECT("'"&amp;$A59&amp;"'!H8")</f>
        <v>0</v>
      </c>
      <c r="L59" s="30">
        <f t="array" aca="1" ref="L59" ca="1">INDIRECT("'"&amp;$A59&amp;"'!I8")</f>
        <v>0</v>
      </c>
      <c r="M59" s="30">
        <f t="array" aca="1" ref="M59" ca="1">INDIRECT("'"&amp;$A59&amp;"'!J8")</f>
        <v>0</v>
      </c>
      <c r="N59" s="30">
        <f t="array" aca="1" ref="N59" ca="1">INDIRECT("'"&amp;$A59&amp;"'!K8")</f>
        <v>0</v>
      </c>
      <c r="O59" s="30">
        <f t="array" aca="1" ref="O59" ca="1">INDIRECT("'"&amp;$A59&amp;"'!L8")</f>
        <v>0</v>
      </c>
      <c r="P59" s="30">
        <f t="array" aca="1" ref="P59" ca="1">INDIRECT("'"&amp;$A59&amp;"'!M8")</f>
        <v>0</v>
      </c>
      <c r="Q59" s="30">
        <f t="array" aca="1" ref="Q59" ca="1">INDIRECT("'"&amp;$A59&amp;"'!N8")</f>
        <v>0</v>
      </c>
      <c r="R59" s="30">
        <f t="array" aca="1" ref="R59" ca="1">INDIRECT("'"&amp;$A59&amp;"'!O8")</f>
        <v>0</v>
      </c>
      <c r="S59" s="30">
        <f t="array" aca="1" ref="S59" ca="1">INDIRECT("'"&amp;$A59&amp;"'!P8")</f>
        <v>0</v>
      </c>
      <c r="T59" s="30">
        <f t="array" aca="1" ref="T59" ca="1">INDIRECT("'"&amp;$A59&amp;"'!Q8")</f>
        <v>0</v>
      </c>
      <c r="U59" s="30">
        <f t="array" aca="1" ref="U59" ca="1">INDIRECT("'"&amp;$A59&amp;"'!R8")</f>
        <v>0</v>
      </c>
      <c r="V59" s="30">
        <f t="array" aca="1" ref="V59" ca="1">INDIRECT("'"&amp;$A59&amp;"'!S8")</f>
        <v>0</v>
      </c>
      <c r="W59" s="30">
        <f t="array" aca="1" ref="W59" ca="1">INDIRECT("'"&amp;$A59&amp;"'!T8")</f>
        <v>0</v>
      </c>
      <c r="X59" s="30">
        <f t="array" aca="1" ref="X59" ca="1">INDIRECT("'"&amp;$A59&amp;"'!U8")</f>
        <v>0</v>
      </c>
      <c r="Y59" s="30">
        <f t="array" aca="1" ref="Y59" ca="1">INDIRECT("'"&amp;$A59&amp;"'!V8")</f>
        <v>0</v>
      </c>
      <c r="Z59" s="30">
        <f t="array" aca="1" ref="Z59" ca="1">INDIRECT("'"&amp;$A59&amp;"'!W8")</f>
        <v>0</v>
      </c>
      <c r="AA59" s="30">
        <f t="array" aca="1" ref="AA59" ca="1">INDIRECT("'"&amp;$A59&amp;"'!X8")</f>
        <v>0</v>
      </c>
      <c r="AB59" s="30">
        <f t="array" aca="1" ref="AB59" ca="1">INDIRECT("'"&amp;$A59&amp;"'!Y8")</f>
        <v>0</v>
      </c>
      <c r="AC59" s="30">
        <f t="array" aca="1" ref="AC59" ca="1">INDIRECT("'"&amp;$A59&amp;"'!Z8")</f>
        <v>0</v>
      </c>
      <c r="AD59" s="31">
        <f t="array" aca="1" ref="AD59" ca="1">INDIRECT("'"&amp;$A59&amp;"'!AA8")</f>
        <v>0</v>
      </c>
      <c r="AE59" s="81">
        <f t="array" aca="1" ref="AE59" ca="1">INDIRECT("'"&amp;$A60&amp;"'!J2")</f>
        <v>0</v>
      </c>
      <c r="AF59" s="53" t="str">
        <f t="array" aca="1" ref="AF59" ca="1">INDIRECT("'"&amp;$A60&amp;"'!AD1")</f>
        <v/>
      </c>
    </row>
    <row r="60" spans="1:32">
      <c r="A60" s="58">
        <v>20</v>
      </c>
      <c r="B60" s="106"/>
      <c r="C60" s="67" t="str">
        <f t="array" aca="1" ref="C60" ca="1">CONCATENATE("粮 ",INDIRECT("'"&amp;$A60&amp;"'!D4"))</f>
        <v>粮 37200</v>
      </c>
      <c r="D60" s="55" t="s">
        <v>7</v>
      </c>
      <c r="E60" s="82">
        <f t="array" aca="1" ref="E60" ca="1">INDIRECT("'"&amp;$A60&amp;"'!I3")</f>
        <v>18</v>
      </c>
      <c r="F60" s="52">
        <f t="array" aca="1" ref="F60" ca="1">INDIRECT("'"&amp;$A60&amp;"'!C11")</f>
        <v>0</v>
      </c>
      <c r="G60" s="3">
        <f t="array" aca="1" ref="G60" ca="1">INDIRECT("'"&amp;$A60&amp;"'!D11")</f>
        <v>0</v>
      </c>
      <c r="H60" s="3">
        <f t="array" aca="1" ref="H60" ca="1">INDIRECT("'"&amp;$A60&amp;"'!E11")</f>
        <v>0</v>
      </c>
      <c r="I60" s="3">
        <f t="array" aca="1" ref="I60" ca="1">INDIRECT("'"&amp;$A60&amp;"'!F11")</f>
        <v>0</v>
      </c>
      <c r="J60" s="3">
        <f t="array" aca="1" ref="J60" ca="1">INDIRECT("'"&amp;$A60&amp;"'!G11")</f>
        <v>0</v>
      </c>
      <c r="K60" s="3">
        <f t="array" aca="1" ref="K60" ca="1">INDIRECT("'"&amp;$A60&amp;"'!H11")</f>
        <v>0</v>
      </c>
      <c r="L60" s="3">
        <f t="array" aca="1" ref="L60" ca="1">INDIRECT("'"&amp;$A60&amp;"'!I11")</f>
        <v>0</v>
      </c>
      <c r="M60" s="3">
        <f t="array" aca="1" ref="M60" ca="1">INDIRECT("'"&amp;$A60&amp;"'!J11")</f>
        <v>0</v>
      </c>
      <c r="N60" s="3">
        <f t="array" aca="1" ref="N60" ca="1">INDIRECT("'"&amp;$A60&amp;"'!K11")</f>
        <v>0</v>
      </c>
      <c r="O60" s="3">
        <f t="array" aca="1" ref="O60" ca="1">INDIRECT("'"&amp;$A60&amp;"'!L11")</f>
        <v>0</v>
      </c>
      <c r="P60" s="3">
        <f t="array" aca="1" ref="P60" ca="1">INDIRECT("'"&amp;$A60&amp;"'!M11")</f>
        <v>0</v>
      </c>
      <c r="Q60" s="3">
        <f t="array" aca="1" ref="Q60" ca="1">INDIRECT("'"&amp;$A60&amp;"'!N11")</f>
        <v>0</v>
      </c>
      <c r="R60" s="3">
        <f t="array" aca="1" ref="R60" ca="1">INDIRECT("'"&amp;$A60&amp;"'!O11")</f>
        <v>0</v>
      </c>
      <c r="S60" s="3">
        <f t="array" aca="1" ref="S60" ca="1">INDIRECT("'"&amp;$A60&amp;"'!P11")</f>
        <v>0</v>
      </c>
      <c r="T60" s="3">
        <f t="array" aca="1" ref="T60" ca="1">INDIRECT("'"&amp;$A60&amp;"'!Q11")</f>
        <v>0</v>
      </c>
      <c r="U60" s="3">
        <f t="array" aca="1" ref="U60" ca="1">INDIRECT("'"&amp;$A60&amp;"'!R11")</f>
        <v>0</v>
      </c>
      <c r="V60" s="3">
        <f t="array" aca="1" ref="V60" ca="1">INDIRECT("'"&amp;$A60&amp;"'!S11")</f>
        <v>0</v>
      </c>
      <c r="W60" s="3">
        <f t="array" aca="1" ref="W60" ca="1">INDIRECT("'"&amp;$A60&amp;"'!T11")</f>
        <v>0</v>
      </c>
      <c r="X60" s="3">
        <f t="array" aca="1" ref="X60" ca="1">INDIRECT("'"&amp;$A60&amp;"'!U11")</f>
        <v>0</v>
      </c>
      <c r="Y60" s="3">
        <f t="array" aca="1" ref="Y60" ca="1">INDIRECT("'"&amp;$A60&amp;"'!V11")</f>
        <v>0</v>
      </c>
      <c r="Z60" s="3">
        <f t="array" aca="1" ref="Z60" ca="1">INDIRECT("'"&amp;$A60&amp;"'!W11")</f>
        <v>0</v>
      </c>
      <c r="AA60" s="3">
        <f t="array" aca="1" ref="AA60" ca="1">INDIRECT("'"&amp;$A60&amp;"'!X11")</f>
        <v>0</v>
      </c>
      <c r="AB60" s="3">
        <f t="array" aca="1" ref="AB60" ca="1">INDIRECT("'"&amp;$A60&amp;"'!Y11")</f>
        <v>0</v>
      </c>
      <c r="AC60" s="3">
        <f t="array" aca="1" ref="AC60" ca="1">INDIRECT("'"&amp;$A60&amp;"'!Z11")</f>
        <v>0</v>
      </c>
      <c r="AD60" s="32">
        <f t="array" aca="1" ref="AD60" ca="1">INDIRECT("'"&amp;$A60&amp;"'!AA11")</f>
        <v>0</v>
      </c>
      <c r="AE60" s="82">
        <f t="array" aca="1" ref="AE60" ca="1">INDIRECT("'"&amp;$A60&amp;"'!J3")</f>
        <v>0</v>
      </c>
      <c r="AF60" s="53" t="str">
        <f t="array" aca="1" ref="AF60" ca="1">INDIRECT("'"&amp;$A60&amp;"'!AC1")</f>
        <v/>
      </c>
    </row>
    <row r="61" spans="1:32" ht="15.75" customHeight="1" thickBot="1">
      <c r="A61" s="58">
        <v>20</v>
      </c>
      <c r="B61" s="107"/>
      <c r="C61" s="77" t="str">
        <f t="array" aca="1" ref="C61" ca="1">CONCATENATE("分 ",INDIRECT("'"&amp;$A60&amp;"'!D6"))</f>
        <v>分 0</v>
      </c>
      <c r="D61" s="56" t="s">
        <v>8</v>
      </c>
      <c r="E61" s="83">
        <f t="array" aca="1" ref="E61" ca="1">INDIRECT("'"&amp;$A60&amp;"'!I4")</f>
        <v>18</v>
      </c>
      <c r="F61" s="52">
        <f t="array" aca="1" ref="F61" ca="1">INDIRECT("'"&amp;$A61&amp;"'!C14")</f>
        <v>0</v>
      </c>
      <c r="G61" s="3">
        <f t="array" aca="1" ref="G61" ca="1">INDIRECT("'"&amp;$A61&amp;"'!D14")</f>
        <v>0</v>
      </c>
      <c r="H61" s="3">
        <f t="array" aca="1" ref="H61" ca="1">INDIRECT("'"&amp;$A61&amp;"'!E14")</f>
        <v>0</v>
      </c>
      <c r="I61" s="3">
        <f t="array" aca="1" ref="I61" ca="1">INDIRECT("'"&amp;$A61&amp;"'!F14")</f>
        <v>0</v>
      </c>
      <c r="J61" s="3">
        <f t="array" aca="1" ref="J61" ca="1">INDIRECT("'"&amp;$A61&amp;"'!G14")</f>
        <v>0</v>
      </c>
      <c r="K61" s="3">
        <f t="array" aca="1" ref="K61" ca="1">INDIRECT("'"&amp;$A61&amp;"'!H14")</f>
        <v>0</v>
      </c>
      <c r="L61" s="3">
        <f t="array" aca="1" ref="L61" ca="1">INDIRECT("'"&amp;$A61&amp;"'!I14")</f>
        <v>0</v>
      </c>
      <c r="M61" s="3">
        <f t="array" aca="1" ref="M61" ca="1">INDIRECT("'"&amp;$A61&amp;"'!J14")</f>
        <v>0</v>
      </c>
      <c r="N61" s="3">
        <f t="array" aca="1" ref="N61" ca="1">INDIRECT("'"&amp;$A61&amp;"'!K14")</f>
        <v>0</v>
      </c>
      <c r="O61" s="3">
        <f t="array" aca="1" ref="O61" ca="1">INDIRECT("'"&amp;$A61&amp;"'!L14")</f>
        <v>0</v>
      </c>
      <c r="P61" s="3">
        <f t="array" aca="1" ref="P61" ca="1">INDIRECT("'"&amp;$A61&amp;"'!M14")</f>
        <v>0</v>
      </c>
      <c r="Q61" s="3">
        <f t="array" aca="1" ref="Q61" ca="1">INDIRECT("'"&amp;$A61&amp;"'!N14")</f>
        <v>0</v>
      </c>
      <c r="R61" s="3">
        <f t="array" aca="1" ref="R61" ca="1">INDIRECT("'"&amp;$A61&amp;"'!O14")</f>
        <v>0</v>
      </c>
      <c r="S61" s="3">
        <f t="array" aca="1" ref="S61" ca="1">INDIRECT("'"&amp;$A61&amp;"'!P14")</f>
        <v>0</v>
      </c>
      <c r="T61" s="3">
        <f t="array" aca="1" ref="T61" ca="1">INDIRECT("'"&amp;$A61&amp;"'!Q14")</f>
        <v>0</v>
      </c>
      <c r="U61" s="3">
        <f t="array" aca="1" ref="U61" ca="1">INDIRECT("'"&amp;$A61&amp;"'!R14")</f>
        <v>0</v>
      </c>
      <c r="V61" s="3">
        <f t="array" aca="1" ref="V61" ca="1">INDIRECT("'"&amp;$A61&amp;"'!S14")</f>
        <v>0</v>
      </c>
      <c r="W61" s="3">
        <f t="array" aca="1" ref="W61" ca="1">INDIRECT("'"&amp;$A61&amp;"'!T14")</f>
        <v>0</v>
      </c>
      <c r="X61" s="3">
        <f t="array" aca="1" ref="X61" ca="1">INDIRECT("'"&amp;$A61&amp;"'!U14")</f>
        <v>0</v>
      </c>
      <c r="Y61" s="3">
        <f t="array" aca="1" ref="Y61" ca="1">INDIRECT("'"&amp;$A61&amp;"'!V14")</f>
        <v>0</v>
      </c>
      <c r="Z61" s="3">
        <f t="array" aca="1" ref="Z61" ca="1">INDIRECT("'"&amp;$A61&amp;"'!W14")</f>
        <v>0</v>
      </c>
      <c r="AA61" s="3">
        <f t="array" aca="1" ref="AA61" ca="1">INDIRECT("'"&amp;$A61&amp;"'!X14")</f>
        <v>0</v>
      </c>
      <c r="AB61" s="3">
        <f t="array" aca="1" ref="AB61" ca="1">INDIRECT("'"&amp;$A61&amp;"'!Y14")</f>
        <v>0</v>
      </c>
      <c r="AC61" s="3">
        <f t="array" aca="1" ref="AC61" ca="1">INDIRECT("'"&amp;$A61&amp;"'!Z14")</f>
        <v>0</v>
      </c>
      <c r="AD61" s="32">
        <f t="array" aca="1" ref="AD61" ca="1">INDIRECT("'"&amp;$A61&amp;"'!AA14")</f>
        <v>0</v>
      </c>
      <c r="AE61" s="83">
        <f t="array" aca="1" ref="AE61" ca="1">INDIRECT("'"&amp;$A60&amp;"'!J4")</f>
        <v>0</v>
      </c>
      <c r="AF61" s="53"/>
    </row>
    <row r="62" spans="1:32">
      <c r="A62" s="58">
        <v>21</v>
      </c>
      <c r="B62" s="105">
        <f>INDEX(data!$I$2:$I$91,MATCH(A62*1,data!$G$2:$G$91,0))</f>
        <v>46205</v>
      </c>
      <c r="C62" s="66" t="str">
        <f>HYPERLINK("#'" &amp; A62 &amp; "'!A1", "编辑")</f>
        <v>编辑</v>
      </c>
      <c r="D62" s="54" t="s">
        <v>6</v>
      </c>
      <c r="E62" s="81">
        <f t="array" aca="1" ref="E62" ca="1">INDIRECT("'"&amp;$A63&amp;"'!I2")</f>
        <v>18</v>
      </c>
      <c r="F62" s="29">
        <f t="array" aca="1" ref="F62" ca="1">INDIRECT("'"&amp;$A62&amp;"'!C8")</f>
        <v>0</v>
      </c>
      <c r="G62" s="30">
        <f t="array" aca="1" ref="G62" ca="1">INDIRECT("'"&amp;$A62&amp;"'!D8")</f>
        <v>0</v>
      </c>
      <c r="H62" s="30">
        <f t="array" aca="1" ref="H62" ca="1">INDIRECT("'"&amp;$A62&amp;"'!E8")</f>
        <v>0</v>
      </c>
      <c r="I62" s="30">
        <f t="array" aca="1" ref="I62" ca="1">INDIRECT("'"&amp;$A62&amp;"'!F8")</f>
        <v>0</v>
      </c>
      <c r="J62" s="30">
        <f t="array" aca="1" ref="J62" ca="1">INDIRECT("'"&amp;$A62&amp;"'!G8")</f>
        <v>0</v>
      </c>
      <c r="K62" s="30">
        <f t="array" aca="1" ref="K62" ca="1">INDIRECT("'"&amp;$A62&amp;"'!H8")</f>
        <v>0</v>
      </c>
      <c r="L62" s="30">
        <f t="array" aca="1" ref="L62" ca="1">INDIRECT("'"&amp;$A62&amp;"'!I8")</f>
        <v>0</v>
      </c>
      <c r="M62" s="30">
        <f t="array" aca="1" ref="M62" ca="1">INDIRECT("'"&amp;$A62&amp;"'!J8")</f>
        <v>0</v>
      </c>
      <c r="N62" s="30">
        <f t="array" aca="1" ref="N62" ca="1">INDIRECT("'"&amp;$A62&amp;"'!K8")</f>
        <v>0</v>
      </c>
      <c r="O62" s="30">
        <f t="array" aca="1" ref="O62" ca="1">INDIRECT("'"&amp;$A62&amp;"'!L8")</f>
        <v>0</v>
      </c>
      <c r="P62" s="30">
        <f t="array" aca="1" ref="P62" ca="1">INDIRECT("'"&amp;$A62&amp;"'!M8")</f>
        <v>0</v>
      </c>
      <c r="Q62" s="30">
        <f t="array" aca="1" ref="Q62" ca="1">INDIRECT("'"&amp;$A62&amp;"'!N8")</f>
        <v>0</v>
      </c>
      <c r="R62" s="30">
        <f t="array" aca="1" ref="R62" ca="1">INDIRECT("'"&amp;$A62&amp;"'!O8")</f>
        <v>0</v>
      </c>
      <c r="S62" s="30">
        <f t="array" aca="1" ref="S62" ca="1">INDIRECT("'"&amp;$A62&amp;"'!P8")</f>
        <v>0</v>
      </c>
      <c r="T62" s="30">
        <f t="array" aca="1" ref="T62" ca="1">INDIRECT("'"&amp;$A62&amp;"'!Q8")</f>
        <v>0</v>
      </c>
      <c r="U62" s="30">
        <f t="array" aca="1" ref="U62" ca="1">INDIRECT("'"&amp;$A62&amp;"'!R8")</f>
        <v>0</v>
      </c>
      <c r="V62" s="30">
        <f t="array" aca="1" ref="V62" ca="1">INDIRECT("'"&amp;$A62&amp;"'!S8")</f>
        <v>0</v>
      </c>
      <c r="W62" s="30">
        <f t="array" aca="1" ref="W62" ca="1">INDIRECT("'"&amp;$A62&amp;"'!T8")</f>
        <v>0</v>
      </c>
      <c r="X62" s="30">
        <f t="array" aca="1" ref="X62" ca="1">INDIRECT("'"&amp;$A62&amp;"'!U8")</f>
        <v>0</v>
      </c>
      <c r="Y62" s="30">
        <f t="array" aca="1" ref="Y62" ca="1">INDIRECT("'"&amp;$A62&amp;"'!V8")</f>
        <v>0</v>
      </c>
      <c r="Z62" s="30">
        <f t="array" aca="1" ref="Z62" ca="1">INDIRECT("'"&amp;$A62&amp;"'!W8")</f>
        <v>0</v>
      </c>
      <c r="AA62" s="30">
        <f t="array" aca="1" ref="AA62" ca="1">INDIRECT("'"&amp;$A62&amp;"'!X8")</f>
        <v>0</v>
      </c>
      <c r="AB62" s="30">
        <f t="array" aca="1" ref="AB62" ca="1">INDIRECT("'"&amp;$A62&amp;"'!Y8")</f>
        <v>0</v>
      </c>
      <c r="AC62" s="30">
        <f t="array" aca="1" ref="AC62" ca="1">INDIRECT("'"&amp;$A62&amp;"'!Z8")</f>
        <v>0</v>
      </c>
      <c r="AD62" s="31">
        <f t="array" aca="1" ref="AD62" ca="1">INDIRECT("'"&amp;$A62&amp;"'!AA8")</f>
        <v>0</v>
      </c>
      <c r="AE62" s="81">
        <f t="array" aca="1" ref="AE62" ca="1">INDIRECT("'"&amp;$A63&amp;"'!J2")</f>
        <v>0</v>
      </c>
      <c r="AF62" s="53" t="str">
        <f t="array" aca="1" ref="AF62" ca="1">INDIRECT("'"&amp;$A63&amp;"'!AD1")</f>
        <v/>
      </c>
    </row>
    <row r="63" spans="1:32">
      <c r="A63" s="58">
        <v>21</v>
      </c>
      <c r="B63" s="106"/>
      <c r="C63" s="67" t="str">
        <f t="array" aca="1" ref="C63" ca="1">CONCATENATE("粮 ",INDIRECT("'"&amp;$A63&amp;"'!D4"))</f>
        <v>粮 38800</v>
      </c>
      <c r="D63" s="55" t="s">
        <v>7</v>
      </c>
      <c r="E63" s="82">
        <f t="array" aca="1" ref="E63" ca="1">INDIRECT("'"&amp;$A63&amp;"'!I3")</f>
        <v>18</v>
      </c>
      <c r="F63" s="52">
        <f t="array" aca="1" ref="F63" ca="1">INDIRECT("'"&amp;$A63&amp;"'!C11")</f>
        <v>0</v>
      </c>
      <c r="G63" s="3">
        <f t="array" aca="1" ref="G63" ca="1">INDIRECT("'"&amp;$A63&amp;"'!D11")</f>
        <v>0</v>
      </c>
      <c r="H63" s="3">
        <f t="array" aca="1" ref="H63" ca="1">INDIRECT("'"&amp;$A63&amp;"'!E11")</f>
        <v>0</v>
      </c>
      <c r="I63" s="3">
        <f t="array" aca="1" ref="I63" ca="1">INDIRECT("'"&amp;$A63&amp;"'!F11")</f>
        <v>0</v>
      </c>
      <c r="J63" s="3">
        <f t="array" aca="1" ref="J63" ca="1">INDIRECT("'"&amp;$A63&amp;"'!G11")</f>
        <v>0</v>
      </c>
      <c r="K63" s="3">
        <f t="array" aca="1" ref="K63" ca="1">INDIRECT("'"&amp;$A63&amp;"'!H11")</f>
        <v>0</v>
      </c>
      <c r="L63" s="3">
        <f t="array" aca="1" ref="L63" ca="1">INDIRECT("'"&amp;$A63&amp;"'!I11")</f>
        <v>0</v>
      </c>
      <c r="M63" s="3">
        <f t="array" aca="1" ref="M63" ca="1">INDIRECT("'"&amp;$A63&amp;"'!J11")</f>
        <v>0</v>
      </c>
      <c r="N63" s="3">
        <f t="array" aca="1" ref="N63" ca="1">INDIRECT("'"&amp;$A63&amp;"'!K11")</f>
        <v>0</v>
      </c>
      <c r="O63" s="3">
        <f t="array" aca="1" ref="O63" ca="1">INDIRECT("'"&amp;$A63&amp;"'!L11")</f>
        <v>0</v>
      </c>
      <c r="P63" s="3">
        <f t="array" aca="1" ref="P63" ca="1">INDIRECT("'"&amp;$A63&amp;"'!M11")</f>
        <v>0</v>
      </c>
      <c r="Q63" s="3">
        <f t="array" aca="1" ref="Q63" ca="1">INDIRECT("'"&amp;$A63&amp;"'!N11")</f>
        <v>0</v>
      </c>
      <c r="R63" s="3">
        <f t="array" aca="1" ref="R63" ca="1">INDIRECT("'"&amp;$A63&amp;"'!O11")</f>
        <v>0</v>
      </c>
      <c r="S63" s="3">
        <f t="array" aca="1" ref="S63" ca="1">INDIRECT("'"&amp;$A63&amp;"'!P11")</f>
        <v>0</v>
      </c>
      <c r="T63" s="3">
        <f t="array" aca="1" ref="T63" ca="1">INDIRECT("'"&amp;$A63&amp;"'!Q11")</f>
        <v>0</v>
      </c>
      <c r="U63" s="3">
        <f t="array" aca="1" ref="U63" ca="1">INDIRECT("'"&amp;$A63&amp;"'!R11")</f>
        <v>0</v>
      </c>
      <c r="V63" s="3">
        <f t="array" aca="1" ref="V63" ca="1">INDIRECT("'"&amp;$A63&amp;"'!S11")</f>
        <v>0</v>
      </c>
      <c r="W63" s="3">
        <f t="array" aca="1" ref="W63" ca="1">INDIRECT("'"&amp;$A63&amp;"'!T11")</f>
        <v>0</v>
      </c>
      <c r="X63" s="3">
        <f t="array" aca="1" ref="X63" ca="1">INDIRECT("'"&amp;$A63&amp;"'!U11")</f>
        <v>0</v>
      </c>
      <c r="Y63" s="3">
        <f t="array" aca="1" ref="Y63" ca="1">INDIRECT("'"&amp;$A63&amp;"'!V11")</f>
        <v>0</v>
      </c>
      <c r="Z63" s="3">
        <f t="array" aca="1" ref="Z63" ca="1">INDIRECT("'"&amp;$A63&amp;"'!W11")</f>
        <v>0</v>
      </c>
      <c r="AA63" s="3">
        <f t="array" aca="1" ref="AA63" ca="1">INDIRECT("'"&amp;$A63&amp;"'!X11")</f>
        <v>0</v>
      </c>
      <c r="AB63" s="3">
        <f t="array" aca="1" ref="AB63" ca="1">INDIRECT("'"&amp;$A63&amp;"'!Y11")</f>
        <v>0</v>
      </c>
      <c r="AC63" s="3">
        <f t="array" aca="1" ref="AC63" ca="1">INDIRECT("'"&amp;$A63&amp;"'!Z11")</f>
        <v>0</v>
      </c>
      <c r="AD63" s="32">
        <f t="array" aca="1" ref="AD63" ca="1">INDIRECT("'"&amp;$A63&amp;"'!AA11")</f>
        <v>0</v>
      </c>
      <c r="AE63" s="82">
        <f t="array" aca="1" ref="AE63" ca="1">INDIRECT("'"&amp;$A63&amp;"'!J3")</f>
        <v>0</v>
      </c>
      <c r="AF63" s="53" t="str">
        <f t="array" aca="1" ref="AF63" ca="1">INDIRECT("'"&amp;$A63&amp;"'!AC1")</f>
        <v/>
      </c>
    </row>
    <row r="64" spans="1:32" ht="15.75" customHeight="1" thickBot="1">
      <c r="A64" s="58">
        <v>21</v>
      </c>
      <c r="B64" s="107"/>
      <c r="C64" s="77" t="str">
        <f t="array" aca="1" ref="C64" ca="1">CONCATENATE("分 ",INDIRECT("'"&amp;$A63&amp;"'!D6"))</f>
        <v>分 0</v>
      </c>
      <c r="D64" s="56" t="s">
        <v>8</v>
      </c>
      <c r="E64" s="83">
        <f t="array" aca="1" ref="E64" ca="1">INDIRECT("'"&amp;$A63&amp;"'!I4")</f>
        <v>18</v>
      </c>
      <c r="F64" s="52">
        <f t="array" aca="1" ref="F64" ca="1">INDIRECT("'"&amp;$A64&amp;"'!C14")</f>
        <v>0</v>
      </c>
      <c r="G64" s="3">
        <f t="array" aca="1" ref="G64" ca="1">INDIRECT("'"&amp;$A64&amp;"'!D14")</f>
        <v>0</v>
      </c>
      <c r="H64" s="3">
        <f t="array" aca="1" ref="H64" ca="1">INDIRECT("'"&amp;$A64&amp;"'!E14")</f>
        <v>0</v>
      </c>
      <c r="I64" s="3">
        <f t="array" aca="1" ref="I64" ca="1">INDIRECT("'"&amp;$A64&amp;"'!F14")</f>
        <v>0</v>
      </c>
      <c r="J64" s="3">
        <f t="array" aca="1" ref="J64" ca="1">INDIRECT("'"&amp;$A64&amp;"'!G14")</f>
        <v>0</v>
      </c>
      <c r="K64" s="3">
        <f t="array" aca="1" ref="K64" ca="1">INDIRECT("'"&amp;$A64&amp;"'!H14")</f>
        <v>0</v>
      </c>
      <c r="L64" s="3">
        <f t="array" aca="1" ref="L64" ca="1">INDIRECT("'"&amp;$A64&amp;"'!I14")</f>
        <v>0</v>
      </c>
      <c r="M64" s="3">
        <f t="array" aca="1" ref="M64" ca="1">INDIRECT("'"&amp;$A64&amp;"'!J14")</f>
        <v>0</v>
      </c>
      <c r="N64" s="3">
        <f t="array" aca="1" ref="N64" ca="1">INDIRECT("'"&amp;$A64&amp;"'!K14")</f>
        <v>0</v>
      </c>
      <c r="O64" s="3">
        <f t="array" aca="1" ref="O64" ca="1">INDIRECT("'"&amp;$A64&amp;"'!L14")</f>
        <v>0</v>
      </c>
      <c r="P64" s="3">
        <f t="array" aca="1" ref="P64" ca="1">INDIRECT("'"&amp;$A64&amp;"'!M14")</f>
        <v>0</v>
      </c>
      <c r="Q64" s="3">
        <f t="array" aca="1" ref="Q64" ca="1">INDIRECT("'"&amp;$A64&amp;"'!N14")</f>
        <v>0</v>
      </c>
      <c r="R64" s="3">
        <f t="array" aca="1" ref="R64" ca="1">INDIRECT("'"&amp;$A64&amp;"'!O14")</f>
        <v>0</v>
      </c>
      <c r="S64" s="3">
        <f t="array" aca="1" ref="S64" ca="1">INDIRECT("'"&amp;$A64&amp;"'!P14")</f>
        <v>0</v>
      </c>
      <c r="T64" s="3">
        <f t="array" aca="1" ref="T64" ca="1">INDIRECT("'"&amp;$A64&amp;"'!Q14")</f>
        <v>0</v>
      </c>
      <c r="U64" s="3">
        <f t="array" aca="1" ref="U64" ca="1">INDIRECT("'"&amp;$A64&amp;"'!R14")</f>
        <v>0</v>
      </c>
      <c r="V64" s="3">
        <f t="array" aca="1" ref="V64" ca="1">INDIRECT("'"&amp;$A64&amp;"'!S14")</f>
        <v>0</v>
      </c>
      <c r="W64" s="3">
        <f t="array" aca="1" ref="W64" ca="1">INDIRECT("'"&amp;$A64&amp;"'!T14")</f>
        <v>0</v>
      </c>
      <c r="X64" s="3">
        <f t="array" aca="1" ref="X64" ca="1">INDIRECT("'"&amp;$A64&amp;"'!U14")</f>
        <v>0</v>
      </c>
      <c r="Y64" s="3">
        <f t="array" aca="1" ref="Y64" ca="1">INDIRECT("'"&amp;$A64&amp;"'!V14")</f>
        <v>0</v>
      </c>
      <c r="Z64" s="3">
        <f t="array" aca="1" ref="Z64" ca="1">INDIRECT("'"&amp;$A64&amp;"'!W14")</f>
        <v>0</v>
      </c>
      <c r="AA64" s="3">
        <f t="array" aca="1" ref="AA64" ca="1">INDIRECT("'"&amp;$A64&amp;"'!X14")</f>
        <v>0</v>
      </c>
      <c r="AB64" s="3">
        <f t="array" aca="1" ref="AB64" ca="1">INDIRECT("'"&amp;$A64&amp;"'!Y14")</f>
        <v>0</v>
      </c>
      <c r="AC64" s="3">
        <f t="array" aca="1" ref="AC64" ca="1">INDIRECT("'"&amp;$A64&amp;"'!Z14")</f>
        <v>0</v>
      </c>
      <c r="AD64" s="32">
        <f t="array" aca="1" ref="AD64" ca="1">INDIRECT("'"&amp;$A64&amp;"'!AA14")</f>
        <v>0</v>
      </c>
      <c r="AE64" s="83">
        <f t="array" aca="1" ref="AE64" ca="1">INDIRECT("'"&amp;$A63&amp;"'!J4")</f>
        <v>0</v>
      </c>
      <c r="AF64" s="53"/>
    </row>
    <row r="65" spans="1:32">
      <c r="A65" s="58">
        <v>22</v>
      </c>
      <c r="B65" s="105">
        <f>INDEX(data!$I$2:$I$91,MATCH(A65*1,data!$G$2:$G$91,0))</f>
        <v>46206</v>
      </c>
      <c r="C65" s="66" t="str">
        <f>HYPERLINK("#'" &amp; A65 &amp; "'!A1", "编辑")</f>
        <v>编辑</v>
      </c>
      <c r="D65" s="54" t="s">
        <v>6</v>
      </c>
      <c r="E65" s="81">
        <f t="array" aca="1" ref="E65" ca="1">INDIRECT("'"&amp;$A66&amp;"'!I2")</f>
        <v>18</v>
      </c>
      <c r="F65" s="29">
        <f t="array" aca="1" ref="F65" ca="1">INDIRECT("'"&amp;$A65&amp;"'!C8")</f>
        <v>0</v>
      </c>
      <c r="G65" s="30">
        <f t="array" aca="1" ref="G65" ca="1">INDIRECT("'"&amp;$A65&amp;"'!D8")</f>
        <v>0</v>
      </c>
      <c r="H65" s="30">
        <f t="array" aca="1" ref="H65" ca="1">INDIRECT("'"&amp;$A65&amp;"'!E8")</f>
        <v>0</v>
      </c>
      <c r="I65" s="30">
        <f t="array" aca="1" ref="I65" ca="1">INDIRECT("'"&amp;$A65&amp;"'!F8")</f>
        <v>0</v>
      </c>
      <c r="J65" s="30">
        <f t="array" aca="1" ref="J65" ca="1">INDIRECT("'"&amp;$A65&amp;"'!G8")</f>
        <v>0</v>
      </c>
      <c r="K65" s="30">
        <f t="array" aca="1" ref="K65" ca="1">INDIRECT("'"&amp;$A65&amp;"'!H8")</f>
        <v>0</v>
      </c>
      <c r="L65" s="30">
        <f t="array" aca="1" ref="L65" ca="1">INDIRECT("'"&amp;$A65&amp;"'!I8")</f>
        <v>0</v>
      </c>
      <c r="M65" s="30">
        <f t="array" aca="1" ref="M65" ca="1">INDIRECT("'"&amp;$A65&amp;"'!J8")</f>
        <v>0</v>
      </c>
      <c r="N65" s="30">
        <f t="array" aca="1" ref="N65" ca="1">INDIRECT("'"&amp;$A65&amp;"'!K8")</f>
        <v>0</v>
      </c>
      <c r="O65" s="30">
        <f t="array" aca="1" ref="O65" ca="1">INDIRECT("'"&amp;$A65&amp;"'!L8")</f>
        <v>0</v>
      </c>
      <c r="P65" s="30">
        <f t="array" aca="1" ref="P65" ca="1">INDIRECT("'"&amp;$A65&amp;"'!M8")</f>
        <v>0</v>
      </c>
      <c r="Q65" s="30">
        <f t="array" aca="1" ref="Q65" ca="1">INDIRECT("'"&amp;$A65&amp;"'!N8")</f>
        <v>0</v>
      </c>
      <c r="R65" s="30">
        <f t="array" aca="1" ref="R65" ca="1">INDIRECT("'"&amp;$A65&amp;"'!O8")</f>
        <v>0</v>
      </c>
      <c r="S65" s="30">
        <f t="array" aca="1" ref="S65" ca="1">INDIRECT("'"&amp;$A65&amp;"'!P8")</f>
        <v>0</v>
      </c>
      <c r="T65" s="30">
        <f t="array" aca="1" ref="T65" ca="1">INDIRECT("'"&amp;$A65&amp;"'!Q8")</f>
        <v>0</v>
      </c>
      <c r="U65" s="30">
        <f t="array" aca="1" ref="U65" ca="1">INDIRECT("'"&amp;$A65&amp;"'!R8")</f>
        <v>0</v>
      </c>
      <c r="V65" s="30">
        <f t="array" aca="1" ref="V65" ca="1">INDIRECT("'"&amp;$A65&amp;"'!S8")</f>
        <v>0</v>
      </c>
      <c r="W65" s="30">
        <f t="array" aca="1" ref="W65" ca="1">INDIRECT("'"&amp;$A65&amp;"'!T8")</f>
        <v>0</v>
      </c>
      <c r="X65" s="30">
        <f t="array" aca="1" ref="X65" ca="1">INDIRECT("'"&amp;$A65&amp;"'!U8")</f>
        <v>0</v>
      </c>
      <c r="Y65" s="30">
        <f t="array" aca="1" ref="Y65" ca="1">INDIRECT("'"&amp;$A65&amp;"'!V8")</f>
        <v>0</v>
      </c>
      <c r="Z65" s="30">
        <f t="array" aca="1" ref="Z65" ca="1">INDIRECT("'"&amp;$A65&amp;"'!W8")</f>
        <v>0</v>
      </c>
      <c r="AA65" s="30">
        <f t="array" aca="1" ref="AA65" ca="1">INDIRECT("'"&amp;$A65&amp;"'!X8")</f>
        <v>0</v>
      </c>
      <c r="AB65" s="30">
        <f t="array" aca="1" ref="AB65" ca="1">INDIRECT("'"&amp;$A65&amp;"'!Y8")</f>
        <v>0</v>
      </c>
      <c r="AC65" s="30">
        <f t="array" aca="1" ref="AC65" ca="1">INDIRECT("'"&amp;$A65&amp;"'!Z8")</f>
        <v>0</v>
      </c>
      <c r="AD65" s="31">
        <f t="array" aca="1" ref="AD65" ca="1">INDIRECT("'"&amp;$A65&amp;"'!AA8")</f>
        <v>0</v>
      </c>
      <c r="AE65" s="81">
        <f t="array" aca="1" ref="AE65" ca="1">INDIRECT("'"&amp;$A66&amp;"'!J2")</f>
        <v>0</v>
      </c>
      <c r="AF65" s="53" t="str">
        <f t="array" aca="1" ref="AF65" ca="1">INDIRECT("'"&amp;$A66&amp;"'!AD1")</f>
        <v/>
      </c>
    </row>
    <row r="66" spans="1:32">
      <c r="A66" s="58">
        <v>22</v>
      </c>
      <c r="B66" s="106"/>
      <c r="C66" s="67" t="str">
        <f t="array" aca="1" ref="C66" ca="1">CONCATENATE("粮 ",INDIRECT("'"&amp;$A66&amp;"'!D4"))</f>
        <v>粮 40400</v>
      </c>
      <c r="D66" s="55" t="s">
        <v>7</v>
      </c>
      <c r="E66" s="82">
        <f t="array" aca="1" ref="E66" ca="1">INDIRECT("'"&amp;$A66&amp;"'!I3")</f>
        <v>18</v>
      </c>
      <c r="F66" s="52">
        <f t="array" aca="1" ref="F66" ca="1">INDIRECT("'"&amp;$A66&amp;"'!C11")</f>
        <v>0</v>
      </c>
      <c r="G66" s="3">
        <f t="array" aca="1" ref="G66" ca="1">INDIRECT("'"&amp;$A66&amp;"'!D11")</f>
        <v>0</v>
      </c>
      <c r="H66" s="3">
        <f t="array" aca="1" ref="H66" ca="1">INDIRECT("'"&amp;$A66&amp;"'!E11")</f>
        <v>0</v>
      </c>
      <c r="I66" s="3">
        <f t="array" aca="1" ref="I66" ca="1">INDIRECT("'"&amp;$A66&amp;"'!F11")</f>
        <v>0</v>
      </c>
      <c r="J66" s="3">
        <f t="array" aca="1" ref="J66" ca="1">INDIRECT("'"&amp;$A66&amp;"'!G11")</f>
        <v>0</v>
      </c>
      <c r="K66" s="3">
        <f t="array" aca="1" ref="K66" ca="1">INDIRECT("'"&amp;$A66&amp;"'!H11")</f>
        <v>0</v>
      </c>
      <c r="L66" s="3">
        <f t="array" aca="1" ref="L66" ca="1">INDIRECT("'"&amp;$A66&amp;"'!I11")</f>
        <v>0</v>
      </c>
      <c r="M66" s="3">
        <f t="array" aca="1" ref="M66" ca="1">INDIRECT("'"&amp;$A66&amp;"'!J11")</f>
        <v>0</v>
      </c>
      <c r="N66" s="3">
        <f t="array" aca="1" ref="N66" ca="1">INDIRECT("'"&amp;$A66&amp;"'!K11")</f>
        <v>0</v>
      </c>
      <c r="O66" s="3">
        <f t="array" aca="1" ref="O66" ca="1">INDIRECT("'"&amp;$A66&amp;"'!L11")</f>
        <v>0</v>
      </c>
      <c r="P66" s="3">
        <f t="array" aca="1" ref="P66" ca="1">INDIRECT("'"&amp;$A66&amp;"'!M11")</f>
        <v>0</v>
      </c>
      <c r="Q66" s="3">
        <f t="array" aca="1" ref="Q66" ca="1">INDIRECT("'"&amp;$A66&amp;"'!N11")</f>
        <v>0</v>
      </c>
      <c r="R66" s="3">
        <f t="array" aca="1" ref="R66" ca="1">INDIRECT("'"&amp;$A66&amp;"'!O11")</f>
        <v>0</v>
      </c>
      <c r="S66" s="3">
        <f t="array" aca="1" ref="S66" ca="1">INDIRECT("'"&amp;$A66&amp;"'!P11")</f>
        <v>0</v>
      </c>
      <c r="T66" s="3">
        <f t="array" aca="1" ref="T66" ca="1">INDIRECT("'"&amp;$A66&amp;"'!Q11")</f>
        <v>0</v>
      </c>
      <c r="U66" s="3">
        <f t="array" aca="1" ref="U66" ca="1">INDIRECT("'"&amp;$A66&amp;"'!R11")</f>
        <v>0</v>
      </c>
      <c r="V66" s="3">
        <f t="array" aca="1" ref="V66" ca="1">INDIRECT("'"&amp;$A66&amp;"'!S11")</f>
        <v>0</v>
      </c>
      <c r="W66" s="3">
        <f t="array" aca="1" ref="W66" ca="1">INDIRECT("'"&amp;$A66&amp;"'!T11")</f>
        <v>0</v>
      </c>
      <c r="X66" s="3">
        <f t="array" aca="1" ref="X66" ca="1">INDIRECT("'"&amp;$A66&amp;"'!U11")</f>
        <v>0</v>
      </c>
      <c r="Y66" s="3">
        <f t="array" aca="1" ref="Y66" ca="1">INDIRECT("'"&amp;$A66&amp;"'!V11")</f>
        <v>0</v>
      </c>
      <c r="Z66" s="3">
        <f t="array" aca="1" ref="Z66" ca="1">INDIRECT("'"&amp;$A66&amp;"'!W11")</f>
        <v>0</v>
      </c>
      <c r="AA66" s="3">
        <f t="array" aca="1" ref="AA66" ca="1">INDIRECT("'"&amp;$A66&amp;"'!X11")</f>
        <v>0</v>
      </c>
      <c r="AB66" s="3">
        <f t="array" aca="1" ref="AB66" ca="1">INDIRECT("'"&amp;$A66&amp;"'!Y11")</f>
        <v>0</v>
      </c>
      <c r="AC66" s="3">
        <f t="array" aca="1" ref="AC66" ca="1">INDIRECT("'"&amp;$A66&amp;"'!Z11")</f>
        <v>0</v>
      </c>
      <c r="AD66" s="32">
        <f t="array" aca="1" ref="AD66" ca="1">INDIRECT("'"&amp;$A66&amp;"'!AA11")</f>
        <v>0</v>
      </c>
      <c r="AE66" s="82">
        <f t="array" aca="1" ref="AE66" ca="1">INDIRECT("'"&amp;$A66&amp;"'!J3")</f>
        <v>0</v>
      </c>
      <c r="AF66" s="53" t="str">
        <f t="array" aca="1" ref="AF66" ca="1">INDIRECT("'"&amp;$A66&amp;"'!AC1")</f>
        <v/>
      </c>
    </row>
    <row r="67" spans="1:32" ht="15.75" customHeight="1" thickBot="1">
      <c r="A67" s="58">
        <v>22</v>
      </c>
      <c r="B67" s="107"/>
      <c r="C67" s="77" t="str">
        <f t="array" aca="1" ref="C67" ca="1">CONCATENATE("分 ",INDIRECT("'"&amp;$A66&amp;"'!D6"))</f>
        <v>分 0</v>
      </c>
      <c r="D67" s="56" t="s">
        <v>8</v>
      </c>
      <c r="E67" s="83">
        <f t="array" aca="1" ref="E67" ca="1">INDIRECT("'"&amp;$A66&amp;"'!I4")</f>
        <v>18</v>
      </c>
      <c r="F67" s="52">
        <f t="array" aca="1" ref="F67" ca="1">INDIRECT("'"&amp;$A67&amp;"'!C14")</f>
        <v>0</v>
      </c>
      <c r="G67" s="3">
        <f t="array" aca="1" ref="G67" ca="1">INDIRECT("'"&amp;$A67&amp;"'!D14")</f>
        <v>0</v>
      </c>
      <c r="H67" s="3">
        <f t="array" aca="1" ref="H67" ca="1">INDIRECT("'"&amp;$A67&amp;"'!E14")</f>
        <v>0</v>
      </c>
      <c r="I67" s="3">
        <f t="array" aca="1" ref="I67" ca="1">INDIRECT("'"&amp;$A67&amp;"'!F14")</f>
        <v>0</v>
      </c>
      <c r="J67" s="3">
        <f t="array" aca="1" ref="J67" ca="1">INDIRECT("'"&amp;$A67&amp;"'!G14")</f>
        <v>0</v>
      </c>
      <c r="K67" s="3">
        <f t="array" aca="1" ref="K67" ca="1">INDIRECT("'"&amp;$A67&amp;"'!H14")</f>
        <v>0</v>
      </c>
      <c r="L67" s="3">
        <f t="array" aca="1" ref="L67" ca="1">INDIRECT("'"&amp;$A67&amp;"'!I14")</f>
        <v>0</v>
      </c>
      <c r="M67" s="3">
        <f t="array" aca="1" ref="M67" ca="1">INDIRECT("'"&amp;$A67&amp;"'!J14")</f>
        <v>0</v>
      </c>
      <c r="N67" s="3">
        <f t="array" aca="1" ref="N67" ca="1">INDIRECT("'"&amp;$A67&amp;"'!K14")</f>
        <v>0</v>
      </c>
      <c r="O67" s="3">
        <f t="array" aca="1" ref="O67" ca="1">INDIRECT("'"&amp;$A67&amp;"'!L14")</f>
        <v>0</v>
      </c>
      <c r="P67" s="3">
        <f t="array" aca="1" ref="P67" ca="1">INDIRECT("'"&amp;$A67&amp;"'!M14")</f>
        <v>0</v>
      </c>
      <c r="Q67" s="3">
        <f t="array" aca="1" ref="Q67" ca="1">INDIRECT("'"&amp;$A67&amp;"'!N14")</f>
        <v>0</v>
      </c>
      <c r="R67" s="3">
        <f t="array" aca="1" ref="R67" ca="1">INDIRECT("'"&amp;$A67&amp;"'!O14")</f>
        <v>0</v>
      </c>
      <c r="S67" s="3">
        <f t="array" aca="1" ref="S67" ca="1">INDIRECT("'"&amp;$A67&amp;"'!P14")</f>
        <v>0</v>
      </c>
      <c r="T67" s="3">
        <f t="array" aca="1" ref="T67" ca="1">INDIRECT("'"&amp;$A67&amp;"'!Q14")</f>
        <v>0</v>
      </c>
      <c r="U67" s="3">
        <f t="array" aca="1" ref="U67" ca="1">INDIRECT("'"&amp;$A67&amp;"'!R14")</f>
        <v>0</v>
      </c>
      <c r="V67" s="3">
        <f t="array" aca="1" ref="V67" ca="1">INDIRECT("'"&amp;$A67&amp;"'!S14")</f>
        <v>0</v>
      </c>
      <c r="W67" s="3">
        <f t="array" aca="1" ref="W67" ca="1">INDIRECT("'"&amp;$A67&amp;"'!T14")</f>
        <v>0</v>
      </c>
      <c r="X67" s="3">
        <f t="array" aca="1" ref="X67" ca="1">INDIRECT("'"&amp;$A67&amp;"'!U14")</f>
        <v>0</v>
      </c>
      <c r="Y67" s="3">
        <f t="array" aca="1" ref="Y67" ca="1">INDIRECT("'"&amp;$A67&amp;"'!V14")</f>
        <v>0</v>
      </c>
      <c r="Z67" s="3">
        <f t="array" aca="1" ref="Z67" ca="1">INDIRECT("'"&amp;$A67&amp;"'!W14")</f>
        <v>0</v>
      </c>
      <c r="AA67" s="3">
        <f t="array" aca="1" ref="AA67" ca="1">INDIRECT("'"&amp;$A67&amp;"'!X14")</f>
        <v>0</v>
      </c>
      <c r="AB67" s="3">
        <f t="array" aca="1" ref="AB67" ca="1">INDIRECT("'"&amp;$A67&amp;"'!Y14")</f>
        <v>0</v>
      </c>
      <c r="AC67" s="3">
        <f t="array" aca="1" ref="AC67" ca="1">INDIRECT("'"&amp;$A67&amp;"'!Z14")</f>
        <v>0</v>
      </c>
      <c r="AD67" s="32">
        <f t="array" aca="1" ref="AD67" ca="1">INDIRECT("'"&amp;$A67&amp;"'!AA14")</f>
        <v>0</v>
      </c>
      <c r="AE67" s="83">
        <f t="array" aca="1" ref="AE67" ca="1">INDIRECT("'"&amp;$A66&amp;"'!J4")</f>
        <v>0</v>
      </c>
      <c r="AF67" s="53"/>
    </row>
    <row r="68" spans="1:32">
      <c r="A68" s="58">
        <v>23</v>
      </c>
      <c r="B68" s="105">
        <f>INDEX(data!$I$2:$I$91,MATCH(A68*1,data!$G$2:$G$91,0))</f>
        <v>46207</v>
      </c>
      <c r="C68" s="66" t="str">
        <f>HYPERLINK("#'" &amp; A68 &amp; "'!A1", "编辑")</f>
        <v>编辑</v>
      </c>
      <c r="D68" s="54" t="s">
        <v>6</v>
      </c>
      <c r="E68" s="81">
        <f t="array" aca="1" ref="E68" ca="1">INDIRECT("'"&amp;$A69&amp;"'!I2")</f>
        <v>18</v>
      </c>
      <c r="F68" s="29">
        <f t="array" aca="1" ref="F68" ca="1">INDIRECT("'"&amp;$A68&amp;"'!C8")</f>
        <v>0</v>
      </c>
      <c r="G68" s="30">
        <f t="array" aca="1" ref="G68" ca="1">INDIRECT("'"&amp;$A68&amp;"'!D8")</f>
        <v>0</v>
      </c>
      <c r="H68" s="30">
        <f t="array" aca="1" ref="H68" ca="1">INDIRECT("'"&amp;$A68&amp;"'!E8")</f>
        <v>0</v>
      </c>
      <c r="I68" s="30">
        <f t="array" aca="1" ref="I68" ca="1">INDIRECT("'"&amp;$A68&amp;"'!F8")</f>
        <v>0</v>
      </c>
      <c r="J68" s="30">
        <f t="array" aca="1" ref="J68" ca="1">INDIRECT("'"&amp;$A68&amp;"'!G8")</f>
        <v>0</v>
      </c>
      <c r="K68" s="30">
        <f t="array" aca="1" ref="K68" ca="1">INDIRECT("'"&amp;$A68&amp;"'!H8")</f>
        <v>0</v>
      </c>
      <c r="L68" s="30">
        <f t="array" aca="1" ref="L68" ca="1">INDIRECT("'"&amp;$A68&amp;"'!I8")</f>
        <v>0</v>
      </c>
      <c r="M68" s="30">
        <f t="array" aca="1" ref="M68" ca="1">INDIRECT("'"&amp;$A68&amp;"'!J8")</f>
        <v>0</v>
      </c>
      <c r="N68" s="30">
        <f t="array" aca="1" ref="N68" ca="1">INDIRECT("'"&amp;$A68&amp;"'!K8")</f>
        <v>0</v>
      </c>
      <c r="O68" s="30">
        <f t="array" aca="1" ref="O68" ca="1">INDIRECT("'"&amp;$A68&amp;"'!L8")</f>
        <v>0</v>
      </c>
      <c r="P68" s="30">
        <f t="array" aca="1" ref="P68" ca="1">INDIRECT("'"&amp;$A68&amp;"'!M8")</f>
        <v>0</v>
      </c>
      <c r="Q68" s="30">
        <f t="array" aca="1" ref="Q68" ca="1">INDIRECT("'"&amp;$A68&amp;"'!N8")</f>
        <v>0</v>
      </c>
      <c r="R68" s="30">
        <f t="array" aca="1" ref="R68" ca="1">INDIRECT("'"&amp;$A68&amp;"'!O8")</f>
        <v>0</v>
      </c>
      <c r="S68" s="30">
        <f t="array" aca="1" ref="S68" ca="1">INDIRECT("'"&amp;$A68&amp;"'!P8")</f>
        <v>0</v>
      </c>
      <c r="T68" s="30">
        <f t="array" aca="1" ref="T68" ca="1">INDIRECT("'"&amp;$A68&amp;"'!Q8")</f>
        <v>0</v>
      </c>
      <c r="U68" s="30">
        <f t="array" aca="1" ref="U68" ca="1">INDIRECT("'"&amp;$A68&amp;"'!R8")</f>
        <v>0</v>
      </c>
      <c r="V68" s="30">
        <f t="array" aca="1" ref="V68" ca="1">INDIRECT("'"&amp;$A68&amp;"'!S8")</f>
        <v>0</v>
      </c>
      <c r="W68" s="30">
        <f t="array" aca="1" ref="W68" ca="1">INDIRECT("'"&amp;$A68&amp;"'!T8")</f>
        <v>0</v>
      </c>
      <c r="X68" s="30">
        <f t="array" aca="1" ref="X68" ca="1">INDIRECT("'"&amp;$A68&amp;"'!U8")</f>
        <v>0</v>
      </c>
      <c r="Y68" s="30">
        <f t="array" aca="1" ref="Y68" ca="1">INDIRECT("'"&amp;$A68&amp;"'!V8")</f>
        <v>0</v>
      </c>
      <c r="Z68" s="30">
        <f t="array" aca="1" ref="Z68" ca="1">INDIRECT("'"&amp;$A68&amp;"'!W8")</f>
        <v>0</v>
      </c>
      <c r="AA68" s="30">
        <f t="array" aca="1" ref="AA68" ca="1">INDIRECT("'"&amp;$A68&amp;"'!X8")</f>
        <v>0</v>
      </c>
      <c r="AB68" s="30">
        <f t="array" aca="1" ref="AB68" ca="1">INDIRECT("'"&amp;$A68&amp;"'!Y8")</f>
        <v>0</v>
      </c>
      <c r="AC68" s="30">
        <f t="array" aca="1" ref="AC68" ca="1">INDIRECT("'"&amp;$A68&amp;"'!Z8")</f>
        <v>0</v>
      </c>
      <c r="AD68" s="31">
        <f t="array" aca="1" ref="AD68" ca="1">INDIRECT("'"&amp;$A68&amp;"'!AA8")</f>
        <v>0</v>
      </c>
      <c r="AE68" s="81">
        <f t="array" aca="1" ref="AE68" ca="1">INDIRECT("'"&amp;$A69&amp;"'!J2")</f>
        <v>0</v>
      </c>
      <c r="AF68" s="53" t="str">
        <f t="array" aca="1" ref="AF68" ca="1">INDIRECT("'"&amp;$A69&amp;"'!AD1")</f>
        <v/>
      </c>
    </row>
    <row r="69" spans="1:32">
      <c r="A69" s="58">
        <v>23</v>
      </c>
      <c r="B69" s="106"/>
      <c r="C69" s="67" t="str">
        <f t="array" aca="1" ref="C69" ca="1">CONCATENATE("粮 ",INDIRECT("'"&amp;$A69&amp;"'!D4"))</f>
        <v>粮 42000</v>
      </c>
      <c r="D69" s="55" t="s">
        <v>7</v>
      </c>
      <c r="E69" s="82">
        <f t="array" aca="1" ref="E69" ca="1">INDIRECT("'"&amp;$A69&amp;"'!I3")</f>
        <v>18</v>
      </c>
      <c r="F69" s="52">
        <f t="array" aca="1" ref="F69" ca="1">INDIRECT("'"&amp;$A69&amp;"'!C11")</f>
        <v>0</v>
      </c>
      <c r="G69" s="3">
        <f t="array" aca="1" ref="G69" ca="1">INDIRECT("'"&amp;$A69&amp;"'!D11")</f>
        <v>0</v>
      </c>
      <c r="H69" s="3">
        <f t="array" aca="1" ref="H69" ca="1">INDIRECT("'"&amp;$A69&amp;"'!E11")</f>
        <v>0</v>
      </c>
      <c r="I69" s="3">
        <f t="array" aca="1" ref="I69" ca="1">INDIRECT("'"&amp;$A69&amp;"'!F11")</f>
        <v>0</v>
      </c>
      <c r="J69" s="3">
        <f t="array" aca="1" ref="J69" ca="1">INDIRECT("'"&amp;$A69&amp;"'!G11")</f>
        <v>0</v>
      </c>
      <c r="K69" s="3">
        <f t="array" aca="1" ref="K69" ca="1">INDIRECT("'"&amp;$A69&amp;"'!H11")</f>
        <v>0</v>
      </c>
      <c r="L69" s="3">
        <f t="array" aca="1" ref="L69" ca="1">INDIRECT("'"&amp;$A69&amp;"'!I11")</f>
        <v>0</v>
      </c>
      <c r="M69" s="3">
        <f t="array" aca="1" ref="M69" ca="1">INDIRECT("'"&amp;$A69&amp;"'!J11")</f>
        <v>0</v>
      </c>
      <c r="N69" s="3">
        <f t="array" aca="1" ref="N69" ca="1">INDIRECT("'"&amp;$A69&amp;"'!K11")</f>
        <v>0</v>
      </c>
      <c r="O69" s="3">
        <f t="array" aca="1" ref="O69" ca="1">INDIRECT("'"&amp;$A69&amp;"'!L11")</f>
        <v>0</v>
      </c>
      <c r="P69" s="3">
        <f t="array" aca="1" ref="P69" ca="1">INDIRECT("'"&amp;$A69&amp;"'!M11")</f>
        <v>0</v>
      </c>
      <c r="Q69" s="3">
        <f t="array" aca="1" ref="Q69" ca="1">INDIRECT("'"&amp;$A69&amp;"'!N11")</f>
        <v>0</v>
      </c>
      <c r="R69" s="3">
        <f t="array" aca="1" ref="R69" ca="1">INDIRECT("'"&amp;$A69&amp;"'!O11")</f>
        <v>0</v>
      </c>
      <c r="S69" s="3">
        <f t="array" aca="1" ref="S69" ca="1">INDIRECT("'"&amp;$A69&amp;"'!P11")</f>
        <v>0</v>
      </c>
      <c r="T69" s="3">
        <f t="array" aca="1" ref="T69" ca="1">INDIRECT("'"&amp;$A69&amp;"'!Q11")</f>
        <v>0</v>
      </c>
      <c r="U69" s="3">
        <f t="array" aca="1" ref="U69" ca="1">INDIRECT("'"&amp;$A69&amp;"'!R11")</f>
        <v>0</v>
      </c>
      <c r="V69" s="3">
        <f t="array" aca="1" ref="V69" ca="1">INDIRECT("'"&amp;$A69&amp;"'!S11")</f>
        <v>0</v>
      </c>
      <c r="W69" s="3">
        <f t="array" aca="1" ref="W69" ca="1">INDIRECT("'"&amp;$A69&amp;"'!T11")</f>
        <v>0</v>
      </c>
      <c r="X69" s="3">
        <f t="array" aca="1" ref="X69" ca="1">INDIRECT("'"&amp;$A69&amp;"'!U11")</f>
        <v>0</v>
      </c>
      <c r="Y69" s="3">
        <f t="array" aca="1" ref="Y69" ca="1">INDIRECT("'"&amp;$A69&amp;"'!V11")</f>
        <v>0</v>
      </c>
      <c r="Z69" s="3">
        <f t="array" aca="1" ref="Z69" ca="1">INDIRECT("'"&amp;$A69&amp;"'!W11")</f>
        <v>0</v>
      </c>
      <c r="AA69" s="3">
        <f t="array" aca="1" ref="AA69" ca="1">INDIRECT("'"&amp;$A69&amp;"'!X11")</f>
        <v>0</v>
      </c>
      <c r="AB69" s="3">
        <f t="array" aca="1" ref="AB69" ca="1">INDIRECT("'"&amp;$A69&amp;"'!Y11")</f>
        <v>0</v>
      </c>
      <c r="AC69" s="3">
        <f t="array" aca="1" ref="AC69" ca="1">INDIRECT("'"&amp;$A69&amp;"'!Z11")</f>
        <v>0</v>
      </c>
      <c r="AD69" s="32">
        <f t="array" aca="1" ref="AD69" ca="1">INDIRECT("'"&amp;$A69&amp;"'!AA11")</f>
        <v>0</v>
      </c>
      <c r="AE69" s="82">
        <f t="array" aca="1" ref="AE69" ca="1">INDIRECT("'"&amp;$A69&amp;"'!J3")</f>
        <v>0</v>
      </c>
      <c r="AF69" s="53" t="str">
        <f t="array" aca="1" ref="AF69" ca="1">INDIRECT("'"&amp;$A69&amp;"'!AC1")</f>
        <v/>
      </c>
    </row>
    <row r="70" spans="1:32" ht="15.75" customHeight="1" thickBot="1">
      <c r="A70" s="58">
        <v>23</v>
      </c>
      <c r="B70" s="107"/>
      <c r="C70" s="77" t="str">
        <f t="array" aca="1" ref="C70" ca="1">CONCATENATE("分 ",INDIRECT("'"&amp;$A69&amp;"'!D6"))</f>
        <v>分 0</v>
      </c>
      <c r="D70" s="56" t="s">
        <v>8</v>
      </c>
      <c r="E70" s="83">
        <f t="array" aca="1" ref="E70" ca="1">INDIRECT("'"&amp;$A69&amp;"'!I4")</f>
        <v>18</v>
      </c>
      <c r="F70" s="52">
        <f t="array" aca="1" ref="F70" ca="1">INDIRECT("'"&amp;$A70&amp;"'!C14")</f>
        <v>0</v>
      </c>
      <c r="G70" s="3">
        <f t="array" aca="1" ref="G70" ca="1">INDIRECT("'"&amp;$A70&amp;"'!D14")</f>
        <v>0</v>
      </c>
      <c r="H70" s="3">
        <f t="array" aca="1" ref="H70" ca="1">INDIRECT("'"&amp;$A70&amp;"'!E14")</f>
        <v>0</v>
      </c>
      <c r="I70" s="3">
        <f t="array" aca="1" ref="I70" ca="1">INDIRECT("'"&amp;$A70&amp;"'!F14")</f>
        <v>0</v>
      </c>
      <c r="J70" s="3">
        <f t="array" aca="1" ref="J70" ca="1">INDIRECT("'"&amp;$A70&amp;"'!G14")</f>
        <v>0</v>
      </c>
      <c r="K70" s="3">
        <f t="array" aca="1" ref="K70" ca="1">INDIRECT("'"&amp;$A70&amp;"'!H14")</f>
        <v>0</v>
      </c>
      <c r="L70" s="3">
        <f t="array" aca="1" ref="L70" ca="1">INDIRECT("'"&amp;$A70&amp;"'!I14")</f>
        <v>0</v>
      </c>
      <c r="M70" s="3">
        <f t="array" aca="1" ref="M70" ca="1">INDIRECT("'"&amp;$A70&amp;"'!J14")</f>
        <v>0</v>
      </c>
      <c r="N70" s="3">
        <f t="array" aca="1" ref="N70" ca="1">INDIRECT("'"&amp;$A70&amp;"'!K14")</f>
        <v>0</v>
      </c>
      <c r="O70" s="3">
        <f t="array" aca="1" ref="O70" ca="1">INDIRECT("'"&amp;$A70&amp;"'!L14")</f>
        <v>0</v>
      </c>
      <c r="P70" s="3">
        <f t="array" aca="1" ref="P70" ca="1">INDIRECT("'"&amp;$A70&amp;"'!M14")</f>
        <v>0</v>
      </c>
      <c r="Q70" s="3">
        <f t="array" aca="1" ref="Q70" ca="1">INDIRECT("'"&amp;$A70&amp;"'!N14")</f>
        <v>0</v>
      </c>
      <c r="R70" s="3">
        <f t="array" aca="1" ref="R70" ca="1">INDIRECT("'"&amp;$A70&amp;"'!O14")</f>
        <v>0</v>
      </c>
      <c r="S70" s="3">
        <f t="array" aca="1" ref="S70" ca="1">INDIRECT("'"&amp;$A70&amp;"'!P14")</f>
        <v>0</v>
      </c>
      <c r="T70" s="3">
        <f t="array" aca="1" ref="T70" ca="1">INDIRECT("'"&amp;$A70&amp;"'!Q14")</f>
        <v>0</v>
      </c>
      <c r="U70" s="3">
        <f t="array" aca="1" ref="U70" ca="1">INDIRECT("'"&amp;$A70&amp;"'!R14")</f>
        <v>0</v>
      </c>
      <c r="V70" s="3">
        <f t="array" aca="1" ref="V70" ca="1">INDIRECT("'"&amp;$A70&amp;"'!S14")</f>
        <v>0</v>
      </c>
      <c r="W70" s="3">
        <f t="array" aca="1" ref="W70" ca="1">INDIRECT("'"&amp;$A70&amp;"'!T14")</f>
        <v>0</v>
      </c>
      <c r="X70" s="3">
        <f t="array" aca="1" ref="X70" ca="1">INDIRECT("'"&amp;$A70&amp;"'!U14")</f>
        <v>0</v>
      </c>
      <c r="Y70" s="3">
        <f t="array" aca="1" ref="Y70" ca="1">INDIRECT("'"&amp;$A70&amp;"'!V14")</f>
        <v>0</v>
      </c>
      <c r="Z70" s="3">
        <f t="array" aca="1" ref="Z70" ca="1">INDIRECT("'"&amp;$A70&amp;"'!W14")</f>
        <v>0</v>
      </c>
      <c r="AA70" s="3">
        <f t="array" aca="1" ref="AA70" ca="1">INDIRECT("'"&amp;$A70&amp;"'!X14")</f>
        <v>0</v>
      </c>
      <c r="AB70" s="3">
        <f t="array" aca="1" ref="AB70" ca="1">INDIRECT("'"&amp;$A70&amp;"'!Y14")</f>
        <v>0</v>
      </c>
      <c r="AC70" s="3">
        <f t="array" aca="1" ref="AC70" ca="1">INDIRECT("'"&amp;$A70&amp;"'!Z14")</f>
        <v>0</v>
      </c>
      <c r="AD70" s="32">
        <f t="array" aca="1" ref="AD70" ca="1">INDIRECT("'"&amp;$A70&amp;"'!AA14")</f>
        <v>0</v>
      </c>
      <c r="AE70" s="83">
        <f t="array" aca="1" ref="AE70" ca="1">INDIRECT("'"&amp;$A69&amp;"'!J4")</f>
        <v>0</v>
      </c>
      <c r="AF70" s="53"/>
    </row>
    <row r="71" spans="1:32">
      <c r="A71" s="58">
        <v>24</v>
      </c>
      <c r="B71" s="105">
        <f>INDEX(data!$I$2:$I$91,MATCH(A71*1,data!$G$2:$G$91,0))</f>
        <v>46208</v>
      </c>
      <c r="C71" s="66" t="str">
        <f>HYPERLINK("#'" &amp; A71 &amp; "'!A1", "编辑")</f>
        <v>编辑</v>
      </c>
      <c r="D71" s="54" t="s">
        <v>6</v>
      </c>
      <c r="E71" s="81">
        <f t="array" aca="1" ref="E71" ca="1">INDIRECT("'"&amp;$A72&amp;"'!I2")</f>
        <v>18</v>
      </c>
      <c r="F71" s="29">
        <f t="array" aca="1" ref="F71" ca="1">INDIRECT("'"&amp;$A71&amp;"'!C8")</f>
        <v>0</v>
      </c>
      <c r="G71" s="30">
        <f t="array" aca="1" ref="G71" ca="1">INDIRECT("'"&amp;$A71&amp;"'!D8")</f>
        <v>0</v>
      </c>
      <c r="H71" s="30">
        <f t="array" aca="1" ref="H71" ca="1">INDIRECT("'"&amp;$A71&amp;"'!E8")</f>
        <v>0</v>
      </c>
      <c r="I71" s="30">
        <f t="array" aca="1" ref="I71" ca="1">INDIRECT("'"&amp;$A71&amp;"'!F8")</f>
        <v>0</v>
      </c>
      <c r="J71" s="30">
        <f t="array" aca="1" ref="J71" ca="1">INDIRECT("'"&amp;$A71&amp;"'!G8")</f>
        <v>0</v>
      </c>
      <c r="K71" s="30">
        <f t="array" aca="1" ref="K71" ca="1">INDIRECT("'"&amp;$A71&amp;"'!H8")</f>
        <v>0</v>
      </c>
      <c r="L71" s="30">
        <f t="array" aca="1" ref="L71" ca="1">INDIRECT("'"&amp;$A71&amp;"'!I8")</f>
        <v>0</v>
      </c>
      <c r="M71" s="30">
        <f t="array" aca="1" ref="M71" ca="1">INDIRECT("'"&amp;$A71&amp;"'!J8")</f>
        <v>0</v>
      </c>
      <c r="N71" s="30">
        <f t="array" aca="1" ref="N71" ca="1">INDIRECT("'"&amp;$A71&amp;"'!K8")</f>
        <v>0</v>
      </c>
      <c r="O71" s="30">
        <f t="array" aca="1" ref="O71" ca="1">INDIRECT("'"&amp;$A71&amp;"'!L8")</f>
        <v>0</v>
      </c>
      <c r="P71" s="30">
        <f t="array" aca="1" ref="P71" ca="1">INDIRECT("'"&amp;$A71&amp;"'!M8")</f>
        <v>0</v>
      </c>
      <c r="Q71" s="30">
        <f t="array" aca="1" ref="Q71" ca="1">INDIRECT("'"&amp;$A71&amp;"'!N8")</f>
        <v>0</v>
      </c>
      <c r="R71" s="30">
        <f t="array" aca="1" ref="R71" ca="1">INDIRECT("'"&amp;$A71&amp;"'!O8")</f>
        <v>0</v>
      </c>
      <c r="S71" s="30">
        <f t="array" aca="1" ref="S71" ca="1">INDIRECT("'"&amp;$A71&amp;"'!P8")</f>
        <v>0</v>
      </c>
      <c r="T71" s="30">
        <f t="array" aca="1" ref="T71" ca="1">INDIRECT("'"&amp;$A71&amp;"'!Q8")</f>
        <v>0</v>
      </c>
      <c r="U71" s="30">
        <f t="array" aca="1" ref="U71" ca="1">INDIRECT("'"&amp;$A71&amp;"'!R8")</f>
        <v>0</v>
      </c>
      <c r="V71" s="30">
        <f t="array" aca="1" ref="V71" ca="1">INDIRECT("'"&amp;$A71&amp;"'!S8")</f>
        <v>0</v>
      </c>
      <c r="W71" s="30">
        <f t="array" aca="1" ref="W71" ca="1">INDIRECT("'"&amp;$A71&amp;"'!T8")</f>
        <v>0</v>
      </c>
      <c r="X71" s="30">
        <f t="array" aca="1" ref="X71" ca="1">INDIRECT("'"&amp;$A71&amp;"'!U8")</f>
        <v>0</v>
      </c>
      <c r="Y71" s="30">
        <f t="array" aca="1" ref="Y71" ca="1">INDIRECT("'"&amp;$A71&amp;"'!V8")</f>
        <v>0</v>
      </c>
      <c r="Z71" s="30">
        <f t="array" aca="1" ref="Z71" ca="1">INDIRECT("'"&amp;$A71&amp;"'!W8")</f>
        <v>0</v>
      </c>
      <c r="AA71" s="30">
        <f t="array" aca="1" ref="AA71" ca="1">INDIRECT("'"&amp;$A71&amp;"'!X8")</f>
        <v>0</v>
      </c>
      <c r="AB71" s="30">
        <f t="array" aca="1" ref="AB71" ca="1">INDIRECT("'"&amp;$A71&amp;"'!Y8")</f>
        <v>0</v>
      </c>
      <c r="AC71" s="30">
        <f t="array" aca="1" ref="AC71" ca="1">INDIRECT("'"&amp;$A71&amp;"'!Z8")</f>
        <v>0</v>
      </c>
      <c r="AD71" s="31">
        <f t="array" aca="1" ref="AD71" ca="1">INDIRECT("'"&amp;$A71&amp;"'!AA8")</f>
        <v>0</v>
      </c>
      <c r="AE71" s="81">
        <f t="array" aca="1" ref="AE71" ca="1">INDIRECT("'"&amp;$A72&amp;"'!J2")</f>
        <v>0</v>
      </c>
      <c r="AF71" s="53" t="str">
        <f t="array" aca="1" ref="AF71" ca="1">INDIRECT("'"&amp;$A72&amp;"'!AD1")</f>
        <v/>
      </c>
    </row>
    <row r="72" spans="1:32">
      <c r="A72" s="58">
        <v>24</v>
      </c>
      <c r="B72" s="106"/>
      <c r="C72" s="67" t="str">
        <f t="array" aca="1" ref="C72" ca="1">CONCATENATE("粮 ",INDIRECT("'"&amp;$A72&amp;"'!D4"))</f>
        <v>粮 43600</v>
      </c>
      <c r="D72" s="55" t="s">
        <v>7</v>
      </c>
      <c r="E72" s="82">
        <f t="array" aca="1" ref="E72" ca="1">INDIRECT("'"&amp;$A72&amp;"'!I3")</f>
        <v>18</v>
      </c>
      <c r="F72" s="52">
        <f t="array" aca="1" ref="F72" ca="1">INDIRECT("'"&amp;$A72&amp;"'!C11")</f>
        <v>0</v>
      </c>
      <c r="G72" s="3">
        <f t="array" aca="1" ref="G72" ca="1">INDIRECT("'"&amp;$A72&amp;"'!D11")</f>
        <v>0</v>
      </c>
      <c r="H72" s="3">
        <f t="array" aca="1" ref="H72" ca="1">INDIRECT("'"&amp;$A72&amp;"'!E11")</f>
        <v>0</v>
      </c>
      <c r="I72" s="3">
        <f t="array" aca="1" ref="I72" ca="1">INDIRECT("'"&amp;$A72&amp;"'!F11")</f>
        <v>0</v>
      </c>
      <c r="J72" s="3">
        <f t="array" aca="1" ref="J72" ca="1">INDIRECT("'"&amp;$A72&amp;"'!G11")</f>
        <v>0</v>
      </c>
      <c r="K72" s="3">
        <f t="array" aca="1" ref="K72" ca="1">INDIRECT("'"&amp;$A72&amp;"'!H11")</f>
        <v>0</v>
      </c>
      <c r="L72" s="3">
        <f t="array" aca="1" ref="L72" ca="1">INDIRECT("'"&amp;$A72&amp;"'!I11")</f>
        <v>0</v>
      </c>
      <c r="M72" s="3">
        <f t="array" aca="1" ref="M72" ca="1">INDIRECT("'"&amp;$A72&amp;"'!J11")</f>
        <v>0</v>
      </c>
      <c r="N72" s="3">
        <f t="array" aca="1" ref="N72" ca="1">INDIRECT("'"&amp;$A72&amp;"'!K11")</f>
        <v>0</v>
      </c>
      <c r="O72" s="3">
        <f t="array" aca="1" ref="O72" ca="1">INDIRECT("'"&amp;$A72&amp;"'!L11")</f>
        <v>0</v>
      </c>
      <c r="P72" s="3">
        <f t="array" aca="1" ref="P72" ca="1">INDIRECT("'"&amp;$A72&amp;"'!M11")</f>
        <v>0</v>
      </c>
      <c r="Q72" s="3">
        <f t="array" aca="1" ref="Q72" ca="1">INDIRECT("'"&amp;$A72&amp;"'!N11")</f>
        <v>0</v>
      </c>
      <c r="R72" s="3">
        <f t="array" aca="1" ref="R72" ca="1">INDIRECT("'"&amp;$A72&amp;"'!O11")</f>
        <v>0</v>
      </c>
      <c r="S72" s="3">
        <f t="array" aca="1" ref="S72" ca="1">INDIRECT("'"&amp;$A72&amp;"'!P11")</f>
        <v>0</v>
      </c>
      <c r="T72" s="3">
        <f t="array" aca="1" ref="T72" ca="1">INDIRECT("'"&amp;$A72&amp;"'!Q11")</f>
        <v>0</v>
      </c>
      <c r="U72" s="3">
        <f t="array" aca="1" ref="U72" ca="1">INDIRECT("'"&amp;$A72&amp;"'!R11")</f>
        <v>0</v>
      </c>
      <c r="V72" s="3">
        <f t="array" aca="1" ref="V72" ca="1">INDIRECT("'"&amp;$A72&amp;"'!S11")</f>
        <v>0</v>
      </c>
      <c r="W72" s="3">
        <f t="array" aca="1" ref="W72" ca="1">INDIRECT("'"&amp;$A72&amp;"'!T11")</f>
        <v>0</v>
      </c>
      <c r="X72" s="3">
        <f t="array" aca="1" ref="X72" ca="1">INDIRECT("'"&amp;$A72&amp;"'!U11")</f>
        <v>0</v>
      </c>
      <c r="Y72" s="3">
        <f t="array" aca="1" ref="Y72" ca="1">INDIRECT("'"&amp;$A72&amp;"'!V11")</f>
        <v>0</v>
      </c>
      <c r="Z72" s="3">
        <f t="array" aca="1" ref="Z72" ca="1">INDIRECT("'"&amp;$A72&amp;"'!W11")</f>
        <v>0</v>
      </c>
      <c r="AA72" s="3">
        <f t="array" aca="1" ref="AA72" ca="1">INDIRECT("'"&amp;$A72&amp;"'!X11")</f>
        <v>0</v>
      </c>
      <c r="AB72" s="3">
        <f t="array" aca="1" ref="AB72" ca="1">INDIRECT("'"&amp;$A72&amp;"'!Y11")</f>
        <v>0</v>
      </c>
      <c r="AC72" s="3">
        <f t="array" aca="1" ref="AC72" ca="1">INDIRECT("'"&amp;$A72&amp;"'!Z11")</f>
        <v>0</v>
      </c>
      <c r="AD72" s="32">
        <f t="array" aca="1" ref="AD72" ca="1">INDIRECT("'"&amp;$A72&amp;"'!AA11")</f>
        <v>0</v>
      </c>
      <c r="AE72" s="82">
        <f t="array" aca="1" ref="AE72" ca="1">INDIRECT("'"&amp;$A72&amp;"'!J3")</f>
        <v>0</v>
      </c>
      <c r="AF72" s="53" t="str">
        <f t="array" aca="1" ref="AF72" ca="1">INDIRECT("'"&amp;$A72&amp;"'!AC1")</f>
        <v/>
      </c>
    </row>
    <row r="73" spans="1:32" ht="15.75" customHeight="1" thickBot="1">
      <c r="A73" s="58">
        <v>24</v>
      </c>
      <c r="B73" s="107"/>
      <c r="C73" s="77" t="str">
        <f t="array" aca="1" ref="C73" ca="1">CONCATENATE("分 ",INDIRECT("'"&amp;$A72&amp;"'!D6"))</f>
        <v>分 0</v>
      </c>
      <c r="D73" s="56" t="s">
        <v>8</v>
      </c>
      <c r="E73" s="83">
        <f t="array" aca="1" ref="E73" ca="1">INDIRECT("'"&amp;$A72&amp;"'!I4")</f>
        <v>18</v>
      </c>
      <c r="F73" s="52">
        <f t="array" aca="1" ref="F73" ca="1">INDIRECT("'"&amp;$A73&amp;"'!C14")</f>
        <v>0</v>
      </c>
      <c r="G73" s="3">
        <f t="array" aca="1" ref="G73" ca="1">INDIRECT("'"&amp;$A73&amp;"'!D14")</f>
        <v>0</v>
      </c>
      <c r="H73" s="3">
        <f t="array" aca="1" ref="H73" ca="1">INDIRECT("'"&amp;$A73&amp;"'!E14")</f>
        <v>0</v>
      </c>
      <c r="I73" s="3">
        <f t="array" aca="1" ref="I73" ca="1">INDIRECT("'"&amp;$A73&amp;"'!F14")</f>
        <v>0</v>
      </c>
      <c r="J73" s="3">
        <f t="array" aca="1" ref="J73" ca="1">INDIRECT("'"&amp;$A73&amp;"'!G14")</f>
        <v>0</v>
      </c>
      <c r="K73" s="3">
        <f t="array" aca="1" ref="K73" ca="1">INDIRECT("'"&amp;$A73&amp;"'!H14")</f>
        <v>0</v>
      </c>
      <c r="L73" s="3">
        <f t="array" aca="1" ref="L73" ca="1">INDIRECT("'"&amp;$A73&amp;"'!I14")</f>
        <v>0</v>
      </c>
      <c r="M73" s="3">
        <f t="array" aca="1" ref="M73" ca="1">INDIRECT("'"&amp;$A73&amp;"'!J14")</f>
        <v>0</v>
      </c>
      <c r="N73" s="3">
        <f t="array" aca="1" ref="N73" ca="1">INDIRECT("'"&amp;$A73&amp;"'!K14")</f>
        <v>0</v>
      </c>
      <c r="O73" s="3">
        <f t="array" aca="1" ref="O73" ca="1">INDIRECT("'"&amp;$A73&amp;"'!L14")</f>
        <v>0</v>
      </c>
      <c r="P73" s="3">
        <f t="array" aca="1" ref="P73" ca="1">INDIRECT("'"&amp;$A73&amp;"'!M14")</f>
        <v>0</v>
      </c>
      <c r="Q73" s="3">
        <f t="array" aca="1" ref="Q73" ca="1">INDIRECT("'"&amp;$A73&amp;"'!N14")</f>
        <v>0</v>
      </c>
      <c r="R73" s="3">
        <f t="array" aca="1" ref="R73" ca="1">INDIRECT("'"&amp;$A73&amp;"'!O14")</f>
        <v>0</v>
      </c>
      <c r="S73" s="3">
        <f t="array" aca="1" ref="S73" ca="1">INDIRECT("'"&amp;$A73&amp;"'!P14")</f>
        <v>0</v>
      </c>
      <c r="T73" s="3">
        <f t="array" aca="1" ref="T73" ca="1">INDIRECT("'"&amp;$A73&amp;"'!Q14")</f>
        <v>0</v>
      </c>
      <c r="U73" s="3">
        <f t="array" aca="1" ref="U73" ca="1">INDIRECT("'"&amp;$A73&amp;"'!R14")</f>
        <v>0</v>
      </c>
      <c r="V73" s="3">
        <f t="array" aca="1" ref="V73" ca="1">INDIRECT("'"&amp;$A73&amp;"'!S14")</f>
        <v>0</v>
      </c>
      <c r="W73" s="3">
        <f t="array" aca="1" ref="W73" ca="1">INDIRECT("'"&amp;$A73&amp;"'!T14")</f>
        <v>0</v>
      </c>
      <c r="X73" s="3">
        <f t="array" aca="1" ref="X73" ca="1">INDIRECT("'"&amp;$A73&amp;"'!U14")</f>
        <v>0</v>
      </c>
      <c r="Y73" s="3">
        <f t="array" aca="1" ref="Y73" ca="1">INDIRECT("'"&amp;$A73&amp;"'!V14")</f>
        <v>0</v>
      </c>
      <c r="Z73" s="3">
        <f t="array" aca="1" ref="Z73" ca="1">INDIRECT("'"&amp;$A73&amp;"'!W14")</f>
        <v>0</v>
      </c>
      <c r="AA73" s="3">
        <f t="array" aca="1" ref="AA73" ca="1">INDIRECT("'"&amp;$A73&amp;"'!X14")</f>
        <v>0</v>
      </c>
      <c r="AB73" s="3">
        <f t="array" aca="1" ref="AB73" ca="1">INDIRECT("'"&amp;$A73&amp;"'!Y14")</f>
        <v>0</v>
      </c>
      <c r="AC73" s="3">
        <f t="array" aca="1" ref="AC73" ca="1">INDIRECT("'"&amp;$A73&amp;"'!Z14")</f>
        <v>0</v>
      </c>
      <c r="AD73" s="32">
        <f t="array" aca="1" ref="AD73" ca="1">INDIRECT("'"&amp;$A73&amp;"'!AA14")</f>
        <v>0</v>
      </c>
      <c r="AE73" s="83">
        <f t="array" aca="1" ref="AE73" ca="1">INDIRECT("'"&amp;$A72&amp;"'!J4")</f>
        <v>0</v>
      </c>
      <c r="AF73" s="53"/>
    </row>
    <row r="74" spans="1:32">
      <c r="A74" s="58">
        <v>25</v>
      </c>
      <c r="B74" s="105">
        <f>INDEX(data!$I$2:$I$91,MATCH(A74*1,data!$G$2:$G$91,0))</f>
        <v>46209</v>
      </c>
      <c r="C74" s="66" t="str">
        <f>HYPERLINK("#'" &amp; A74 &amp; "'!A1", "编辑")</f>
        <v>编辑</v>
      </c>
      <c r="D74" s="54" t="s">
        <v>6</v>
      </c>
      <c r="E74" s="81">
        <f t="array" aca="1" ref="E74" ca="1">INDIRECT("'"&amp;$A75&amp;"'!I2")</f>
        <v>18</v>
      </c>
      <c r="F74" s="29">
        <f t="array" aca="1" ref="F74" ca="1">INDIRECT("'"&amp;$A74&amp;"'!C8")</f>
        <v>0</v>
      </c>
      <c r="G74" s="30">
        <f t="array" aca="1" ref="G74" ca="1">INDIRECT("'"&amp;$A74&amp;"'!D8")</f>
        <v>0</v>
      </c>
      <c r="H74" s="30">
        <f t="array" aca="1" ref="H74" ca="1">INDIRECT("'"&amp;$A74&amp;"'!E8")</f>
        <v>0</v>
      </c>
      <c r="I74" s="30">
        <f t="array" aca="1" ref="I74" ca="1">INDIRECT("'"&amp;$A74&amp;"'!F8")</f>
        <v>0</v>
      </c>
      <c r="J74" s="30">
        <f t="array" aca="1" ref="J74" ca="1">INDIRECT("'"&amp;$A74&amp;"'!G8")</f>
        <v>0</v>
      </c>
      <c r="K74" s="30">
        <f t="array" aca="1" ref="K74" ca="1">INDIRECT("'"&amp;$A74&amp;"'!H8")</f>
        <v>0</v>
      </c>
      <c r="L74" s="30">
        <f t="array" aca="1" ref="L74" ca="1">INDIRECT("'"&amp;$A74&amp;"'!I8")</f>
        <v>0</v>
      </c>
      <c r="M74" s="30">
        <f t="array" aca="1" ref="M74" ca="1">INDIRECT("'"&amp;$A74&amp;"'!J8")</f>
        <v>0</v>
      </c>
      <c r="N74" s="30">
        <f t="array" aca="1" ref="N74" ca="1">INDIRECT("'"&amp;$A74&amp;"'!K8")</f>
        <v>0</v>
      </c>
      <c r="O74" s="30">
        <f t="array" aca="1" ref="O74" ca="1">INDIRECT("'"&amp;$A74&amp;"'!L8")</f>
        <v>0</v>
      </c>
      <c r="P74" s="30">
        <f t="array" aca="1" ref="P74" ca="1">INDIRECT("'"&amp;$A74&amp;"'!M8")</f>
        <v>0</v>
      </c>
      <c r="Q74" s="30">
        <f t="array" aca="1" ref="Q74" ca="1">INDIRECT("'"&amp;$A74&amp;"'!N8")</f>
        <v>0</v>
      </c>
      <c r="R74" s="30">
        <f t="array" aca="1" ref="R74" ca="1">INDIRECT("'"&amp;$A74&amp;"'!O8")</f>
        <v>0</v>
      </c>
      <c r="S74" s="30">
        <f t="array" aca="1" ref="S74" ca="1">INDIRECT("'"&amp;$A74&amp;"'!P8")</f>
        <v>0</v>
      </c>
      <c r="T74" s="30">
        <f t="array" aca="1" ref="T74" ca="1">INDIRECT("'"&amp;$A74&amp;"'!Q8")</f>
        <v>0</v>
      </c>
      <c r="U74" s="30">
        <f t="array" aca="1" ref="U74" ca="1">INDIRECT("'"&amp;$A74&amp;"'!R8")</f>
        <v>0</v>
      </c>
      <c r="V74" s="30">
        <f t="array" aca="1" ref="V74" ca="1">INDIRECT("'"&amp;$A74&amp;"'!S8")</f>
        <v>0</v>
      </c>
      <c r="W74" s="30">
        <f t="array" aca="1" ref="W74" ca="1">INDIRECT("'"&amp;$A74&amp;"'!T8")</f>
        <v>0</v>
      </c>
      <c r="X74" s="30">
        <f t="array" aca="1" ref="X74" ca="1">INDIRECT("'"&amp;$A74&amp;"'!U8")</f>
        <v>0</v>
      </c>
      <c r="Y74" s="30">
        <f t="array" aca="1" ref="Y74" ca="1">INDIRECT("'"&amp;$A74&amp;"'!V8")</f>
        <v>0</v>
      </c>
      <c r="Z74" s="30">
        <f t="array" aca="1" ref="Z74" ca="1">INDIRECT("'"&amp;$A74&amp;"'!W8")</f>
        <v>0</v>
      </c>
      <c r="AA74" s="30">
        <f t="array" aca="1" ref="AA74" ca="1">INDIRECT("'"&amp;$A74&amp;"'!X8")</f>
        <v>0</v>
      </c>
      <c r="AB74" s="30">
        <f t="array" aca="1" ref="AB74" ca="1">INDIRECT("'"&amp;$A74&amp;"'!Y8")</f>
        <v>0</v>
      </c>
      <c r="AC74" s="30">
        <f t="array" aca="1" ref="AC74" ca="1">INDIRECT("'"&amp;$A74&amp;"'!Z8")</f>
        <v>0</v>
      </c>
      <c r="AD74" s="31">
        <f t="array" aca="1" ref="AD74" ca="1">INDIRECT("'"&amp;$A74&amp;"'!AA8")</f>
        <v>0</v>
      </c>
      <c r="AE74" s="81">
        <f t="array" aca="1" ref="AE74" ca="1">INDIRECT("'"&amp;$A75&amp;"'!J2")</f>
        <v>0</v>
      </c>
      <c r="AF74" s="53" t="str">
        <f t="array" aca="1" ref="AF74" ca="1">INDIRECT("'"&amp;$A75&amp;"'!AD1")</f>
        <v/>
      </c>
    </row>
    <row r="75" spans="1:32">
      <c r="A75" s="58">
        <v>25</v>
      </c>
      <c r="B75" s="106"/>
      <c r="C75" s="67" t="str">
        <f t="array" aca="1" ref="C75" ca="1">CONCATENATE("粮 ",INDIRECT("'"&amp;$A75&amp;"'!D4"))</f>
        <v>粮 45200</v>
      </c>
      <c r="D75" s="55" t="s">
        <v>7</v>
      </c>
      <c r="E75" s="82">
        <f t="array" aca="1" ref="E75" ca="1">INDIRECT("'"&amp;$A75&amp;"'!I3")</f>
        <v>18</v>
      </c>
      <c r="F75" s="52">
        <f t="array" aca="1" ref="F75" ca="1">INDIRECT("'"&amp;$A75&amp;"'!C11")</f>
        <v>0</v>
      </c>
      <c r="G75" s="3">
        <f t="array" aca="1" ref="G75" ca="1">INDIRECT("'"&amp;$A75&amp;"'!D11")</f>
        <v>0</v>
      </c>
      <c r="H75" s="3">
        <f t="array" aca="1" ref="H75" ca="1">INDIRECT("'"&amp;$A75&amp;"'!E11")</f>
        <v>0</v>
      </c>
      <c r="I75" s="3">
        <f t="array" aca="1" ref="I75" ca="1">INDIRECT("'"&amp;$A75&amp;"'!F11")</f>
        <v>0</v>
      </c>
      <c r="J75" s="3">
        <f t="array" aca="1" ref="J75" ca="1">INDIRECT("'"&amp;$A75&amp;"'!G11")</f>
        <v>0</v>
      </c>
      <c r="K75" s="3">
        <f t="array" aca="1" ref="K75" ca="1">INDIRECT("'"&amp;$A75&amp;"'!H11")</f>
        <v>0</v>
      </c>
      <c r="L75" s="3">
        <f t="array" aca="1" ref="L75" ca="1">INDIRECT("'"&amp;$A75&amp;"'!I11")</f>
        <v>0</v>
      </c>
      <c r="M75" s="3">
        <f t="array" aca="1" ref="M75" ca="1">INDIRECT("'"&amp;$A75&amp;"'!J11")</f>
        <v>0</v>
      </c>
      <c r="N75" s="3">
        <f t="array" aca="1" ref="N75" ca="1">INDIRECT("'"&amp;$A75&amp;"'!K11")</f>
        <v>0</v>
      </c>
      <c r="O75" s="3">
        <f t="array" aca="1" ref="O75" ca="1">INDIRECT("'"&amp;$A75&amp;"'!L11")</f>
        <v>0</v>
      </c>
      <c r="P75" s="3">
        <f t="array" aca="1" ref="P75" ca="1">INDIRECT("'"&amp;$A75&amp;"'!M11")</f>
        <v>0</v>
      </c>
      <c r="Q75" s="3">
        <f t="array" aca="1" ref="Q75" ca="1">INDIRECT("'"&amp;$A75&amp;"'!N11")</f>
        <v>0</v>
      </c>
      <c r="R75" s="3">
        <f t="array" aca="1" ref="R75" ca="1">INDIRECT("'"&amp;$A75&amp;"'!O11")</f>
        <v>0</v>
      </c>
      <c r="S75" s="3">
        <f t="array" aca="1" ref="S75" ca="1">INDIRECT("'"&amp;$A75&amp;"'!P11")</f>
        <v>0</v>
      </c>
      <c r="T75" s="3">
        <f t="array" aca="1" ref="T75" ca="1">INDIRECT("'"&amp;$A75&amp;"'!Q11")</f>
        <v>0</v>
      </c>
      <c r="U75" s="3">
        <f t="array" aca="1" ref="U75" ca="1">INDIRECT("'"&amp;$A75&amp;"'!R11")</f>
        <v>0</v>
      </c>
      <c r="V75" s="3">
        <f t="array" aca="1" ref="V75" ca="1">INDIRECT("'"&amp;$A75&amp;"'!S11")</f>
        <v>0</v>
      </c>
      <c r="W75" s="3">
        <f t="array" aca="1" ref="W75" ca="1">INDIRECT("'"&amp;$A75&amp;"'!T11")</f>
        <v>0</v>
      </c>
      <c r="X75" s="3">
        <f t="array" aca="1" ref="X75" ca="1">INDIRECT("'"&amp;$A75&amp;"'!U11")</f>
        <v>0</v>
      </c>
      <c r="Y75" s="3">
        <f t="array" aca="1" ref="Y75" ca="1">INDIRECT("'"&amp;$A75&amp;"'!V11")</f>
        <v>0</v>
      </c>
      <c r="Z75" s="3">
        <f t="array" aca="1" ref="Z75" ca="1">INDIRECT("'"&amp;$A75&amp;"'!W11")</f>
        <v>0</v>
      </c>
      <c r="AA75" s="3">
        <f t="array" aca="1" ref="AA75" ca="1">INDIRECT("'"&amp;$A75&amp;"'!X11")</f>
        <v>0</v>
      </c>
      <c r="AB75" s="3">
        <f t="array" aca="1" ref="AB75" ca="1">INDIRECT("'"&amp;$A75&amp;"'!Y11")</f>
        <v>0</v>
      </c>
      <c r="AC75" s="3">
        <f t="array" aca="1" ref="AC75" ca="1">INDIRECT("'"&amp;$A75&amp;"'!Z11")</f>
        <v>0</v>
      </c>
      <c r="AD75" s="32">
        <f t="array" aca="1" ref="AD75" ca="1">INDIRECT("'"&amp;$A75&amp;"'!AA11")</f>
        <v>0</v>
      </c>
      <c r="AE75" s="82">
        <f t="array" aca="1" ref="AE75" ca="1">INDIRECT("'"&amp;$A75&amp;"'!J3")</f>
        <v>0</v>
      </c>
      <c r="AF75" s="53" t="str">
        <f t="array" aca="1" ref="AF75" ca="1">INDIRECT("'"&amp;$A75&amp;"'!AC1")</f>
        <v/>
      </c>
    </row>
    <row r="76" spans="1:32" ht="15.75" customHeight="1" thickBot="1">
      <c r="A76" s="58">
        <v>25</v>
      </c>
      <c r="B76" s="107"/>
      <c r="C76" s="77" t="str">
        <f t="array" aca="1" ref="C76" ca="1">CONCATENATE("分 ",INDIRECT("'"&amp;$A75&amp;"'!D6"))</f>
        <v>分 0</v>
      </c>
      <c r="D76" s="56" t="s">
        <v>8</v>
      </c>
      <c r="E76" s="83">
        <f t="array" aca="1" ref="E76" ca="1">INDIRECT("'"&amp;$A75&amp;"'!I4")</f>
        <v>18</v>
      </c>
      <c r="F76" s="52">
        <f t="array" aca="1" ref="F76" ca="1">INDIRECT("'"&amp;$A76&amp;"'!C14")</f>
        <v>0</v>
      </c>
      <c r="G76" s="3">
        <f t="array" aca="1" ref="G76" ca="1">INDIRECT("'"&amp;$A76&amp;"'!D14")</f>
        <v>0</v>
      </c>
      <c r="H76" s="3">
        <f t="array" aca="1" ref="H76" ca="1">INDIRECT("'"&amp;$A76&amp;"'!E14")</f>
        <v>0</v>
      </c>
      <c r="I76" s="3">
        <f t="array" aca="1" ref="I76" ca="1">INDIRECT("'"&amp;$A76&amp;"'!F14")</f>
        <v>0</v>
      </c>
      <c r="J76" s="3">
        <f t="array" aca="1" ref="J76" ca="1">INDIRECT("'"&amp;$A76&amp;"'!G14")</f>
        <v>0</v>
      </c>
      <c r="K76" s="3">
        <f t="array" aca="1" ref="K76" ca="1">INDIRECT("'"&amp;$A76&amp;"'!H14")</f>
        <v>0</v>
      </c>
      <c r="L76" s="3">
        <f t="array" aca="1" ref="L76" ca="1">INDIRECT("'"&amp;$A76&amp;"'!I14")</f>
        <v>0</v>
      </c>
      <c r="M76" s="3">
        <f t="array" aca="1" ref="M76" ca="1">INDIRECT("'"&amp;$A76&amp;"'!J14")</f>
        <v>0</v>
      </c>
      <c r="N76" s="3">
        <f t="array" aca="1" ref="N76" ca="1">INDIRECT("'"&amp;$A76&amp;"'!K14")</f>
        <v>0</v>
      </c>
      <c r="O76" s="3">
        <f t="array" aca="1" ref="O76" ca="1">INDIRECT("'"&amp;$A76&amp;"'!L14")</f>
        <v>0</v>
      </c>
      <c r="P76" s="3">
        <f t="array" aca="1" ref="P76" ca="1">INDIRECT("'"&amp;$A76&amp;"'!M14")</f>
        <v>0</v>
      </c>
      <c r="Q76" s="3">
        <f t="array" aca="1" ref="Q76" ca="1">INDIRECT("'"&amp;$A76&amp;"'!N14")</f>
        <v>0</v>
      </c>
      <c r="R76" s="3">
        <f t="array" aca="1" ref="R76" ca="1">INDIRECT("'"&amp;$A76&amp;"'!O14")</f>
        <v>0</v>
      </c>
      <c r="S76" s="3">
        <f t="array" aca="1" ref="S76" ca="1">INDIRECT("'"&amp;$A76&amp;"'!P14")</f>
        <v>0</v>
      </c>
      <c r="T76" s="3">
        <f t="array" aca="1" ref="T76" ca="1">INDIRECT("'"&amp;$A76&amp;"'!Q14")</f>
        <v>0</v>
      </c>
      <c r="U76" s="3">
        <f t="array" aca="1" ref="U76" ca="1">INDIRECT("'"&amp;$A76&amp;"'!R14")</f>
        <v>0</v>
      </c>
      <c r="V76" s="3">
        <f t="array" aca="1" ref="V76" ca="1">INDIRECT("'"&amp;$A76&amp;"'!S14")</f>
        <v>0</v>
      </c>
      <c r="W76" s="3">
        <f t="array" aca="1" ref="W76" ca="1">INDIRECT("'"&amp;$A76&amp;"'!T14")</f>
        <v>0</v>
      </c>
      <c r="X76" s="3">
        <f t="array" aca="1" ref="X76" ca="1">INDIRECT("'"&amp;$A76&amp;"'!U14")</f>
        <v>0</v>
      </c>
      <c r="Y76" s="3">
        <f t="array" aca="1" ref="Y76" ca="1">INDIRECT("'"&amp;$A76&amp;"'!V14")</f>
        <v>0</v>
      </c>
      <c r="Z76" s="3">
        <f t="array" aca="1" ref="Z76" ca="1">INDIRECT("'"&amp;$A76&amp;"'!W14")</f>
        <v>0</v>
      </c>
      <c r="AA76" s="3">
        <f t="array" aca="1" ref="AA76" ca="1">INDIRECT("'"&amp;$A76&amp;"'!X14")</f>
        <v>0</v>
      </c>
      <c r="AB76" s="3">
        <f t="array" aca="1" ref="AB76" ca="1">INDIRECT("'"&amp;$A76&amp;"'!Y14")</f>
        <v>0</v>
      </c>
      <c r="AC76" s="3">
        <f t="array" aca="1" ref="AC76" ca="1">INDIRECT("'"&amp;$A76&amp;"'!Z14")</f>
        <v>0</v>
      </c>
      <c r="AD76" s="32">
        <f t="array" aca="1" ref="AD76" ca="1">INDIRECT("'"&amp;$A76&amp;"'!AA14")</f>
        <v>0</v>
      </c>
      <c r="AE76" s="83">
        <f t="array" aca="1" ref="AE76" ca="1">INDIRECT("'"&amp;$A75&amp;"'!J4")</f>
        <v>0</v>
      </c>
      <c r="AF76" s="53"/>
    </row>
    <row r="77" spans="1:32">
      <c r="A77" s="58">
        <v>26</v>
      </c>
      <c r="B77" s="105">
        <f>INDEX(data!$I$2:$I$91,MATCH(A77*1,data!$G$2:$G$91,0))</f>
        <v>46210</v>
      </c>
      <c r="C77" s="66" t="str">
        <f>HYPERLINK("#'" &amp; A77 &amp; "'!A1", "编辑")</f>
        <v>编辑</v>
      </c>
      <c r="D77" s="54" t="s">
        <v>6</v>
      </c>
      <c r="E77" s="81">
        <f t="array" aca="1" ref="E77" ca="1">INDIRECT("'"&amp;$A78&amp;"'!I2")</f>
        <v>18</v>
      </c>
      <c r="F77" s="29">
        <f t="array" aca="1" ref="F77" ca="1">INDIRECT("'"&amp;$A77&amp;"'!C8")</f>
        <v>0</v>
      </c>
      <c r="G77" s="30">
        <f t="array" aca="1" ref="G77" ca="1">INDIRECT("'"&amp;$A77&amp;"'!D8")</f>
        <v>0</v>
      </c>
      <c r="H77" s="30">
        <f t="array" aca="1" ref="H77" ca="1">INDIRECT("'"&amp;$A77&amp;"'!E8")</f>
        <v>0</v>
      </c>
      <c r="I77" s="30">
        <f t="array" aca="1" ref="I77" ca="1">INDIRECT("'"&amp;$A77&amp;"'!F8")</f>
        <v>0</v>
      </c>
      <c r="J77" s="30">
        <f t="array" aca="1" ref="J77" ca="1">INDIRECT("'"&amp;$A77&amp;"'!G8")</f>
        <v>0</v>
      </c>
      <c r="K77" s="30">
        <f t="array" aca="1" ref="K77" ca="1">INDIRECT("'"&amp;$A77&amp;"'!H8")</f>
        <v>0</v>
      </c>
      <c r="L77" s="30">
        <f t="array" aca="1" ref="L77" ca="1">INDIRECT("'"&amp;$A77&amp;"'!I8")</f>
        <v>0</v>
      </c>
      <c r="M77" s="30">
        <f t="array" aca="1" ref="M77" ca="1">INDIRECT("'"&amp;$A77&amp;"'!J8")</f>
        <v>0</v>
      </c>
      <c r="N77" s="30">
        <f t="array" aca="1" ref="N77" ca="1">INDIRECT("'"&amp;$A77&amp;"'!K8")</f>
        <v>0</v>
      </c>
      <c r="O77" s="30">
        <f t="array" aca="1" ref="O77" ca="1">INDIRECT("'"&amp;$A77&amp;"'!L8")</f>
        <v>0</v>
      </c>
      <c r="P77" s="30">
        <f t="array" aca="1" ref="P77" ca="1">INDIRECT("'"&amp;$A77&amp;"'!M8")</f>
        <v>0</v>
      </c>
      <c r="Q77" s="30">
        <f t="array" aca="1" ref="Q77" ca="1">INDIRECT("'"&amp;$A77&amp;"'!N8")</f>
        <v>0</v>
      </c>
      <c r="R77" s="30">
        <f t="array" aca="1" ref="R77" ca="1">INDIRECT("'"&amp;$A77&amp;"'!O8")</f>
        <v>0</v>
      </c>
      <c r="S77" s="30">
        <f t="array" aca="1" ref="S77" ca="1">INDIRECT("'"&amp;$A77&amp;"'!P8")</f>
        <v>0</v>
      </c>
      <c r="T77" s="30">
        <f t="array" aca="1" ref="T77" ca="1">INDIRECT("'"&amp;$A77&amp;"'!Q8")</f>
        <v>0</v>
      </c>
      <c r="U77" s="30">
        <f t="array" aca="1" ref="U77" ca="1">INDIRECT("'"&amp;$A77&amp;"'!R8")</f>
        <v>0</v>
      </c>
      <c r="V77" s="30">
        <f t="array" aca="1" ref="V77" ca="1">INDIRECT("'"&amp;$A77&amp;"'!S8")</f>
        <v>0</v>
      </c>
      <c r="W77" s="30">
        <f t="array" aca="1" ref="W77" ca="1">INDIRECT("'"&amp;$A77&amp;"'!T8")</f>
        <v>0</v>
      </c>
      <c r="X77" s="30">
        <f t="array" aca="1" ref="X77" ca="1">INDIRECT("'"&amp;$A77&amp;"'!U8")</f>
        <v>0</v>
      </c>
      <c r="Y77" s="30">
        <f t="array" aca="1" ref="Y77" ca="1">INDIRECT("'"&amp;$A77&amp;"'!V8")</f>
        <v>0</v>
      </c>
      <c r="Z77" s="30">
        <f t="array" aca="1" ref="Z77" ca="1">INDIRECT("'"&amp;$A77&amp;"'!W8")</f>
        <v>0</v>
      </c>
      <c r="AA77" s="30">
        <f t="array" aca="1" ref="AA77" ca="1">INDIRECT("'"&amp;$A77&amp;"'!X8")</f>
        <v>0</v>
      </c>
      <c r="AB77" s="30">
        <f t="array" aca="1" ref="AB77" ca="1">INDIRECT("'"&amp;$A77&amp;"'!Y8")</f>
        <v>0</v>
      </c>
      <c r="AC77" s="30">
        <f t="array" aca="1" ref="AC77" ca="1">INDIRECT("'"&amp;$A77&amp;"'!Z8")</f>
        <v>0</v>
      </c>
      <c r="AD77" s="31">
        <f t="array" aca="1" ref="AD77" ca="1">INDIRECT("'"&amp;$A77&amp;"'!AA8")</f>
        <v>0</v>
      </c>
      <c r="AE77" s="81">
        <f t="array" aca="1" ref="AE77" ca="1">INDIRECT("'"&amp;$A78&amp;"'!J2")</f>
        <v>0</v>
      </c>
      <c r="AF77" s="53" t="str">
        <f t="array" aca="1" ref="AF77" ca="1">INDIRECT("'"&amp;$A78&amp;"'!AD1")</f>
        <v/>
      </c>
    </row>
    <row r="78" spans="1:32">
      <c r="A78" s="58">
        <v>26</v>
      </c>
      <c r="B78" s="106"/>
      <c r="C78" s="67" t="str">
        <f t="array" aca="1" ref="C78" ca="1">CONCATENATE("粮 ",INDIRECT("'"&amp;$A78&amp;"'!D4"))</f>
        <v>粮 46800</v>
      </c>
      <c r="D78" s="55" t="s">
        <v>7</v>
      </c>
      <c r="E78" s="82">
        <f t="array" aca="1" ref="E78" ca="1">INDIRECT("'"&amp;$A78&amp;"'!I3")</f>
        <v>18</v>
      </c>
      <c r="F78" s="52">
        <f t="array" aca="1" ref="F78" ca="1">INDIRECT("'"&amp;$A78&amp;"'!C11")</f>
        <v>0</v>
      </c>
      <c r="G78" s="3">
        <f t="array" aca="1" ref="G78" ca="1">INDIRECT("'"&amp;$A78&amp;"'!D11")</f>
        <v>0</v>
      </c>
      <c r="H78" s="3">
        <f t="array" aca="1" ref="H78" ca="1">INDIRECT("'"&amp;$A78&amp;"'!E11")</f>
        <v>0</v>
      </c>
      <c r="I78" s="3">
        <f t="array" aca="1" ref="I78" ca="1">INDIRECT("'"&amp;$A78&amp;"'!F11")</f>
        <v>0</v>
      </c>
      <c r="J78" s="3">
        <f t="array" aca="1" ref="J78" ca="1">INDIRECT("'"&amp;$A78&amp;"'!G11")</f>
        <v>0</v>
      </c>
      <c r="K78" s="3">
        <f t="array" aca="1" ref="K78" ca="1">INDIRECT("'"&amp;$A78&amp;"'!H11")</f>
        <v>0</v>
      </c>
      <c r="L78" s="3">
        <f t="array" aca="1" ref="L78" ca="1">INDIRECT("'"&amp;$A78&amp;"'!I11")</f>
        <v>0</v>
      </c>
      <c r="M78" s="3">
        <f t="array" aca="1" ref="M78" ca="1">INDIRECT("'"&amp;$A78&amp;"'!J11")</f>
        <v>0</v>
      </c>
      <c r="N78" s="3">
        <f t="array" aca="1" ref="N78" ca="1">INDIRECT("'"&amp;$A78&amp;"'!K11")</f>
        <v>0</v>
      </c>
      <c r="O78" s="3">
        <f t="array" aca="1" ref="O78" ca="1">INDIRECT("'"&amp;$A78&amp;"'!L11")</f>
        <v>0</v>
      </c>
      <c r="P78" s="3">
        <f t="array" aca="1" ref="P78" ca="1">INDIRECT("'"&amp;$A78&amp;"'!M11")</f>
        <v>0</v>
      </c>
      <c r="Q78" s="3">
        <f t="array" aca="1" ref="Q78" ca="1">INDIRECT("'"&amp;$A78&amp;"'!N11")</f>
        <v>0</v>
      </c>
      <c r="R78" s="3">
        <f t="array" aca="1" ref="R78" ca="1">INDIRECT("'"&amp;$A78&amp;"'!O11")</f>
        <v>0</v>
      </c>
      <c r="S78" s="3">
        <f t="array" aca="1" ref="S78" ca="1">INDIRECT("'"&amp;$A78&amp;"'!P11")</f>
        <v>0</v>
      </c>
      <c r="T78" s="3">
        <f t="array" aca="1" ref="T78" ca="1">INDIRECT("'"&amp;$A78&amp;"'!Q11")</f>
        <v>0</v>
      </c>
      <c r="U78" s="3">
        <f t="array" aca="1" ref="U78" ca="1">INDIRECT("'"&amp;$A78&amp;"'!R11")</f>
        <v>0</v>
      </c>
      <c r="V78" s="3">
        <f t="array" aca="1" ref="V78" ca="1">INDIRECT("'"&amp;$A78&amp;"'!S11")</f>
        <v>0</v>
      </c>
      <c r="W78" s="3">
        <f t="array" aca="1" ref="W78" ca="1">INDIRECT("'"&amp;$A78&amp;"'!T11")</f>
        <v>0</v>
      </c>
      <c r="X78" s="3">
        <f t="array" aca="1" ref="X78" ca="1">INDIRECT("'"&amp;$A78&amp;"'!U11")</f>
        <v>0</v>
      </c>
      <c r="Y78" s="3">
        <f t="array" aca="1" ref="Y78" ca="1">INDIRECT("'"&amp;$A78&amp;"'!V11")</f>
        <v>0</v>
      </c>
      <c r="Z78" s="3">
        <f t="array" aca="1" ref="Z78" ca="1">INDIRECT("'"&amp;$A78&amp;"'!W11")</f>
        <v>0</v>
      </c>
      <c r="AA78" s="3">
        <f t="array" aca="1" ref="AA78" ca="1">INDIRECT("'"&amp;$A78&amp;"'!X11")</f>
        <v>0</v>
      </c>
      <c r="AB78" s="3">
        <f t="array" aca="1" ref="AB78" ca="1">INDIRECT("'"&amp;$A78&amp;"'!Y11")</f>
        <v>0</v>
      </c>
      <c r="AC78" s="3">
        <f t="array" aca="1" ref="AC78" ca="1">INDIRECT("'"&amp;$A78&amp;"'!Z11")</f>
        <v>0</v>
      </c>
      <c r="AD78" s="32">
        <f t="array" aca="1" ref="AD78" ca="1">INDIRECT("'"&amp;$A78&amp;"'!AA11")</f>
        <v>0</v>
      </c>
      <c r="AE78" s="82">
        <f t="array" aca="1" ref="AE78" ca="1">INDIRECT("'"&amp;$A78&amp;"'!J3")</f>
        <v>0</v>
      </c>
      <c r="AF78" s="53" t="str">
        <f t="array" aca="1" ref="AF78" ca="1">INDIRECT("'"&amp;$A78&amp;"'!AC1")</f>
        <v/>
      </c>
    </row>
    <row r="79" spans="1:32" ht="15.75" customHeight="1" thickBot="1">
      <c r="A79" s="58">
        <v>26</v>
      </c>
      <c r="B79" s="107"/>
      <c r="C79" s="77" t="str">
        <f t="array" aca="1" ref="C79" ca="1">CONCATENATE("分 ",INDIRECT("'"&amp;$A78&amp;"'!D6"))</f>
        <v>分 0</v>
      </c>
      <c r="D79" s="56" t="s">
        <v>8</v>
      </c>
      <c r="E79" s="83">
        <f t="array" aca="1" ref="E79" ca="1">INDIRECT("'"&amp;$A78&amp;"'!I4")</f>
        <v>18</v>
      </c>
      <c r="F79" s="52">
        <f t="array" aca="1" ref="F79" ca="1">INDIRECT("'"&amp;$A79&amp;"'!C14")</f>
        <v>0</v>
      </c>
      <c r="G79" s="3">
        <f t="array" aca="1" ref="G79" ca="1">INDIRECT("'"&amp;$A79&amp;"'!D14")</f>
        <v>0</v>
      </c>
      <c r="H79" s="3">
        <f t="array" aca="1" ref="H79" ca="1">INDIRECT("'"&amp;$A79&amp;"'!E14")</f>
        <v>0</v>
      </c>
      <c r="I79" s="3">
        <f t="array" aca="1" ref="I79" ca="1">INDIRECT("'"&amp;$A79&amp;"'!F14")</f>
        <v>0</v>
      </c>
      <c r="J79" s="3">
        <f t="array" aca="1" ref="J79" ca="1">INDIRECT("'"&amp;$A79&amp;"'!G14")</f>
        <v>0</v>
      </c>
      <c r="K79" s="3">
        <f t="array" aca="1" ref="K79" ca="1">INDIRECT("'"&amp;$A79&amp;"'!H14")</f>
        <v>0</v>
      </c>
      <c r="L79" s="3">
        <f t="array" aca="1" ref="L79" ca="1">INDIRECT("'"&amp;$A79&amp;"'!I14")</f>
        <v>0</v>
      </c>
      <c r="M79" s="3">
        <f t="array" aca="1" ref="M79" ca="1">INDIRECT("'"&amp;$A79&amp;"'!J14")</f>
        <v>0</v>
      </c>
      <c r="N79" s="3">
        <f t="array" aca="1" ref="N79" ca="1">INDIRECT("'"&amp;$A79&amp;"'!K14")</f>
        <v>0</v>
      </c>
      <c r="O79" s="3">
        <f t="array" aca="1" ref="O79" ca="1">INDIRECT("'"&amp;$A79&amp;"'!L14")</f>
        <v>0</v>
      </c>
      <c r="P79" s="3">
        <f t="array" aca="1" ref="P79" ca="1">INDIRECT("'"&amp;$A79&amp;"'!M14")</f>
        <v>0</v>
      </c>
      <c r="Q79" s="3">
        <f t="array" aca="1" ref="Q79" ca="1">INDIRECT("'"&amp;$A79&amp;"'!N14")</f>
        <v>0</v>
      </c>
      <c r="R79" s="3">
        <f t="array" aca="1" ref="R79" ca="1">INDIRECT("'"&amp;$A79&amp;"'!O14")</f>
        <v>0</v>
      </c>
      <c r="S79" s="3">
        <f t="array" aca="1" ref="S79" ca="1">INDIRECT("'"&amp;$A79&amp;"'!P14")</f>
        <v>0</v>
      </c>
      <c r="T79" s="3">
        <f t="array" aca="1" ref="T79" ca="1">INDIRECT("'"&amp;$A79&amp;"'!Q14")</f>
        <v>0</v>
      </c>
      <c r="U79" s="3">
        <f t="array" aca="1" ref="U79" ca="1">INDIRECT("'"&amp;$A79&amp;"'!R14")</f>
        <v>0</v>
      </c>
      <c r="V79" s="3">
        <f t="array" aca="1" ref="V79" ca="1">INDIRECT("'"&amp;$A79&amp;"'!S14")</f>
        <v>0</v>
      </c>
      <c r="W79" s="3">
        <f t="array" aca="1" ref="W79" ca="1">INDIRECT("'"&amp;$A79&amp;"'!T14")</f>
        <v>0</v>
      </c>
      <c r="X79" s="3">
        <f t="array" aca="1" ref="X79" ca="1">INDIRECT("'"&amp;$A79&amp;"'!U14")</f>
        <v>0</v>
      </c>
      <c r="Y79" s="3">
        <f t="array" aca="1" ref="Y79" ca="1">INDIRECT("'"&amp;$A79&amp;"'!V14")</f>
        <v>0</v>
      </c>
      <c r="Z79" s="3">
        <f t="array" aca="1" ref="Z79" ca="1">INDIRECT("'"&amp;$A79&amp;"'!W14")</f>
        <v>0</v>
      </c>
      <c r="AA79" s="3">
        <f t="array" aca="1" ref="AA79" ca="1">INDIRECT("'"&amp;$A79&amp;"'!X14")</f>
        <v>0</v>
      </c>
      <c r="AB79" s="3">
        <f t="array" aca="1" ref="AB79" ca="1">INDIRECT("'"&amp;$A79&amp;"'!Y14")</f>
        <v>0</v>
      </c>
      <c r="AC79" s="3">
        <f t="array" aca="1" ref="AC79" ca="1">INDIRECT("'"&amp;$A79&amp;"'!Z14")</f>
        <v>0</v>
      </c>
      <c r="AD79" s="32">
        <f t="array" aca="1" ref="AD79" ca="1">INDIRECT("'"&amp;$A79&amp;"'!AA14")</f>
        <v>0</v>
      </c>
      <c r="AE79" s="83">
        <f t="array" aca="1" ref="AE79" ca="1">INDIRECT("'"&amp;$A78&amp;"'!J4")</f>
        <v>0</v>
      </c>
      <c r="AF79" s="53"/>
    </row>
    <row r="80" spans="1:32">
      <c r="A80" s="58">
        <v>27</v>
      </c>
      <c r="B80" s="105">
        <f>INDEX(data!$I$2:$I$91,MATCH(A80*1,data!$G$2:$G$91,0))</f>
        <v>46211</v>
      </c>
      <c r="C80" s="66" t="str">
        <f>HYPERLINK("#'" &amp; A80 &amp; "'!A1", "编辑")</f>
        <v>编辑</v>
      </c>
      <c r="D80" s="54" t="s">
        <v>6</v>
      </c>
      <c r="E80" s="81">
        <f t="array" aca="1" ref="E80" ca="1">INDIRECT("'"&amp;$A81&amp;"'!I2")</f>
        <v>18</v>
      </c>
      <c r="F80" s="29">
        <f t="array" aca="1" ref="F80" ca="1">INDIRECT("'"&amp;$A80&amp;"'!C8")</f>
        <v>0</v>
      </c>
      <c r="G80" s="30">
        <f t="array" aca="1" ref="G80" ca="1">INDIRECT("'"&amp;$A80&amp;"'!D8")</f>
        <v>0</v>
      </c>
      <c r="H80" s="30">
        <f t="array" aca="1" ref="H80" ca="1">INDIRECT("'"&amp;$A80&amp;"'!E8")</f>
        <v>0</v>
      </c>
      <c r="I80" s="30">
        <f t="array" aca="1" ref="I80" ca="1">INDIRECT("'"&amp;$A80&amp;"'!F8")</f>
        <v>0</v>
      </c>
      <c r="J80" s="30">
        <f t="array" aca="1" ref="J80" ca="1">INDIRECT("'"&amp;$A80&amp;"'!G8")</f>
        <v>0</v>
      </c>
      <c r="K80" s="30">
        <f t="array" aca="1" ref="K80" ca="1">INDIRECT("'"&amp;$A80&amp;"'!H8")</f>
        <v>0</v>
      </c>
      <c r="L80" s="30">
        <f t="array" aca="1" ref="L80" ca="1">INDIRECT("'"&amp;$A80&amp;"'!I8")</f>
        <v>0</v>
      </c>
      <c r="M80" s="30">
        <f t="array" aca="1" ref="M80" ca="1">INDIRECT("'"&amp;$A80&amp;"'!J8")</f>
        <v>0</v>
      </c>
      <c r="N80" s="30">
        <f t="array" aca="1" ref="N80" ca="1">INDIRECT("'"&amp;$A80&amp;"'!K8")</f>
        <v>0</v>
      </c>
      <c r="O80" s="30">
        <f t="array" aca="1" ref="O80" ca="1">INDIRECT("'"&amp;$A80&amp;"'!L8")</f>
        <v>0</v>
      </c>
      <c r="P80" s="30">
        <f t="array" aca="1" ref="P80" ca="1">INDIRECT("'"&amp;$A80&amp;"'!M8")</f>
        <v>0</v>
      </c>
      <c r="Q80" s="30">
        <f t="array" aca="1" ref="Q80" ca="1">INDIRECT("'"&amp;$A80&amp;"'!N8")</f>
        <v>0</v>
      </c>
      <c r="R80" s="30">
        <f t="array" aca="1" ref="R80" ca="1">INDIRECT("'"&amp;$A80&amp;"'!O8")</f>
        <v>0</v>
      </c>
      <c r="S80" s="30">
        <f t="array" aca="1" ref="S80" ca="1">INDIRECT("'"&amp;$A80&amp;"'!P8")</f>
        <v>0</v>
      </c>
      <c r="T80" s="30">
        <f t="array" aca="1" ref="T80" ca="1">INDIRECT("'"&amp;$A80&amp;"'!Q8")</f>
        <v>0</v>
      </c>
      <c r="U80" s="30">
        <f t="array" aca="1" ref="U80" ca="1">INDIRECT("'"&amp;$A80&amp;"'!R8")</f>
        <v>0</v>
      </c>
      <c r="V80" s="30">
        <f t="array" aca="1" ref="V80" ca="1">INDIRECT("'"&amp;$A80&amp;"'!S8")</f>
        <v>0</v>
      </c>
      <c r="W80" s="30">
        <f t="array" aca="1" ref="W80" ca="1">INDIRECT("'"&amp;$A80&amp;"'!T8")</f>
        <v>0</v>
      </c>
      <c r="X80" s="30">
        <f t="array" aca="1" ref="X80" ca="1">INDIRECT("'"&amp;$A80&amp;"'!U8")</f>
        <v>0</v>
      </c>
      <c r="Y80" s="30">
        <f t="array" aca="1" ref="Y80" ca="1">INDIRECT("'"&amp;$A80&amp;"'!V8")</f>
        <v>0</v>
      </c>
      <c r="Z80" s="30">
        <f t="array" aca="1" ref="Z80" ca="1">INDIRECT("'"&amp;$A80&amp;"'!W8")</f>
        <v>0</v>
      </c>
      <c r="AA80" s="30">
        <f t="array" aca="1" ref="AA80" ca="1">INDIRECT("'"&amp;$A80&amp;"'!X8")</f>
        <v>0</v>
      </c>
      <c r="AB80" s="30">
        <f t="array" aca="1" ref="AB80" ca="1">INDIRECT("'"&amp;$A80&amp;"'!Y8")</f>
        <v>0</v>
      </c>
      <c r="AC80" s="30">
        <f t="array" aca="1" ref="AC80" ca="1">INDIRECT("'"&amp;$A80&amp;"'!Z8")</f>
        <v>0</v>
      </c>
      <c r="AD80" s="31">
        <f t="array" aca="1" ref="AD80" ca="1">INDIRECT("'"&amp;$A80&amp;"'!AA8")</f>
        <v>0</v>
      </c>
      <c r="AE80" s="81">
        <f t="array" aca="1" ref="AE80" ca="1">INDIRECT("'"&amp;$A81&amp;"'!J2")</f>
        <v>0</v>
      </c>
      <c r="AF80" s="53" t="str">
        <f t="array" aca="1" ref="AF80" ca="1">INDIRECT("'"&amp;$A81&amp;"'!AD1")</f>
        <v/>
      </c>
    </row>
    <row r="81" spans="1:32">
      <c r="A81" s="58">
        <v>27</v>
      </c>
      <c r="B81" s="106"/>
      <c r="C81" s="67" t="str">
        <f t="array" aca="1" ref="C81" ca="1">CONCATENATE("粮 ",INDIRECT("'"&amp;$A81&amp;"'!D4"))</f>
        <v>粮 48400</v>
      </c>
      <c r="D81" s="55" t="s">
        <v>7</v>
      </c>
      <c r="E81" s="82">
        <f t="array" aca="1" ref="E81" ca="1">INDIRECT("'"&amp;$A81&amp;"'!I3")</f>
        <v>18</v>
      </c>
      <c r="F81" s="52">
        <f t="array" aca="1" ref="F81" ca="1">INDIRECT("'"&amp;$A81&amp;"'!C11")</f>
        <v>0</v>
      </c>
      <c r="G81" s="3">
        <f t="array" aca="1" ref="G81" ca="1">INDIRECT("'"&amp;$A81&amp;"'!D11")</f>
        <v>0</v>
      </c>
      <c r="H81" s="3">
        <f t="array" aca="1" ref="H81" ca="1">INDIRECT("'"&amp;$A81&amp;"'!E11")</f>
        <v>0</v>
      </c>
      <c r="I81" s="3">
        <f t="array" aca="1" ref="I81" ca="1">INDIRECT("'"&amp;$A81&amp;"'!F11")</f>
        <v>0</v>
      </c>
      <c r="J81" s="3">
        <f t="array" aca="1" ref="J81" ca="1">INDIRECT("'"&amp;$A81&amp;"'!G11")</f>
        <v>0</v>
      </c>
      <c r="K81" s="3">
        <f t="array" aca="1" ref="K81" ca="1">INDIRECT("'"&amp;$A81&amp;"'!H11")</f>
        <v>0</v>
      </c>
      <c r="L81" s="3">
        <f t="array" aca="1" ref="L81" ca="1">INDIRECT("'"&amp;$A81&amp;"'!I11")</f>
        <v>0</v>
      </c>
      <c r="M81" s="3">
        <f t="array" aca="1" ref="M81" ca="1">INDIRECT("'"&amp;$A81&amp;"'!J11")</f>
        <v>0</v>
      </c>
      <c r="N81" s="3">
        <f t="array" aca="1" ref="N81" ca="1">INDIRECT("'"&amp;$A81&amp;"'!K11")</f>
        <v>0</v>
      </c>
      <c r="O81" s="3">
        <f t="array" aca="1" ref="O81" ca="1">INDIRECT("'"&amp;$A81&amp;"'!L11")</f>
        <v>0</v>
      </c>
      <c r="P81" s="3">
        <f t="array" aca="1" ref="P81" ca="1">INDIRECT("'"&amp;$A81&amp;"'!M11")</f>
        <v>0</v>
      </c>
      <c r="Q81" s="3">
        <f t="array" aca="1" ref="Q81" ca="1">INDIRECT("'"&amp;$A81&amp;"'!N11")</f>
        <v>0</v>
      </c>
      <c r="R81" s="3">
        <f t="array" aca="1" ref="R81" ca="1">INDIRECT("'"&amp;$A81&amp;"'!O11")</f>
        <v>0</v>
      </c>
      <c r="S81" s="3">
        <f t="array" aca="1" ref="S81" ca="1">INDIRECT("'"&amp;$A81&amp;"'!P11")</f>
        <v>0</v>
      </c>
      <c r="T81" s="3">
        <f t="array" aca="1" ref="T81" ca="1">INDIRECT("'"&amp;$A81&amp;"'!Q11")</f>
        <v>0</v>
      </c>
      <c r="U81" s="3">
        <f t="array" aca="1" ref="U81" ca="1">INDIRECT("'"&amp;$A81&amp;"'!R11")</f>
        <v>0</v>
      </c>
      <c r="V81" s="3">
        <f t="array" aca="1" ref="V81" ca="1">INDIRECT("'"&amp;$A81&amp;"'!S11")</f>
        <v>0</v>
      </c>
      <c r="W81" s="3">
        <f t="array" aca="1" ref="W81" ca="1">INDIRECT("'"&amp;$A81&amp;"'!T11")</f>
        <v>0</v>
      </c>
      <c r="X81" s="3">
        <f t="array" aca="1" ref="X81" ca="1">INDIRECT("'"&amp;$A81&amp;"'!U11")</f>
        <v>0</v>
      </c>
      <c r="Y81" s="3">
        <f t="array" aca="1" ref="Y81" ca="1">INDIRECT("'"&amp;$A81&amp;"'!V11")</f>
        <v>0</v>
      </c>
      <c r="Z81" s="3">
        <f t="array" aca="1" ref="Z81" ca="1">INDIRECT("'"&amp;$A81&amp;"'!W11")</f>
        <v>0</v>
      </c>
      <c r="AA81" s="3">
        <f t="array" aca="1" ref="AA81" ca="1">INDIRECT("'"&amp;$A81&amp;"'!X11")</f>
        <v>0</v>
      </c>
      <c r="AB81" s="3">
        <f t="array" aca="1" ref="AB81" ca="1">INDIRECT("'"&amp;$A81&amp;"'!Y11")</f>
        <v>0</v>
      </c>
      <c r="AC81" s="3">
        <f t="array" aca="1" ref="AC81" ca="1">INDIRECT("'"&amp;$A81&amp;"'!Z11")</f>
        <v>0</v>
      </c>
      <c r="AD81" s="32">
        <f t="array" aca="1" ref="AD81" ca="1">INDIRECT("'"&amp;$A81&amp;"'!AA11")</f>
        <v>0</v>
      </c>
      <c r="AE81" s="82">
        <f t="array" aca="1" ref="AE81" ca="1">INDIRECT("'"&amp;$A81&amp;"'!J3")</f>
        <v>0</v>
      </c>
      <c r="AF81" s="53" t="str">
        <f t="array" aca="1" ref="AF81" ca="1">INDIRECT("'"&amp;$A81&amp;"'!AC1")</f>
        <v/>
      </c>
    </row>
    <row r="82" spans="1:32" ht="15.75" customHeight="1" thickBot="1">
      <c r="A82" s="58">
        <v>27</v>
      </c>
      <c r="B82" s="107"/>
      <c r="C82" s="77" t="str">
        <f t="array" aca="1" ref="C82" ca="1">CONCATENATE("分 ",INDIRECT("'"&amp;$A81&amp;"'!D6"))</f>
        <v>分 0</v>
      </c>
      <c r="D82" s="56" t="s">
        <v>8</v>
      </c>
      <c r="E82" s="83">
        <f t="array" aca="1" ref="E82" ca="1">INDIRECT("'"&amp;$A81&amp;"'!I4")</f>
        <v>18</v>
      </c>
      <c r="F82" s="52">
        <f t="array" aca="1" ref="F82" ca="1">INDIRECT("'"&amp;$A82&amp;"'!C14")</f>
        <v>0</v>
      </c>
      <c r="G82" s="3">
        <f t="array" aca="1" ref="G82" ca="1">INDIRECT("'"&amp;$A82&amp;"'!D14")</f>
        <v>0</v>
      </c>
      <c r="H82" s="3">
        <f t="array" aca="1" ref="H82" ca="1">INDIRECT("'"&amp;$A82&amp;"'!E14")</f>
        <v>0</v>
      </c>
      <c r="I82" s="3">
        <f t="array" aca="1" ref="I82" ca="1">INDIRECT("'"&amp;$A82&amp;"'!F14")</f>
        <v>0</v>
      </c>
      <c r="J82" s="3">
        <f t="array" aca="1" ref="J82" ca="1">INDIRECT("'"&amp;$A82&amp;"'!G14")</f>
        <v>0</v>
      </c>
      <c r="K82" s="3">
        <f t="array" aca="1" ref="K82" ca="1">INDIRECT("'"&amp;$A82&amp;"'!H14")</f>
        <v>0</v>
      </c>
      <c r="L82" s="3">
        <f t="array" aca="1" ref="L82" ca="1">INDIRECT("'"&amp;$A82&amp;"'!I14")</f>
        <v>0</v>
      </c>
      <c r="M82" s="3">
        <f t="array" aca="1" ref="M82" ca="1">INDIRECT("'"&amp;$A82&amp;"'!J14")</f>
        <v>0</v>
      </c>
      <c r="N82" s="3">
        <f t="array" aca="1" ref="N82" ca="1">INDIRECT("'"&amp;$A82&amp;"'!K14")</f>
        <v>0</v>
      </c>
      <c r="O82" s="3">
        <f t="array" aca="1" ref="O82" ca="1">INDIRECT("'"&amp;$A82&amp;"'!L14")</f>
        <v>0</v>
      </c>
      <c r="P82" s="3">
        <f t="array" aca="1" ref="P82" ca="1">INDIRECT("'"&amp;$A82&amp;"'!M14")</f>
        <v>0</v>
      </c>
      <c r="Q82" s="3">
        <f t="array" aca="1" ref="Q82" ca="1">INDIRECT("'"&amp;$A82&amp;"'!N14")</f>
        <v>0</v>
      </c>
      <c r="R82" s="3">
        <f t="array" aca="1" ref="R82" ca="1">INDIRECT("'"&amp;$A82&amp;"'!O14")</f>
        <v>0</v>
      </c>
      <c r="S82" s="3">
        <f t="array" aca="1" ref="S82" ca="1">INDIRECT("'"&amp;$A82&amp;"'!P14")</f>
        <v>0</v>
      </c>
      <c r="T82" s="3">
        <f t="array" aca="1" ref="T82" ca="1">INDIRECT("'"&amp;$A82&amp;"'!Q14")</f>
        <v>0</v>
      </c>
      <c r="U82" s="3">
        <f t="array" aca="1" ref="U82" ca="1">INDIRECT("'"&amp;$A82&amp;"'!R14")</f>
        <v>0</v>
      </c>
      <c r="V82" s="3">
        <f t="array" aca="1" ref="V82" ca="1">INDIRECT("'"&amp;$A82&amp;"'!S14")</f>
        <v>0</v>
      </c>
      <c r="W82" s="3">
        <f t="array" aca="1" ref="W82" ca="1">INDIRECT("'"&amp;$A82&amp;"'!T14")</f>
        <v>0</v>
      </c>
      <c r="X82" s="3">
        <f t="array" aca="1" ref="X82" ca="1">INDIRECT("'"&amp;$A82&amp;"'!U14")</f>
        <v>0</v>
      </c>
      <c r="Y82" s="3">
        <f t="array" aca="1" ref="Y82" ca="1">INDIRECT("'"&amp;$A82&amp;"'!V14")</f>
        <v>0</v>
      </c>
      <c r="Z82" s="3">
        <f t="array" aca="1" ref="Z82" ca="1">INDIRECT("'"&amp;$A82&amp;"'!W14")</f>
        <v>0</v>
      </c>
      <c r="AA82" s="3">
        <f t="array" aca="1" ref="AA82" ca="1">INDIRECT("'"&amp;$A82&amp;"'!X14")</f>
        <v>0</v>
      </c>
      <c r="AB82" s="3">
        <f t="array" aca="1" ref="AB82" ca="1">INDIRECT("'"&amp;$A82&amp;"'!Y14")</f>
        <v>0</v>
      </c>
      <c r="AC82" s="3">
        <f t="array" aca="1" ref="AC82" ca="1">INDIRECT("'"&amp;$A82&amp;"'!Z14")</f>
        <v>0</v>
      </c>
      <c r="AD82" s="32">
        <f t="array" aca="1" ref="AD82" ca="1">INDIRECT("'"&amp;$A82&amp;"'!AA14")</f>
        <v>0</v>
      </c>
      <c r="AE82" s="83">
        <f t="array" aca="1" ref="AE82" ca="1">INDIRECT("'"&amp;$A81&amp;"'!J4")</f>
        <v>0</v>
      </c>
      <c r="AF82" s="53"/>
    </row>
    <row r="83" spans="1:32">
      <c r="A83" s="58">
        <v>28</v>
      </c>
      <c r="B83" s="105">
        <f>INDEX(data!$I$2:$I$91,MATCH(A83*1,data!$G$2:$G$91,0))</f>
        <v>46212</v>
      </c>
      <c r="C83" s="66" t="str">
        <f>HYPERLINK("#'" &amp; A83 &amp; "'!A1", "编辑")</f>
        <v>编辑</v>
      </c>
      <c r="D83" s="54" t="s">
        <v>6</v>
      </c>
      <c r="E83" s="81">
        <f t="array" aca="1" ref="E83" ca="1">INDIRECT("'"&amp;$A84&amp;"'!I2")</f>
        <v>18</v>
      </c>
      <c r="F83" s="29">
        <f t="array" aca="1" ref="F83" ca="1">INDIRECT("'"&amp;$A83&amp;"'!C8")</f>
        <v>0</v>
      </c>
      <c r="G83" s="30">
        <f t="array" aca="1" ref="G83" ca="1">INDIRECT("'"&amp;$A83&amp;"'!D8")</f>
        <v>0</v>
      </c>
      <c r="H83" s="30">
        <f t="array" aca="1" ref="H83" ca="1">INDIRECT("'"&amp;$A83&amp;"'!E8")</f>
        <v>0</v>
      </c>
      <c r="I83" s="30">
        <f t="array" aca="1" ref="I83" ca="1">INDIRECT("'"&amp;$A83&amp;"'!F8")</f>
        <v>0</v>
      </c>
      <c r="J83" s="30">
        <f t="array" aca="1" ref="J83" ca="1">INDIRECT("'"&amp;$A83&amp;"'!G8")</f>
        <v>0</v>
      </c>
      <c r="K83" s="30">
        <f t="array" aca="1" ref="K83" ca="1">INDIRECT("'"&amp;$A83&amp;"'!H8")</f>
        <v>0</v>
      </c>
      <c r="L83" s="30">
        <f t="array" aca="1" ref="L83" ca="1">INDIRECT("'"&amp;$A83&amp;"'!I8")</f>
        <v>0</v>
      </c>
      <c r="M83" s="30">
        <f t="array" aca="1" ref="M83" ca="1">INDIRECT("'"&amp;$A83&amp;"'!J8")</f>
        <v>0</v>
      </c>
      <c r="N83" s="30">
        <f t="array" aca="1" ref="N83" ca="1">INDIRECT("'"&amp;$A83&amp;"'!K8")</f>
        <v>0</v>
      </c>
      <c r="O83" s="30">
        <f t="array" aca="1" ref="O83" ca="1">INDIRECT("'"&amp;$A83&amp;"'!L8")</f>
        <v>0</v>
      </c>
      <c r="P83" s="30">
        <f t="array" aca="1" ref="P83" ca="1">INDIRECT("'"&amp;$A83&amp;"'!M8")</f>
        <v>0</v>
      </c>
      <c r="Q83" s="30">
        <f t="array" aca="1" ref="Q83" ca="1">INDIRECT("'"&amp;$A83&amp;"'!N8")</f>
        <v>0</v>
      </c>
      <c r="R83" s="30">
        <f t="array" aca="1" ref="R83" ca="1">INDIRECT("'"&amp;$A83&amp;"'!O8")</f>
        <v>0</v>
      </c>
      <c r="S83" s="30">
        <f t="array" aca="1" ref="S83" ca="1">INDIRECT("'"&amp;$A83&amp;"'!P8")</f>
        <v>0</v>
      </c>
      <c r="T83" s="30">
        <f t="array" aca="1" ref="T83" ca="1">INDIRECT("'"&amp;$A83&amp;"'!Q8")</f>
        <v>0</v>
      </c>
      <c r="U83" s="30">
        <f t="array" aca="1" ref="U83" ca="1">INDIRECT("'"&amp;$A83&amp;"'!R8")</f>
        <v>0</v>
      </c>
      <c r="V83" s="30">
        <f t="array" aca="1" ref="V83" ca="1">INDIRECT("'"&amp;$A83&amp;"'!S8")</f>
        <v>0</v>
      </c>
      <c r="W83" s="30">
        <f t="array" aca="1" ref="W83" ca="1">INDIRECT("'"&amp;$A83&amp;"'!T8")</f>
        <v>0</v>
      </c>
      <c r="X83" s="30">
        <f t="array" aca="1" ref="X83" ca="1">INDIRECT("'"&amp;$A83&amp;"'!U8")</f>
        <v>0</v>
      </c>
      <c r="Y83" s="30">
        <f t="array" aca="1" ref="Y83" ca="1">INDIRECT("'"&amp;$A83&amp;"'!V8")</f>
        <v>0</v>
      </c>
      <c r="Z83" s="30">
        <f t="array" aca="1" ref="Z83" ca="1">INDIRECT("'"&amp;$A83&amp;"'!W8")</f>
        <v>0</v>
      </c>
      <c r="AA83" s="30">
        <f t="array" aca="1" ref="AA83" ca="1">INDIRECT("'"&amp;$A83&amp;"'!X8")</f>
        <v>0</v>
      </c>
      <c r="AB83" s="30">
        <f t="array" aca="1" ref="AB83" ca="1">INDIRECT("'"&amp;$A83&amp;"'!Y8")</f>
        <v>0</v>
      </c>
      <c r="AC83" s="30">
        <f t="array" aca="1" ref="AC83" ca="1">INDIRECT("'"&amp;$A83&amp;"'!Z8")</f>
        <v>0</v>
      </c>
      <c r="AD83" s="31">
        <f t="array" aca="1" ref="AD83" ca="1">INDIRECT("'"&amp;$A83&amp;"'!AA8")</f>
        <v>0</v>
      </c>
      <c r="AE83" s="81">
        <f t="array" aca="1" ref="AE83" ca="1">INDIRECT("'"&amp;$A84&amp;"'!J2")</f>
        <v>0</v>
      </c>
      <c r="AF83" s="53" t="str">
        <f t="array" aca="1" ref="AF83" ca="1">INDIRECT("'"&amp;$A84&amp;"'!AD1")</f>
        <v/>
      </c>
    </row>
    <row r="84" spans="1:32">
      <c r="A84" s="58">
        <v>28</v>
      </c>
      <c r="B84" s="106"/>
      <c r="C84" s="67" t="str">
        <f t="array" aca="1" ref="C84" ca="1">CONCATENATE("粮 ",INDIRECT("'"&amp;$A84&amp;"'!D4"))</f>
        <v>粮 50000</v>
      </c>
      <c r="D84" s="55" t="s">
        <v>7</v>
      </c>
      <c r="E84" s="82">
        <f t="array" aca="1" ref="E84" ca="1">INDIRECT("'"&amp;$A84&amp;"'!I3")</f>
        <v>18</v>
      </c>
      <c r="F84" s="52">
        <f t="array" aca="1" ref="F84" ca="1">INDIRECT("'"&amp;$A84&amp;"'!C11")</f>
        <v>0</v>
      </c>
      <c r="G84" s="3">
        <f t="array" aca="1" ref="G84" ca="1">INDIRECT("'"&amp;$A84&amp;"'!D11")</f>
        <v>0</v>
      </c>
      <c r="H84" s="3">
        <f t="array" aca="1" ref="H84" ca="1">INDIRECT("'"&amp;$A84&amp;"'!E11")</f>
        <v>0</v>
      </c>
      <c r="I84" s="3">
        <f t="array" aca="1" ref="I84" ca="1">INDIRECT("'"&amp;$A84&amp;"'!F11")</f>
        <v>0</v>
      </c>
      <c r="J84" s="3">
        <f t="array" aca="1" ref="J84" ca="1">INDIRECT("'"&amp;$A84&amp;"'!G11")</f>
        <v>0</v>
      </c>
      <c r="K84" s="3">
        <f t="array" aca="1" ref="K84" ca="1">INDIRECT("'"&amp;$A84&amp;"'!H11")</f>
        <v>0</v>
      </c>
      <c r="L84" s="3">
        <f t="array" aca="1" ref="L84" ca="1">INDIRECT("'"&amp;$A84&amp;"'!I11")</f>
        <v>0</v>
      </c>
      <c r="M84" s="3">
        <f t="array" aca="1" ref="M84" ca="1">INDIRECT("'"&amp;$A84&amp;"'!J11")</f>
        <v>0</v>
      </c>
      <c r="N84" s="3">
        <f t="array" aca="1" ref="N84" ca="1">INDIRECT("'"&amp;$A84&amp;"'!K11")</f>
        <v>0</v>
      </c>
      <c r="O84" s="3">
        <f t="array" aca="1" ref="O84" ca="1">INDIRECT("'"&amp;$A84&amp;"'!L11")</f>
        <v>0</v>
      </c>
      <c r="P84" s="3">
        <f t="array" aca="1" ref="P84" ca="1">INDIRECT("'"&amp;$A84&amp;"'!M11")</f>
        <v>0</v>
      </c>
      <c r="Q84" s="3">
        <f t="array" aca="1" ref="Q84" ca="1">INDIRECT("'"&amp;$A84&amp;"'!N11")</f>
        <v>0</v>
      </c>
      <c r="R84" s="3">
        <f t="array" aca="1" ref="R84" ca="1">INDIRECT("'"&amp;$A84&amp;"'!O11")</f>
        <v>0</v>
      </c>
      <c r="S84" s="3">
        <f t="array" aca="1" ref="S84" ca="1">INDIRECT("'"&amp;$A84&amp;"'!P11")</f>
        <v>0</v>
      </c>
      <c r="T84" s="3">
        <f t="array" aca="1" ref="T84" ca="1">INDIRECT("'"&amp;$A84&amp;"'!Q11")</f>
        <v>0</v>
      </c>
      <c r="U84" s="3">
        <f t="array" aca="1" ref="U84" ca="1">INDIRECT("'"&amp;$A84&amp;"'!R11")</f>
        <v>0</v>
      </c>
      <c r="V84" s="3">
        <f t="array" aca="1" ref="V84" ca="1">INDIRECT("'"&amp;$A84&amp;"'!S11")</f>
        <v>0</v>
      </c>
      <c r="W84" s="3">
        <f t="array" aca="1" ref="W84" ca="1">INDIRECT("'"&amp;$A84&amp;"'!T11")</f>
        <v>0</v>
      </c>
      <c r="X84" s="3">
        <f t="array" aca="1" ref="X84" ca="1">INDIRECT("'"&amp;$A84&amp;"'!U11")</f>
        <v>0</v>
      </c>
      <c r="Y84" s="3">
        <f t="array" aca="1" ref="Y84" ca="1">INDIRECT("'"&amp;$A84&amp;"'!V11")</f>
        <v>0</v>
      </c>
      <c r="Z84" s="3">
        <f t="array" aca="1" ref="Z84" ca="1">INDIRECT("'"&amp;$A84&amp;"'!W11")</f>
        <v>0</v>
      </c>
      <c r="AA84" s="3">
        <f t="array" aca="1" ref="AA84" ca="1">INDIRECT("'"&amp;$A84&amp;"'!X11")</f>
        <v>0</v>
      </c>
      <c r="AB84" s="3">
        <f t="array" aca="1" ref="AB84" ca="1">INDIRECT("'"&amp;$A84&amp;"'!Y11")</f>
        <v>0</v>
      </c>
      <c r="AC84" s="3">
        <f t="array" aca="1" ref="AC84" ca="1">INDIRECT("'"&amp;$A84&amp;"'!Z11")</f>
        <v>0</v>
      </c>
      <c r="AD84" s="32">
        <f t="array" aca="1" ref="AD84" ca="1">INDIRECT("'"&amp;$A84&amp;"'!AA11")</f>
        <v>0</v>
      </c>
      <c r="AE84" s="82">
        <f t="array" aca="1" ref="AE84" ca="1">INDIRECT("'"&amp;$A84&amp;"'!J3")</f>
        <v>0</v>
      </c>
      <c r="AF84" s="53" t="str">
        <f t="array" aca="1" ref="AF84" ca="1">INDIRECT("'"&amp;$A84&amp;"'!AC1")</f>
        <v/>
      </c>
    </row>
    <row r="85" spans="1:32" ht="15.75" customHeight="1" thickBot="1">
      <c r="A85" s="58">
        <v>28</v>
      </c>
      <c r="B85" s="107"/>
      <c r="C85" s="77" t="str">
        <f t="array" aca="1" ref="C85" ca="1">CONCATENATE("分 ",INDIRECT("'"&amp;$A84&amp;"'!D6"))</f>
        <v>分 0</v>
      </c>
      <c r="D85" s="56" t="s">
        <v>8</v>
      </c>
      <c r="E85" s="83">
        <f t="array" aca="1" ref="E85" ca="1">INDIRECT("'"&amp;$A84&amp;"'!I4")</f>
        <v>18</v>
      </c>
      <c r="F85" s="52">
        <f t="array" aca="1" ref="F85" ca="1">INDIRECT("'"&amp;$A85&amp;"'!C14")</f>
        <v>0</v>
      </c>
      <c r="G85" s="3">
        <f t="array" aca="1" ref="G85" ca="1">INDIRECT("'"&amp;$A85&amp;"'!D14")</f>
        <v>0</v>
      </c>
      <c r="H85" s="3">
        <f t="array" aca="1" ref="H85" ca="1">INDIRECT("'"&amp;$A85&amp;"'!E14")</f>
        <v>0</v>
      </c>
      <c r="I85" s="3">
        <f t="array" aca="1" ref="I85" ca="1">INDIRECT("'"&amp;$A85&amp;"'!F14")</f>
        <v>0</v>
      </c>
      <c r="J85" s="3">
        <f t="array" aca="1" ref="J85" ca="1">INDIRECT("'"&amp;$A85&amp;"'!G14")</f>
        <v>0</v>
      </c>
      <c r="K85" s="3">
        <f t="array" aca="1" ref="K85" ca="1">INDIRECT("'"&amp;$A85&amp;"'!H14")</f>
        <v>0</v>
      </c>
      <c r="L85" s="3">
        <f t="array" aca="1" ref="L85" ca="1">INDIRECT("'"&amp;$A85&amp;"'!I14")</f>
        <v>0</v>
      </c>
      <c r="M85" s="3">
        <f t="array" aca="1" ref="M85" ca="1">INDIRECT("'"&amp;$A85&amp;"'!J14")</f>
        <v>0</v>
      </c>
      <c r="N85" s="3">
        <f t="array" aca="1" ref="N85" ca="1">INDIRECT("'"&amp;$A85&amp;"'!K14")</f>
        <v>0</v>
      </c>
      <c r="O85" s="3">
        <f t="array" aca="1" ref="O85" ca="1">INDIRECT("'"&amp;$A85&amp;"'!L14")</f>
        <v>0</v>
      </c>
      <c r="P85" s="3">
        <f t="array" aca="1" ref="P85" ca="1">INDIRECT("'"&amp;$A85&amp;"'!M14")</f>
        <v>0</v>
      </c>
      <c r="Q85" s="3">
        <f t="array" aca="1" ref="Q85" ca="1">INDIRECT("'"&amp;$A85&amp;"'!N14")</f>
        <v>0</v>
      </c>
      <c r="R85" s="3">
        <f t="array" aca="1" ref="R85" ca="1">INDIRECT("'"&amp;$A85&amp;"'!O14")</f>
        <v>0</v>
      </c>
      <c r="S85" s="3">
        <f t="array" aca="1" ref="S85" ca="1">INDIRECT("'"&amp;$A85&amp;"'!P14")</f>
        <v>0</v>
      </c>
      <c r="T85" s="3">
        <f t="array" aca="1" ref="T85" ca="1">INDIRECT("'"&amp;$A85&amp;"'!Q14")</f>
        <v>0</v>
      </c>
      <c r="U85" s="3">
        <f t="array" aca="1" ref="U85" ca="1">INDIRECT("'"&amp;$A85&amp;"'!R14")</f>
        <v>0</v>
      </c>
      <c r="V85" s="3">
        <f t="array" aca="1" ref="V85" ca="1">INDIRECT("'"&amp;$A85&amp;"'!S14")</f>
        <v>0</v>
      </c>
      <c r="W85" s="3">
        <f t="array" aca="1" ref="W85" ca="1">INDIRECT("'"&amp;$A85&amp;"'!T14")</f>
        <v>0</v>
      </c>
      <c r="X85" s="3">
        <f t="array" aca="1" ref="X85" ca="1">INDIRECT("'"&amp;$A85&amp;"'!U14")</f>
        <v>0</v>
      </c>
      <c r="Y85" s="3">
        <f t="array" aca="1" ref="Y85" ca="1">INDIRECT("'"&amp;$A85&amp;"'!V14")</f>
        <v>0</v>
      </c>
      <c r="Z85" s="3">
        <f t="array" aca="1" ref="Z85" ca="1">INDIRECT("'"&amp;$A85&amp;"'!W14")</f>
        <v>0</v>
      </c>
      <c r="AA85" s="3">
        <f t="array" aca="1" ref="AA85" ca="1">INDIRECT("'"&amp;$A85&amp;"'!X14")</f>
        <v>0</v>
      </c>
      <c r="AB85" s="3">
        <f t="array" aca="1" ref="AB85" ca="1">INDIRECT("'"&amp;$A85&amp;"'!Y14")</f>
        <v>0</v>
      </c>
      <c r="AC85" s="3">
        <f t="array" aca="1" ref="AC85" ca="1">INDIRECT("'"&amp;$A85&amp;"'!Z14")</f>
        <v>0</v>
      </c>
      <c r="AD85" s="32">
        <f t="array" aca="1" ref="AD85" ca="1">INDIRECT("'"&amp;$A85&amp;"'!AA14")</f>
        <v>0</v>
      </c>
      <c r="AE85" s="83">
        <f t="array" aca="1" ref="AE85" ca="1">INDIRECT("'"&amp;$A84&amp;"'!J4")</f>
        <v>0</v>
      </c>
      <c r="AF85" s="53"/>
    </row>
    <row r="86" spans="1:32">
      <c r="A86" s="58">
        <v>29</v>
      </c>
      <c r="B86" s="105">
        <f>INDEX(data!$I$2:$I$91,MATCH(A86*1,data!$G$2:$G$91,0))</f>
        <v>46213</v>
      </c>
      <c r="C86" s="66" t="str">
        <f>HYPERLINK("#'" &amp; A86 &amp; "'!A1", "编辑")</f>
        <v>编辑</v>
      </c>
      <c r="D86" s="54" t="s">
        <v>6</v>
      </c>
      <c r="E86" s="81">
        <f t="array" aca="1" ref="E86" ca="1">INDIRECT("'"&amp;$A87&amp;"'!I2")</f>
        <v>18</v>
      </c>
      <c r="F86" s="29">
        <f t="array" aca="1" ref="F86" ca="1">INDIRECT("'"&amp;$A86&amp;"'!C8")</f>
        <v>0</v>
      </c>
      <c r="G86" s="30">
        <f t="array" aca="1" ref="G86" ca="1">INDIRECT("'"&amp;$A86&amp;"'!D8")</f>
        <v>0</v>
      </c>
      <c r="H86" s="30">
        <f t="array" aca="1" ref="H86" ca="1">INDIRECT("'"&amp;$A86&amp;"'!E8")</f>
        <v>0</v>
      </c>
      <c r="I86" s="30">
        <f t="array" aca="1" ref="I86" ca="1">INDIRECT("'"&amp;$A86&amp;"'!F8")</f>
        <v>0</v>
      </c>
      <c r="J86" s="30">
        <f t="array" aca="1" ref="J86" ca="1">INDIRECT("'"&amp;$A86&amp;"'!G8")</f>
        <v>0</v>
      </c>
      <c r="K86" s="30">
        <f t="array" aca="1" ref="K86" ca="1">INDIRECT("'"&amp;$A86&amp;"'!H8")</f>
        <v>0</v>
      </c>
      <c r="L86" s="30">
        <f t="array" aca="1" ref="L86" ca="1">INDIRECT("'"&amp;$A86&amp;"'!I8")</f>
        <v>0</v>
      </c>
      <c r="M86" s="30">
        <f t="array" aca="1" ref="M86" ca="1">INDIRECT("'"&amp;$A86&amp;"'!J8")</f>
        <v>0</v>
      </c>
      <c r="N86" s="30">
        <f t="array" aca="1" ref="N86" ca="1">INDIRECT("'"&amp;$A86&amp;"'!K8")</f>
        <v>0</v>
      </c>
      <c r="O86" s="30">
        <f t="array" aca="1" ref="O86" ca="1">INDIRECT("'"&amp;$A86&amp;"'!L8")</f>
        <v>0</v>
      </c>
      <c r="P86" s="30">
        <f t="array" aca="1" ref="P86" ca="1">INDIRECT("'"&amp;$A86&amp;"'!M8")</f>
        <v>0</v>
      </c>
      <c r="Q86" s="30">
        <f t="array" aca="1" ref="Q86" ca="1">INDIRECT("'"&amp;$A86&amp;"'!N8")</f>
        <v>0</v>
      </c>
      <c r="R86" s="30">
        <f t="array" aca="1" ref="R86" ca="1">INDIRECT("'"&amp;$A86&amp;"'!O8")</f>
        <v>0</v>
      </c>
      <c r="S86" s="30">
        <f t="array" aca="1" ref="S86" ca="1">INDIRECT("'"&amp;$A86&amp;"'!P8")</f>
        <v>0</v>
      </c>
      <c r="T86" s="30">
        <f t="array" aca="1" ref="T86" ca="1">INDIRECT("'"&amp;$A86&amp;"'!Q8")</f>
        <v>0</v>
      </c>
      <c r="U86" s="30">
        <f t="array" aca="1" ref="U86" ca="1">INDIRECT("'"&amp;$A86&amp;"'!R8")</f>
        <v>0</v>
      </c>
      <c r="V86" s="30">
        <f t="array" aca="1" ref="V86" ca="1">INDIRECT("'"&amp;$A86&amp;"'!S8")</f>
        <v>0</v>
      </c>
      <c r="W86" s="30">
        <f t="array" aca="1" ref="W86" ca="1">INDIRECT("'"&amp;$A86&amp;"'!T8")</f>
        <v>0</v>
      </c>
      <c r="X86" s="30">
        <f t="array" aca="1" ref="X86" ca="1">INDIRECT("'"&amp;$A86&amp;"'!U8")</f>
        <v>0</v>
      </c>
      <c r="Y86" s="30">
        <f t="array" aca="1" ref="Y86" ca="1">INDIRECT("'"&amp;$A86&amp;"'!V8")</f>
        <v>0</v>
      </c>
      <c r="Z86" s="30">
        <f t="array" aca="1" ref="Z86" ca="1">INDIRECT("'"&amp;$A86&amp;"'!W8")</f>
        <v>0</v>
      </c>
      <c r="AA86" s="30">
        <f t="array" aca="1" ref="AA86" ca="1">INDIRECT("'"&amp;$A86&amp;"'!X8")</f>
        <v>0</v>
      </c>
      <c r="AB86" s="30">
        <f t="array" aca="1" ref="AB86" ca="1">INDIRECT("'"&amp;$A86&amp;"'!Y8")</f>
        <v>0</v>
      </c>
      <c r="AC86" s="30">
        <f t="array" aca="1" ref="AC86" ca="1">INDIRECT("'"&amp;$A86&amp;"'!Z8")</f>
        <v>0</v>
      </c>
      <c r="AD86" s="31">
        <f t="array" aca="1" ref="AD86" ca="1">INDIRECT("'"&amp;$A86&amp;"'!AA8")</f>
        <v>0</v>
      </c>
      <c r="AE86" s="81">
        <f t="array" aca="1" ref="AE86" ca="1">INDIRECT("'"&amp;$A87&amp;"'!J2")</f>
        <v>0</v>
      </c>
      <c r="AF86" s="53" t="str">
        <f t="array" aca="1" ref="AF86" ca="1">INDIRECT("'"&amp;$A87&amp;"'!AD1")</f>
        <v/>
      </c>
    </row>
    <row r="87" spans="1:32">
      <c r="A87" s="58">
        <v>29</v>
      </c>
      <c r="B87" s="106"/>
      <c r="C87" s="67" t="str">
        <f t="array" aca="1" ref="C87" ca="1">CONCATENATE("粮 ",INDIRECT("'"&amp;$A87&amp;"'!D4"))</f>
        <v>粮 51600</v>
      </c>
      <c r="D87" s="55" t="s">
        <v>7</v>
      </c>
      <c r="E87" s="82">
        <f t="array" aca="1" ref="E87" ca="1">INDIRECT("'"&amp;$A87&amp;"'!I3")</f>
        <v>18</v>
      </c>
      <c r="F87" s="52">
        <f t="array" aca="1" ref="F87" ca="1">INDIRECT("'"&amp;$A87&amp;"'!C11")</f>
        <v>0</v>
      </c>
      <c r="G87" s="3">
        <f t="array" aca="1" ref="G87" ca="1">INDIRECT("'"&amp;$A87&amp;"'!D11")</f>
        <v>0</v>
      </c>
      <c r="H87" s="3">
        <f t="array" aca="1" ref="H87" ca="1">INDIRECT("'"&amp;$A87&amp;"'!E11")</f>
        <v>0</v>
      </c>
      <c r="I87" s="3">
        <f t="array" aca="1" ref="I87" ca="1">INDIRECT("'"&amp;$A87&amp;"'!F11")</f>
        <v>0</v>
      </c>
      <c r="J87" s="3">
        <f t="array" aca="1" ref="J87" ca="1">INDIRECT("'"&amp;$A87&amp;"'!G11")</f>
        <v>0</v>
      </c>
      <c r="K87" s="3">
        <f t="array" aca="1" ref="K87" ca="1">INDIRECT("'"&amp;$A87&amp;"'!H11")</f>
        <v>0</v>
      </c>
      <c r="L87" s="3">
        <f t="array" aca="1" ref="L87" ca="1">INDIRECT("'"&amp;$A87&amp;"'!I11")</f>
        <v>0</v>
      </c>
      <c r="M87" s="3">
        <f t="array" aca="1" ref="M87" ca="1">INDIRECT("'"&amp;$A87&amp;"'!J11")</f>
        <v>0</v>
      </c>
      <c r="N87" s="3">
        <f t="array" aca="1" ref="N87" ca="1">INDIRECT("'"&amp;$A87&amp;"'!K11")</f>
        <v>0</v>
      </c>
      <c r="O87" s="3">
        <f t="array" aca="1" ref="O87" ca="1">INDIRECT("'"&amp;$A87&amp;"'!L11")</f>
        <v>0</v>
      </c>
      <c r="P87" s="3">
        <f t="array" aca="1" ref="P87" ca="1">INDIRECT("'"&amp;$A87&amp;"'!M11")</f>
        <v>0</v>
      </c>
      <c r="Q87" s="3">
        <f t="array" aca="1" ref="Q87" ca="1">INDIRECT("'"&amp;$A87&amp;"'!N11")</f>
        <v>0</v>
      </c>
      <c r="R87" s="3">
        <f t="array" aca="1" ref="R87" ca="1">INDIRECT("'"&amp;$A87&amp;"'!O11")</f>
        <v>0</v>
      </c>
      <c r="S87" s="3">
        <f t="array" aca="1" ref="S87" ca="1">INDIRECT("'"&amp;$A87&amp;"'!P11")</f>
        <v>0</v>
      </c>
      <c r="T87" s="3">
        <f t="array" aca="1" ref="T87" ca="1">INDIRECT("'"&amp;$A87&amp;"'!Q11")</f>
        <v>0</v>
      </c>
      <c r="U87" s="3">
        <f t="array" aca="1" ref="U87" ca="1">INDIRECT("'"&amp;$A87&amp;"'!R11")</f>
        <v>0</v>
      </c>
      <c r="V87" s="3">
        <f t="array" aca="1" ref="V87" ca="1">INDIRECT("'"&amp;$A87&amp;"'!S11")</f>
        <v>0</v>
      </c>
      <c r="W87" s="3">
        <f t="array" aca="1" ref="W87" ca="1">INDIRECT("'"&amp;$A87&amp;"'!T11")</f>
        <v>0</v>
      </c>
      <c r="X87" s="3">
        <f t="array" aca="1" ref="X87" ca="1">INDIRECT("'"&amp;$A87&amp;"'!U11")</f>
        <v>0</v>
      </c>
      <c r="Y87" s="3">
        <f t="array" aca="1" ref="Y87" ca="1">INDIRECT("'"&amp;$A87&amp;"'!V11")</f>
        <v>0</v>
      </c>
      <c r="Z87" s="3">
        <f t="array" aca="1" ref="Z87" ca="1">INDIRECT("'"&amp;$A87&amp;"'!W11")</f>
        <v>0</v>
      </c>
      <c r="AA87" s="3">
        <f t="array" aca="1" ref="AA87" ca="1">INDIRECT("'"&amp;$A87&amp;"'!X11")</f>
        <v>0</v>
      </c>
      <c r="AB87" s="3">
        <f t="array" aca="1" ref="AB87" ca="1">INDIRECT("'"&amp;$A87&amp;"'!Y11")</f>
        <v>0</v>
      </c>
      <c r="AC87" s="3">
        <f t="array" aca="1" ref="AC87" ca="1">INDIRECT("'"&amp;$A87&amp;"'!Z11")</f>
        <v>0</v>
      </c>
      <c r="AD87" s="32">
        <f t="array" aca="1" ref="AD87" ca="1">INDIRECT("'"&amp;$A87&amp;"'!AA11")</f>
        <v>0</v>
      </c>
      <c r="AE87" s="82">
        <f t="array" aca="1" ref="AE87" ca="1">INDIRECT("'"&amp;$A87&amp;"'!J3")</f>
        <v>0</v>
      </c>
      <c r="AF87" s="53" t="str">
        <f t="array" aca="1" ref="AF87" ca="1">INDIRECT("'"&amp;$A87&amp;"'!AC1")</f>
        <v/>
      </c>
    </row>
    <row r="88" spans="1:32" ht="15.75" customHeight="1" thickBot="1">
      <c r="A88" s="58">
        <v>29</v>
      </c>
      <c r="B88" s="107"/>
      <c r="C88" s="77" t="str">
        <f t="array" aca="1" ref="C88" ca="1">CONCATENATE("分 ",INDIRECT("'"&amp;$A87&amp;"'!D6"))</f>
        <v>分 0</v>
      </c>
      <c r="D88" s="56" t="s">
        <v>8</v>
      </c>
      <c r="E88" s="83">
        <f t="array" aca="1" ref="E88" ca="1">INDIRECT("'"&amp;$A87&amp;"'!I4")</f>
        <v>18</v>
      </c>
      <c r="F88" s="52">
        <f t="array" aca="1" ref="F88" ca="1">INDIRECT("'"&amp;$A88&amp;"'!C14")</f>
        <v>0</v>
      </c>
      <c r="G88" s="3">
        <f t="array" aca="1" ref="G88" ca="1">INDIRECT("'"&amp;$A88&amp;"'!D14")</f>
        <v>0</v>
      </c>
      <c r="H88" s="3">
        <f t="array" aca="1" ref="H88" ca="1">INDIRECT("'"&amp;$A88&amp;"'!E14")</f>
        <v>0</v>
      </c>
      <c r="I88" s="3">
        <f t="array" aca="1" ref="I88" ca="1">INDIRECT("'"&amp;$A88&amp;"'!F14")</f>
        <v>0</v>
      </c>
      <c r="J88" s="3">
        <f t="array" aca="1" ref="J88" ca="1">INDIRECT("'"&amp;$A88&amp;"'!G14")</f>
        <v>0</v>
      </c>
      <c r="K88" s="3">
        <f t="array" aca="1" ref="K88" ca="1">INDIRECT("'"&amp;$A88&amp;"'!H14")</f>
        <v>0</v>
      </c>
      <c r="L88" s="3">
        <f t="array" aca="1" ref="L88" ca="1">INDIRECT("'"&amp;$A88&amp;"'!I14")</f>
        <v>0</v>
      </c>
      <c r="M88" s="3">
        <f t="array" aca="1" ref="M88" ca="1">INDIRECT("'"&amp;$A88&amp;"'!J14")</f>
        <v>0</v>
      </c>
      <c r="N88" s="3">
        <f t="array" aca="1" ref="N88" ca="1">INDIRECT("'"&amp;$A88&amp;"'!K14")</f>
        <v>0</v>
      </c>
      <c r="O88" s="3">
        <f t="array" aca="1" ref="O88" ca="1">INDIRECT("'"&amp;$A88&amp;"'!L14")</f>
        <v>0</v>
      </c>
      <c r="P88" s="3">
        <f t="array" aca="1" ref="P88" ca="1">INDIRECT("'"&amp;$A88&amp;"'!M14")</f>
        <v>0</v>
      </c>
      <c r="Q88" s="3">
        <f t="array" aca="1" ref="Q88" ca="1">INDIRECT("'"&amp;$A88&amp;"'!N14")</f>
        <v>0</v>
      </c>
      <c r="R88" s="3">
        <f t="array" aca="1" ref="R88" ca="1">INDIRECT("'"&amp;$A88&amp;"'!O14")</f>
        <v>0</v>
      </c>
      <c r="S88" s="3">
        <f t="array" aca="1" ref="S88" ca="1">INDIRECT("'"&amp;$A88&amp;"'!P14")</f>
        <v>0</v>
      </c>
      <c r="T88" s="3">
        <f t="array" aca="1" ref="T88" ca="1">INDIRECT("'"&amp;$A88&amp;"'!Q14")</f>
        <v>0</v>
      </c>
      <c r="U88" s="3">
        <f t="array" aca="1" ref="U88" ca="1">INDIRECT("'"&amp;$A88&amp;"'!R14")</f>
        <v>0</v>
      </c>
      <c r="V88" s="3">
        <f t="array" aca="1" ref="V88" ca="1">INDIRECT("'"&amp;$A88&amp;"'!S14")</f>
        <v>0</v>
      </c>
      <c r="W88" s="3">
        <f t="array" aca="1" ref="W88" ca="1">INDIRECT("'"&amp;$A88&amp;"'!T14")</f>
        <v>0</v>
      </c>
      <c r="X88" s="3">
        <f t="array" aca="1" ref="X88" ca="1">INDIRECT("'"&amp;$A88&amp;"'!U14")</f>
        <v>0</v>
      </c>
      <c r="Y88" s="3">
        <f t="array" aca="1" ref="Y88" ca="1">INDIRECT("'"&amp;$A88&amp;"'!V14")</f>
        <v>0</v>
      </c>
      <c r="Z88" s="3">
        <f t="array" aca="1" ref="Z88" ca="1">INDIRECT("'"&amp;$A88&amp;"'!W14")</f>
        <v>0</v>
      </c>
      <c r="AA88" s="3">
        <f t="array" aca="1" ref="AA88" ca="1">INDIRECT("'"&amp;$A88&amp;"'!X14")</f>
        <v>0</v>
      </c>
      <c r="AB88" s="3">
        <f t="array" aca="1" ref="AB88" ca="1">INDIRECT("'"&amp;$A88&amp;"'!Y14")</f>
        <v>0</v>
      </c>
      <c r="AC88" s="3">
        <f t="array" aca="1" ref="AC88" ca="1">INDIRECT("'"&amp;$A88&amp;"'!Z14")</f>
        <v>0</v>
      </c>
      <c r="AD88" s="32">
        <f t="array" aca="1" ref="AD88" ca="1">INDIRECT("'"&amp;$A88&amp;"'!AA14")</f>
        <v>0</v>
      </c>
      <c r="AE88" s="83">
        <f t="array" aca="1" ref="AE88" ca="1">INDIRECT("'"&amp;$A87&amp;"'!J4")</f>
        <v>0</v>
      </c>
      <c r="AF88" s="53"/>
    </row>
    <row r="89" spans="1:32">
      <c r="A89" s="58">
        <v>30</v>
      </c>
      <c r="B89" s="105">
        <f>INDEX(data!$I$2:$I$91,MATCH(A89*1,data!$G$2:$G$91,0))</f>
        <v>46214</v>
      </c>
      <c r="C89" s="66" t="str">
        <f>HYPERLINK("#'" &amp; A89 &amp; "'!A1", "编辑")</f>
        <v>编辑</v>
      </c>
      <c r="D89" s="54" t="s">
        <v>6</v>
      </c>
      <c r="E89" s="81">
        <f t="array" aca="1" ref="E89" ca="1">INDIRECT("'"&amp;$A90&amp;"'!I2")</f>
        <v>18</v>
      </c>
      <c r="F89" s="29">
        <f t="array" aca="1" ref="F89" ca="1">INDIRECT("'"&amp;$A89&amp;"'!C8")</f>
        <v>0</v>
      </c>
      <c r="G89" s="30">
        <f t="array" aca="1" ref="G89" ca="1">INDIRECT("'"&amp;$A89&amp;"'!D8")</f>
        <v>0</v>
      </c>
      <c r="H89" s="30">
        <f t="array" aca="1" ref="H89" ca="1">INDIRECT("'"&amp;$A89&amp;"'!E8")</f>
        <v>0</v>
      </c>
      <c r="I89" s="30">
        <f t="array" aca="1" ref="I89" ca="1">INDIRECT("'"&amp;$A89&amp;"'!F8")</f>
        <v>0</v>
      </c>
      <c r="J89" s="30">
        <f t="array" aca="1" ref="J89" ca="1">INDIRECT("'"&amp;$A89&amp;"'!G8")</f>
        <v>0</v>
      </c>
      <c r="K89" s="30">
        <f t="array" aca="1" ref="K89" ca="1">INDIRECT("'"&amp;$A89&amp;"'!H8")</f>
        <v>0</v>
      </c>
      <c r="L89" s="30">
        <f t="array" aca="1" ref="L89" ca="1">INDIRECT("'"&amp;$A89&amp;"'!I8")</f>
        <v>0</v>
      </c>
      <c r="M89" s="30">
        <f t="array" aca="1" ref="M89" ca="1">INDIRECT("'"&amp;$A89&amp;"'!J8")</f>
        <v>0</v>
      </c>
      <c r="N89" s="30">
        <f t="array" aca="1" ref="N89" ca="1">INDIRECT("'"&amp;$A89&amp;"'!K8")</f>
        <v>0</v>
      </c>
      <c r="O89" s="30">
        <f t="array" aca="1" ref="O89" ca="1">INDIRECT("'"&amp;$A89&amp;"'!L8")</f>
        <v>0</v>
      </c>
      <c r="P89" s="30">
        <f t="array" aca="1" ref="P89" ca="1">INDIRECT("'"&amp;$A89&amp;"'!M8")</f>
        <v>0</v>
      </c>
      <c r="Q89" s="30">
        <f t="array" aca="1" ref="Q89" ca="1">INDIRECT("'"&amp;$A89&amp;"'!N8")</f>
        <v>0</v>
      </c>
      <c r="R89" s="30">
        <f t="array" aca="1" ref="R89" ca="1">INDIRECT("'"&amp;$A89&amp;"'!O8")</f>
        <v>0</v>
      </c>
      <c r="S89" s="30">
        <f t="array" aca="1" ref="S89" ca="1">INDIRECT("'"&amp;$A89&amp;"'!P8")</f>
        <v>0</v>
      </c>
      <c r="T89" s="30">
        <f t="array" aca="1" ref="T89" ca="1">INDIRECT("'"&amp;$A89&amp;"'!Q8")</f>
        <v>0</v>
      </c>
      <c r="U89" s="30">
        <f t="array" aca="1" ref="U89" ca="1">INDIRECT("'"&amp;$A89&amp;"'!R8")</f>
        <v>0</v>
      </c>
      <c r="V89" s="30">
        <f t="array" aca="1" ref="V89" ca="1">INDIRECT("'"&amp;$A89&amp;"'!S8")</f>
        <v>0</v>
      </c>
      <c r="W89" s="30">
        <f t="array" aca="1" ref="W89" ca="1">INDIRECT("'"&amp;$A89&amp;"'!T8")</f>
        <v>0</v>
      </c>
      <c r="X89" s="30">
        <f t="array" aca="1" ref="X89" ca="1">INDIRECT("'"&amp;$A89&amp;"'!U8")</f>
        <v>0</v>
      </c>
      <c r="Y89" s="30">
        <f t="array" aca="1" ref="Y89" ca="1">INDIRECT("'"&amp;$A89&amp;"'!V8")</f>
        <v>0</v>
      </c>
      <c r="Z89" s="30">
        <f t="array" aca="1" ref="Z89" ca="1">INDIRECT("'"&amp;$A89&amp;"'!W8")</f>
        <v>0</v>
      </c>
      <c r="AA89" s="30">
        <f t="array" aca="1" ref="AA89" ca="1">INDIRECT("'"&amp;$A89&amp;"'!X8")</f>
        <v>0</v>
      </c>
      <c r="AB89" s="30">
        <f t="array" aca="1" ref="AB89" ca="1">INDIRECT("'"&amp;$A89&amp;"'!Y8")</f>
        <v>0</v>
      </c>
      <c r="AC89" s="30">
        <f t="array" aca="1" ref="AC89" ca="1">INDIRECT("'"&amp;$A89&amp;"'!Z8")</f>
        <v>0</v>
      </c>
      <c r="AD89" s="31">
        <f t="array" aca="1" ref="AD89" ca="1">INDIRECT("'"&amp;$A89&amp;"'!AA8")</f>
        <v>0</v>
      </c>
      <c r="AE89" s="81">
        <f t="array" aca="1" ref="AE89" ca="1">INDIRECT("'"&amp;$A90&amp;"'!J2")</f>
        <v>0</v>
      </c>
      <c r="AF89" s="53" t="str">
        <f t="array" aca="1" ref="AF89" ca="1">INDIRECT("'"&amp;$A90&amp;"'!AD1")</f>
        <v/>
      </c>
    </row>
    <row r="90" spans="1:32">
      <c r="A90" s="58">
        <v>30</v>
      </c>
      <c r="B90" s="106"/>
      <c r="C90" s="67" t="str">
        <f t="array" aca="1" ref="C90" ca="1">CONCATENATE("粮 ",INDIRECT("'"&amp;$A90&amp;"'!D4"))</f>
        <v>粮 53200</v>
      </c>
      <c r="D90" s="55" t="s">
        <v>7</v>
      </c>
      <c r="E90" s="82">
        <f t="array" aca="1" ref="E90" ca="1">INDIRECT("'"&amp;$A90&amp;"'!I3")</f>
        <v>18</v>
      </c>
      <c r="F90" s="52">
        <f t="array" aca="1" ref="F90" ca="1">INDIRECT("'"&amp;$A90&amp;"'!C11")</f>
        <v>0</v>
      </c>
      <c r="G90" s="3">
        <f t="array" aca="1" ref="G90" ca="1">INDIRECT("'"&amp;$A90&amp;"'!D11")</f>
        <v>0</v>
      </c>
      <c r="H90" s="3">
        <f t="array" aca="1" ref="H90" ca="1">INDIRECT("'"&amp;$A90&amp;"'!E11")</f>
        <v>0</v>
      </c>
      <c r="I90" s="3">
        <f t="array" aca="1" ref="I90" ca="1">INDIRECT("'"&amp;$A90&amp;"'!F11")</f>
        <v>0</v>
      </c>
      <c r="J90" s="3">
        <f t="array" aca="1" ref="J90" ca="1">INDIRECT("'"&amp;$A90&amp;"'!G11")</f>
        <v>0</v>
      </c>
      <c r="K90" s="3">
        <f t="array" aca="1" ref="K90" ca="1">INDIRECT("'"&amp;$A90&amp;"'!H11")</f>
        <v>0</v>
      </c>
      <c r="L90" s="3">
        <f t="array" aca="1" ref="L90" ca="1">INDIRECT("'"&amp;$A90&amp;"'!I11")</f>
        <v>0</v>
      </c>
      <c r="M90" s="3">
        <f t="array" aca="1" ref="M90" ca="1">INDIRECT("'"&amp;$A90&amp;"'!J11")</f>
        <v>0</v>
      </c>
      <c r="N90" s="3">
        <f t="array" aca="1" ref="N90" ca="1">INDIRECT("'"&amp;$A90&amp;"'!K11")</f>
        <v>0</v>
      </c>
      <c r="O90" s="3">
        <f t="array" aca="1" ref="O90" ca="1">INDIRECT("'"&amp;$A90&amp;"'!L11")</f>
        <v>0</v>
      </c>
      <c r="P90" s="3">
        <f t="array" aca="1" ref="P90" ca="1">INDIRECT("'"&amp;$A90&amp;"'!M11")</f>
        <v>0</v>
      </c>
      <c r="Q90" s="3">
        <f t="array" aca="1" ref="Q90" ca="1">INDIRECT("'"&amp;$A90&amp;"'!N11")</f>
        <v>0</v>
      </c>
      <c r="R90" s="3">
        <f t="array" aca="1" ref="R90" ca="1">INDIRECT("'"&amp;$A90&amp;"'!O11")</f>
        <v>0</v>
      </c>
      <c r="S90" s="3">
        <f t="array" aca="1" ref="S90" ca="1">INDIRECT("'"&amp;$A90&amp;"'!P11")</f>
        <v>0</v>
      </c>
      <c r="T90" s="3">
        <f t="array" aca="1" ref="T90" ca="1">INDIRECT("'"&amp;$A90&amp;"'!Q11")</f>
        <v>0</v>
      </c>
      <c r="U90" s="3">
        <f t="array" aca="1" ref="U90" ca="1">INDIRECT("'"&amp;$A90&amp;"'!R11")</f>
        <v>0</v>
      </c>
      <c r="V90" s="3">
        <f t="array" aca="1" ref="V90" ca="1">INDIRECT("'"&amp;$A90&amp;"'!S11")</f>
        <v>0</v>
      </c>
      <c r="W90" s="3">
        <f t="array" aca="1" ref="W90" ca="1">INDIRECT("'"&amp;$A90&amp;"'!T11")</f>
        <v>0</v>
      </c>
      <c r="X90" s="3">
        <f t="array" aca="1" ref="X90" ca="1">INDIRECT("'"&amp;$A90&amp;"'!U11")</f>
        <v>0</v>
      </c>
      <c r="Y90" s="3">
        <f t="array" aca="1" ref="Y90" ca="1">INDIRECT("'"&amp;$A90&amp;"'!V11")</f>
        <v>0</v>
      </c>
      <c r="Z90" s="3">
        <f t="array" aca="1" ref="Z90" ca="1">INDIRECT("'"&amp;$A90&amp;"'!W11")</f>
        <v>0</v>
      </c>
      <c r="AA90" s="3">
        <f t="array" aca="1" ref="AA90" ca="1">INDIRECT("'"&amp;$A90&amp;"'!X11")</f>
        <v>0</v>
      </c>
      <c r="AB90" s="3">
        <f t="array" aca="1" ref="AB90" ca="1">INDIRECT("'"&amp;$A90&amp;"'!Y11")</f>
        <v>0</v>
      </c>
      <c r="AC90" s="3">
        <f t="array" aca="1" ref="AC90" ca="1">INDIRECT("'"&amp;$A90&amp;"'!Z11")</f>
        <v>0</v>
      </c>
      <c r="AD90" s="32">
        <f t="array" aca="1" ref="AD90" ca="1">INDIRECT("'"&amp;$A90&amp;"'!AA11")</f>
        <v>0</v>
      </c>
      <c r="AE90" s="82">
        <f t="array" aca="1" ref="AE90" ca="1">INDIRECT("'"&amp;$A90&amp;"'!J3")</f>
        <v>0</v>
      </c>
      <c r="AF90" s="53" t="str">
        <f t="array" aca="1" ref="AF90" ca="1">INDIRECT("'"&amp;$A90&amp;"'!AC1")</f>
        <v/>
      </c>
    </row>
    <row r="91" spans="1:32" ht="15.75" customHeight="1" thickBot="1">
      <c r="A91" s="58">
        <v>30</v>
      </c>
      <c r="B91" s="107"/>
      <c r="C91" s="77" t="str">
        <f t="array" aca="1" ref="C91" ca="1">CONCATENATE("分 ",INDIRECT("'"&amp;$A90&amp;"'!D6"))</f>
        <v>分 0</v>
      </c>
      <c r="D91" s="56" t="s">
        <v>8</v>
      </c>
      <c r="E91" s="83">
        <f t="array" aca="1" ref="E91" ca="1">INDIRECT("'"&amp;$A90&amp;"'!I4")</f>
        <v>18</v>
      </c>
      <c r="F91" s="52">
        <f t="array" aca="1" ref="F91" ca="1">INDIRECT("'"&amp;$A91&amp;"'!C14")</f>
        <v>0</v>
      </c>
      <c r="G91" s="3">
        <f t="array" aca="1" ref="G91" ca="1">INDIRECT("'"&amp;$A91&amp;"'!D14")</f>
        <v>0</v>
      </c>
      <c r="H91" s="3">
        <f t="array" aca="1" ref="H91" ca="1">INDIRECT("'"&amp;$A91&amp;"'!E14")</f>
        <v>0</v>
      </c>
      <c r="I91" s="3">
        <f t="array" aca="1" ref="I91" ca="1">INDIRECT("'"&amp;$A91&amp;"'!F14")</f>
        <v>0</v>
      </c>
      <c r="J91" s="3">
        <f t="array" aca="1" ref="J91" ca="1">INDIRECT("'"&amp;$A91&amp;"'!G14")</f>
        <v>0</v>
      </c>
      <c r="K91" s="3">
        <f t="array" aca="1" ref="K91" ca="1">INDIRECT("'"&amp;$A91&amp;"'!H14")</f>
        <v>0</v>
      </c>
      <c r="L91" s="3">
        <f t="array" aca="1" ref="L91" ca="1">INDIRECT("'"&amp;$A91&amp;"'!I14")</f>
        <v>0</v>
      </c>
      <c r="M91" s="3">
        <f t="array" aca="1" ref="M91" ca="1">INDIRECT("'"&amp;$A91&amp;"'!J14")</f>
        <v>0</v>
      </c>
      <c r="N91" s="3">
        <f t="array" aca="1" ref="N91" ca="1">INDIRECT("'"&amp;$A91&amp;"'!K14")</f>
        <v>0</v>
      </c>
      <c r="O91" s="3">
        <f t="array" aca="1" ref="O91" ca="1">INDIRECT("'"&amp;$A91&amp;"'!L14")</f>
        <v>0</v>
      </c>
      <c r="P91" s="3">
        <f t="array" aca="1" ref="P91" ca="1">INDIRECT("'"&amp;$A91&amp;"'!M14")</f>
        <v>0</v>
      </c>
      <c r="Q91" s="3">
        <f t="array" aca="1" ref="Q91" ca="1">INDIRECT("'"&amp;$A91&amp;"'!N14")</f>
        <v>0</v>
      </c>
      <c r="R91" s="3">
        <f t="array" aca="1" ref="R91" ca="1">INDIRECT("'"&amp;$A91&amp;"'!O14")</f>
        <v>0</v>
      </c>
      <c r="S91" s="3">
        <f t="array" aca="1" ref="S91" ca="1">INDIRECT("'"&amp;$A91&amp;"'!P14")</f>
        <v>0</v>
      </c>
      <c r="T91" s="3">
        <f t="array" aca="1" ref="T91" ca="1">INDIRECT("'"&amp;$A91&amp;"'!Q14")</f>
        <v>0</v>
      </c>
      <c r="U91" s="3">
        <f t="array" aca="1" ref="U91" ca="1">INDIRECT("'"&amp;$A91&amp;"'!R14")</f>
        <v>0</v>
      </c>
      <c r="V91" s="3">
        <f t="array" aca="1" ref="V91" ca="1">INDIRECT("'"&amp;$A91&amp;"'!S14")</f>
        <v>0</v>
      </c>
      <c r="W91" s="3">
        <f t="array" aca="1" ref="W91" ca="1">INDIRECT("'"&amp;$A91&amp;"'!T14")</f>
        <v>0</v>
      </c>
      <c r="X91" s="3">
        <f t="array" aca="1" ref="X91" ca="1">INDIRECT("'"&amp;$A91&amp;"'!U14")</f>
        <v>0</v>
      </c>
      <c r="Y91" s="3">
        <f t="array" aca="1" ref="Y91" ca="1">INDIRECT("'"&amp;$A91&amp;"'!V14")</f>
        <v>0</v>
      </c>
      <c r="Z91" s="3">
        <f t="array" aca="1" ref="Z91" ca="1">INDIRECT("'"&amp;$A91&amp;"'!W14")</f>
        <v>0</v>
      </c>
      <c r="AA91" s="3">
        <f t="array" aca="1" ref="AA91" ca="1">INDIRECT("'"&amp;$A91&amp;"'!X14")</f>
        <v>0</v>
      </c>
      <c r="AB91" s="3">
        <f t="array" aca="1" ref="AB91" ca="1">INDIRECT("'"&amp;$A91&amp;"'!Y14")</f>
        <v>0</v>
      </c>
      <c r="AC91" s="3">
        <f t="array" aca="1" ref="AC91" ca="1">INDIRECT("'"&amp;$A91&amp;"'!Z14")</f>
        <v>0</v>
      </c>
      <c r="AD91" s="32">
        <f t="array" aca="1" ref="AD91" ca="1">INDIRECT("'"&amp;$A91&amp;"'!AA14")</f>
        <v>0</v>
      </c>
      <c r="AE91" s="83">
        <f t="array" aca="1" ref="AE91" ca="1">INDIRECT("'"&amp;$A90&amp;"'!J4")</f>
        <v>0</v>
      </c>
      <c r="AF91" s="53"/>
    </row>
    <row r="92" spans="1:32">
      <c r="A92" s="58">
        <v>31</v>
      </c>
      <c r="B92" s="105">
        <f>INDEX(data!$I$2:$I$91,MATCH(A92*1,data!$G$2:$G$91,0))</f>
        <v>46215</v>
      </c>
      <c r="C92" s="66" t="str">
        <f>HYPERLINK("#'" &amp; A92 &amp; "'!A1", "编辑")</f>
        <v>编辑</v>
      </c>
      <c r="D92" s="54" t="s">
        <v>6</v>
      </c>
      <c r="E92" s="81">
        <f t="array" aca="1" ref="E92" ca="1">INDIRECT("'"&amp;$A93&amp;"'!I2")</f>
        <v>18</v>
      </c>
      <c r="F92" s="29">
        <f t="array" aca="1" ref="F92" ca="1">INDIRECT("'"&amp;$A92&amp;"'!C8")</f>
        <v>0</v>
      </c>
      <c r="G92" s="30">
        <f t="array" aca="1" ref="G92" ca="1">INDIRECT("'"&amp;$A92&amp;"'!D8")</f>
        <v>0</v>
      </c>
      <c r="H92" s="30">
        <f t="array" aca="1" ref="H92" ca="1">INDIRECT("'"&amp;$A92&amp;"'!E8")</f>
        <v>0</v>
      </c>
      <c r="I92" s="30">
        <f t="array" aca="1" ref="I92" ca="1">INDIRECT("'"&amp;$A92&amp;"'!F8")</f>
        <v>0</v>
      </c>
      <c r="J92" s="30">
        <f t="array" aca="1" ref="J92" ca="1">INDIRECT("'"&amp;$A92&amp;"'!G8")</f>
        <v>0</v>
      </c>
      <c r="K92" s="30">
        <f t="array" aca="1" ref="K92" ca="1">INDIRECT("'"&amp;$A92&amp;"'!H8")</f>
        <v>0</v>
      </c>
      <c r="L92" s="30">
        <f t="array" aca="1" ref="L92" ca="1">INDIRECT("'"&amp;$A92&amp;"'!I8")</f>
        <v>0</v>
      </c>
      <c r="M92" s="30">
        <f t="array" aca="1" ref="M92" ca="1">INDIRECT("'"&amp;$A92&amp;"'!J8")</f>
        <v>0</v>
      </c>
      <c r="N92" s="30">
        <f t="array" aca="1" ref="N92" ca="1">INDIRECT("'"&amp;$A92&amp;"'!K8")</f>
        <v>0</v>
      </c>
      <c r="O92" s="30">
        <f t="array" aca="1" ref="O92" ca="1">INDIRECT("'"&amp;$A92&amp;"'!L8")</f>
        <v>0</v>
      </c>
      <c r="P92" s="30">
        <f t="array" aca="1" ref="P92" ca="1">INDIRECT("'"&amp;$A92&amp;"'!M8")</f>
        <v>0</v>
      </c>
      <c r="Q92" s="30">
        <f t="array" aca="1" ref="Q92" ca="1">INDIRECT("'"&amp;$A92&amp;"'!N8")</f>
        <v>0</v>
      </c>
      <c r="R92" s="30">
        <f t="array" aca="1" ref="R92" ca="1">INDIRECT("'"&amp;$A92&amp;"'!O8")</f>
        <v>0</v>
      </c>
      <c r="S92" s="30">
        <f t="array" aca="1" ref="S92" ca="1">INDIRECT("'"&amp;$A92&amp;"'!P8")</f>
        <v>0</v>
      </c>
      <c r="T92" s="30">
        <f t="array" aca="1" ref="T92" ca="1">INDIRECT("'"&amp;$A92&amp;"'!Q8")</f>
        <v>0</v>
      </c>
      <c r="U92" s="30">
        <f t="array" aca="1" ref="U92" ca="1">INDIRECT("'"&amp;$A92&amp;"'!R8")</f>
        <v>0</v>
      </c>
      <c r="V92" s="30">
        <f t="array" aca="1" ref="V92" ca="1">INDIRECT("'"&amp;$A92&amp;"'!S8")</f>
        <v>0</v>
      </c>
      <c r="W92" s="30">
        <f t="array" aca="1" ref="W92" ca="1">INDIRECT("'"&amp;$A92&amp;"'!T8")</f>
        <v>0</v>
      </c>
      <c r="X92" s="30">
        <f t="array" aca="1" ref="X92" ca="1">INDIRECT("'"&amp;$A92&amp;"'!U8")</f>
        <v>0</v>
      </c>
      <c r="Y92" s="30">
        <f t="array" aca="1" ref="Y92" ca="1">INDIRECT("'"&amp;$A92&amp;"'!V8")</f>
        <v>0</v>
      </c>
      <c r="Z92" s="30">
        <f t="array" aca="1" ref="Z92" ca="1">INDIRECT("'"&amp;$A92&amp;"'!W8")</f>
        <v>0</v>
      </c>
      <c r="AA92" s="30">
        <f t="array" aca="1" ref="AA92" ca="1">INDIRECT("'"&amp;$A92&amp;"'!X8")</f>
        <v>0</v>
      </c>
      <c r="AB92" s="30">
        <f t="array" aca="1" ref="AB92" ca="1">INDIRECT("'"&amp;$A92&amp;"'!Y8")</f>
        <v>0</v>
      </c>
      <c r="AC92" s="30">
        <f t="array" aca="1" ref="AC92" ca="1">INDIRECT("'"&amp;$A92&amp;"'!Z8")</f>
        <v>0</v>
      </c>
      <c r="AD92" s="31">
        <f t="array" aca="1" ref="AD92" ca="1">INDIRECT("'"&amp;$A92&amp;"'!AA8")</f>
        <v>0</v>
      </c>
      <c r="AE92" s="81">
        <f t="array" aca="1" ref="AE92" ca="1">INDIRECT("'"&amp;$A93&amp;"'!J2")</f>
        <v>0</v>
      </c>
      <c r="AF92" s="53" t="str">
        <f t="array" aca="1" ref="AF92" ca="1">INDIRECT("'"&amp;$A93&amp;"'!AD1")</f>
        <v/>
      </c>
    </row>
    <row r="93" spans="1:32">
      <c r="A93" s="58">
        <v>31</v>
      </c>
      <c r="B93" s="106"/>
      <c r="C93" s="67" t="str">
        <f t="array" aca="1" ref="C93" ca="1">CONCATENATE("粮 ",INDIRECT("'"&amp;$A93&amp;"'!D4"))</f>
        <v>粮 54800</v>
      </c>
      <c r="D93" s="55" t="s">
        <v>7</v>
      </c>
      <c r="E93" s="82">
        <f t="array" aca="1" ref="E93" ca="1">INDIRECT("'"&amp;$A93&amp;"'!I3")</f>
        <v>18</v>
      </c>
      <c r="F93" s="52">
        <f t="array" aca="1" ref="F93" ca="1">INDIRECT("'"&amp;$A93&amp;"'!C11")</f>
        <v>0</v>
      </c>
      <c r="G93" s="3">
        <f t="array" aca="1" ref="G93" ca="1">INDIRECT("'"&amp;$A93&amp;"'!D11")</f>
        <v>0</v>
      </c>
      <c r="H93" s="3">
        <f t="array" aca="1" ref="H93" ca="1">INDIRECT("'"&amp;$A93&amp;"'!E11")</f>
        <v>0</v>
      </c>
      <c r="I93" s="3">
        <f t="array" aca="1" ref="I93" ca="1">INDIRECT("'"&amp;$A93&amp;"'!F11")</f>
        <v>0</v>
      </c>
      <c r="J93" s="3">
        <f t="array" aca="1" ref="J93" ca="1">INDIRECT("'"&amp;$A93&amp;"'!G11")</f>
        <v>0</v>
      </c>
      <c r="K93" s="3">
        <f t="array" aca="1" ref="K93" ca="1">INDIRECT("'"&amp;$A93&amp;"'!H11")</f>
        <v>0</v>
      </c>
      <c r="L93" s="3">
        <f t="array" aca="1" ref="L93" ca="1">INDIRECT("'"&amp;$A93&amp;"'!I11")</f>
        <v>0</v>
      </c>
      <c r="M93" s="3">
        <f t="array" aca="1" ref="M93" ca="1">INDIRECT("'"&amp;$A93&amp;"'!J11")</f>
        <v>0</v>
      </c>
      <c r="N93" s="3">
        <f t="array" aca="1" ref="N93" ca="1">INDIRECT("'"&amp;$A93&amp;"'!K11")</f>
        <v>0</v>
      </c>
      <c r="O93" s="3">
        <f t="array" aca="1" ref="O93" ca="1">INDIRECT("'"&amp;$A93&amp;"'!L11")</f>
        <v>0</v>
      </c>
      <c r="P93" s="3">
        <f t="array" aca="1" ref="P93" ca="1">INDIRECT("'"&amp;$A93&amp;"'!M11")</f>
        <v>0</v>
      </c>
      <c r="Q93" s="3">
        <f t="array" aca="1" ref="Q93" ca="1">INDIRECT("'"&amp;$A93&amp;"'!N11")</f>
        <v>0</v>
      </c>
      <c r="R93" s="3">
        <f t="array" aca="1" ref="R93" ca="1">INDIRECT("'"&amp;$A93&amp;"'!O11")</f>
        <v>0</v>
      </c>
      <c r="S93" s="3">
        <f t="array" aca="1" ref="S93" ca="1">INDIRECT("'"&amp;$A93&amp;"'!P11")</f>
        <v>0</v>
      </c>
      <c r="T93" s="3">
        <f t="array" aca="1" ref="T93" ca="1">INDIRECT("'"&amp;$A93&amp;"'!Q11")</f>
        <v>0</v>
      </c>
      <c r="U93" s="3">
        <f t="array" aca="1" ref="U93" ca="1">INDIRECT("'"&amp;$A93&amp;"'!R11")</f>
        <v>0</v>
      </c>
      <c r="V93" s="3">
        <f t="array" aca="1" ref="V93" ca="1">INDIRECT("'"&amp;$A93&amp;"'!S11")</f>
        <v>0</v>
      </c>
      <c r="W93" s="3">
        <f t="array" aca="1" ref="W93" ca="1">INDIRECT("'"&amp;$A93&amp;"'!T11")</f>
        <v>0</v>
      </c>
      <c r="X93" s="3">
        <f t="array" aca="1" ref="X93" ca="1">INDIRECT("'"&amp;$A93&amp;"'!U11")</f>
        <v>0</v>
      </c>
      <c r="Y93" s="3">
        <f t="array" aca="1" ref="Y93" ca="1">INDIRECT("'"&amp;$A93&amp;"'!V11")</f>
        <v>0</v>
      </c>
      <c r="Z93" s="3">
        <f t="array" aca="1" ref="Z93" ca="1">INDIRECT("'"&amp;$A93&amp;"'!W11")</f>
        <v>0</v>
      </c>
      <c r="AA93" s="3">
        <f t="array" aca="1" ref="AA93" ca="1">INDIRECT("'"&amp;$A93&amp;"'!X11")</f>
        <v>0</v>
      </c>
      <c r="AB93" s="3">
        <f t="array" aca="1" ref="AB93" ca="1">INDIRECT("'"&amp;$A93&amp;"'!Y11")</f>
        <v>0</v>
      </c>
      <c r="AC93" s="3">
        <f t="array" aca="1" ref="AC93" ca="1">INDIRECT("'"&amp;$A93&amp;"'!Z11")</f>
        <v>0</v>
      </c>
      <c r="AD93" s="32">
        <f t="array" aca="1" ref="AD93" ca="1">INDIRECT("'"&amp;$A93&amp;"'!AA11")</f>
        <v>0</v>
      </c>
      <c r="AE93" s="82">
        <f t="array" aca="1" ref="AE93" ca="1">INDIRECT("'"&amp;$A93&amp;"'!J3")</f>
        <v>0</v>
      </c>
      <c r="AF93" s="53" t="str">
        <f t="array" aca="1" ref="AF93" ca="1">INDIRECT("'"&amp;$A93&amp;"'!AC1")</f>
        <v/>
      </c>
    </row>
    <row r="94" spans="1:32" ht="15.75" customHeight="1" thickBot="1">
      <c r="A94" s="58">
        <v>31</v>
      </c>
      <c r="B94" s="107"/>
      <c r="C94" s="77" t="str">
        <f t="array" aca="1" ref="C94" ca="1">CONCATENATE("分 ",INDIRECT("'"&amp;$A93&amp;"'!D6"))</f>
        <v>分 0</v>
      </c>
      <c r="D94" s="56" t="s">
        <v>8</v>
      </c>
      <c r="E94" s="83">
        <f t="array" aca="1" ref="E94" ca="1">INDIRECT("'"&amp;$A93&amp;"'!I4")</f>
        <v>18</v>
      </c>
      <c r="F94" s="52">
        <f t="array" aca="1" ref="F94" ca="1">INDIRECT("'"&amp;$A94&amp;"'!C14")</f>
        <v>0</v>
      </c>
      <c r="G94" s="3">
        <f t="array" aca="1" ref="G94" ca="1">INDIRECT("'"&amp;$A94&amp;"'!D14")</f>
        <v>0</v>
      </c>
      <c r="H94" s="3">
        <f t="array" aca="1" ref="H94" ca="1">INDIRECT("'"&amp;$A94&amp;"'!E14")</f>
        <v>0</v>
      </c>
      <c r="I94" s="3">
        <f t="array" aca="1" ref="I94" ca="1">INDIRECT("'"&amp;$A94&amp;"'!F14")</f>
        <v>0</v>
      </c>
      <c r="J94" s="3">
        <f t="array" aca="1" ref="J94" ca="1">INDIRECT("'"&amp;$A94&amp;"'!G14")</f>
        <v>0</v>
      </c>
      <c r="K94" s="3">
        <f t="array" aca="1" ref="K94" ca="1">INDIRECT("'"&amp;$A94&amp;"'!H14")</f>
        <v>0</v>
      </c>
      <c r="L94" s="3">
        <f t="array" aca="1" ref="L94" ca="1">INDIRECT("'"&amp;$A94&amp;"'!I14")</f>
        <v>0</v>
      </c>
      <c r="M94" s="3">
        <f t="array" aca="1" ref="M94" ca="1">INDIRECT("'"&amp;$A94&amp;"'!J14")</f>
        <v>0</v>
      </c>
      <c r="N94" s="3">
        <f t="array" aca="1" ref="N94" ca="1">INDIRECT("'"&amp;$A94&amp;"'!K14")</f>
        <v>0</v>
      </c>
      <c r="O94" s="3">
        <f t="array" aca="1" ref="O94" ca="1">INDIRECT("'"&amp;$A94&amp;"'!L14")</f>
        <v>0</v>
      </c>
      <c r="P94" s="3">
        <f t="array" aca="1" ref="P94" ca="1">INDIRECT("'"&amp;$A94&amp;"'!M14")</f>
        <v>0</v>
      </c>
      <c r="Q94" s="3">
        <f t="array" aca="1" ref="Q94" ca="1">INDIRECT("'"&amp;$A94&amp;"'!N14")</f>
        <v>0</v>
      </c>
      <c r="R94" s="3">
        <f t="array" aca="1" ref="R94" ca="1">INDIRECT("'"&amp;$A94&amp;"'!O14")</f>
        <v>0</v>
      </c>
      <c r="S94" s="3">
        <f t="array" aca="1" ref="S94" ca="1">INDIRECT("'"&amp;$A94&amp;"'!P14")</f>
        <v>0</v>
      </c>
      <c r="T94" s="3">
        <f t="array" aca="1" ref="T94" ca="1">INDIRECT("'"&amp;$A94&amp;"'!Q14")</f>
        <v>0</v>
      </c>
      <c r="U94" s="3">
        <f t="array" aca="1" ref="U94" ca="1">INDIRECT("'"&amp;$A94&amp;"'!R14")</f>
        <v>0</v>
      </c>
      <c r="V94" s="3">
        <f t="array" aca="1" ref="V94" ca="1">INDIRECT("'"&amp;$A94&amp;"'!S14")</f>
        <v>0</v>
      </c>
      <c r="W94" s="3">
        <f t="array" aca="1" ref="W94" ca="1">INDIRECT("'"&amp;$A94&amp;"'!T14")</f>
        <v>0</v>
      </c>
      <c r="X94" s="3">
        <f t="array" aca="1" ref="X94" ca="1">INDIRECT("'"&amp;$A94&amp;"'!U14")</f>
        <v>0</v>
      </c>
      <c r="Y94" s="3">
        <f t="array" aca="1" ref="Y94" ca="1">INDIRECT("'"&amp;$A94&amp;"'!V14")</f>
        <v>0</v>
      </c>
      <c r="Z94" s="3">
        <f t="array" aca="1" ref="Z94" ca="1">INDIRECT("'"&amp;$A94&amp;"'!W14")</f>
        <v>0</v>
      </c>
      <c r="AA94" s="3">
        <f t="array" aca="1" ref="AA94" ca="1">INDIRECT("'"&amp;$A94&amp;"'!X14")</f>
        <v>0</v>
      </c>
      <c r="AB94" s="3">
        <f t="array" aca="1" ref="AB94" ca="1">INDIRECT("'"&amp;$A94&amp;"'!Y14")</f>
        <v>0</v>
      </c>
      <c r="AC94" s="3">
        <f t="array" aca="1" ref="AC94" ca="1">INDIRECT("'"&amp;$A94&amp;"'!Z14")</f>
        <v>0</v>
      </c>
      <c r="AD94" s="32">
        <f t="array" aca="1" ref="AD94" ca="1">INDIRECT("'"&amp;$A94&amp;"'!AA14")</f>
        <v>0</v>
      </c>
      <c r="AE94" s="83">
        <f t="array" aca="1" ref="AE94" ca="1">INDIRECT("'"&amp;$A93&amp;"'!J4")</f>
        <v>0</v>
      </c>
      <c r="AF94" s="53"/>
    </row>
    <row r="95" spans="1:32">
      <c r="A95" s="58">
        <v>32</v>
      </c>
      <c r="B95" s="105">
        <f>INDEX(data!$I$2:$I$91,MATCH(A95*1,data!$G$2:$G$91,0))</f>
        <v>46216</v>
      </c>
      <c r="C95" s="66" t="str">
        <f>HYPERLINK("#'" &amp; A95 &amp; "'!A1", "编辑")</f>
        <v>编辑</v>
      </c>
      <c r="D95" s="54" t="s">
        <v>6</v>
      </c>
      <c r="E95" s="81">
        <f t="array" aca="1" ref="E95" ca="1">INDIRECT("'"&amp;$A96&amp;"'!I2")</f>
        <v>18</v>
      </c>
      <c r="F95" s="29">
        <f t="array" aca="1" ref="F95" ca="1">INDIRECT("'"&amp;$A95&amp;"'!C8")</f>
        <v>0</v>
      </c>
      <c r="G95" s="30">
        <f t="array" aca="1" ref="G95" ca="1">INDIRECT("'"&amp;$A95&amp;"'!D8")</f>
        <v>0</v>
      </c>
      <c r="H95" s="30">
        <f t="array" aca="1" ref="H95" ca="1">INDIRECT("'"&amp;$A95&amp;"'!E8")</f>
        <v>0</v>
      </c>
      <c r="I95" s="30">
        <f t="array" aca="1" ref="I95" ca="1">INDIRECT("'"&amp;$A95&amp;"'!F8")</f>
        <v>0</v>
      </c>
      <c r="J95" s="30">
        <f t="array" aca="1" ref="J95" ca="1">INDIRECT("'"&amp;$A95&amp;"'!G8")</f>
        <v>0</v>
      </c>
      <c r="K95" s="30">
        <f t="array" aca="1" ref="K95" ca="1">INDIRECT("'"&amp;$A95&amp;"'!H8")</f>
        <v>0</v>
      </c>
      <c r="L95" s="30">
        <f t="array" aca="1" ref="L95" ca="1">INDIRECT("'"&amp;$A95&amp;"'!I8")</f>
        <v>0</v>
      </c>
      <c r="M95" s="30">
        <f t="array" aca="1" ref="M95" ca="1">INDIRECT("'"&amp;$A95&amp;"'!J8")</f>
        <v>0</v>
      </c>
      <c r="N95" s="30">
        <f t="array" aca="1" ref="N95" ca="1">INDIRECT("'"&amp;$A95&amp;"'!K8")</f>
        <v>0</v>
      </c>
      <c r="O95" s="30">
        <f t="array" aca="1" ref="O95" ca="1">INDIRECT("'"&amp;$A95&amp;"'!L8")</f>
        <v>0</v>
      </c>
      <c r="P95" s="30">
        <f t="array" aca="1" ref="P95" ca="1">INDIRECT("'"&amp;$A95&amp;"'!M8")</f>
        <v>0</v>
      </c>
      <c r="Q95" s="30">
        <f t="array" aca="1" ref="Q95" ca="1">INDIRECT("'"&amp;$A95&amp;"'!N8")</f>
        <v>0</v>
      </c>
      <c r="R95" s="30">
        <f t="array" aca="1" ref="R95" ca="1">INDIRECT("'"&amp;$A95&amp;"'!O8")</f>
        <v>0</v>
      </c>
      <c r="S95" s="30">
        <f t="array" aca="1" ref="S95" ca="1">INDIRECT("'"&amp;$A95&amp;"'!P8")</f>
        <v>0</v>
      </c>
      <c r="T95" s="30">
        <f t="array" aca="1" ref="T95" ca="1">INDIRECT("'"&amp;$A95&amp;"'!Q8")</f>
        <v>0</v>
      </c>
      <c r="U95" s="30">
        <f t="array" aca="1" ref="U95" ca="1">INDIRECT("'"&amp;$A95&amp;"'!R8")</f>
        <v>0</v>
      </c>
      <c r="V95" s="30">
        <f t="array" aca="1" ref="V95" ca="1">INDIRECT("'"&amp;$A95&amp;"'!S8")</f>
        <v>0</v>
      </c>
      <c r="W95" s="30">
        <f t="array" aca="1" ref="W95" ca="1">INDIRECT("'"&amp;$A95&amp;"'!T8")</f>
        <v>0</v>
      </c>
      <c r="X95" s="30">
        <f t="array" aca="1" ref="X95" ca="1">INDIRECT("'"&amp;$A95&amp;"'!U8")</f>
        <v>0</v>
      </c>
      <c r="Y95" s="30">
        <f t="array" aca="1" ref="Y95" ca="1">INDIRECT("'"&amp;$A95&amp;"'!V8")</f>
        <v>0</v>
      </c>
      <c r="Z95" s="30">
        <f t="array" aca="1" ref="Z95" ca="1">INDIRECT("'"&amp;$A95&amp;"'!W8")</f>
        <v>0</v>
      </c>
      <c r="AA95" s="30">
        <f t="array" aca="1" ref="AA95" ca="1">INDIRECT("'"&amp;$A95&amp;"'!X8")</f>
        <v>0</v>
      </c>
      <c r="AB95" s="30">
        <f t="array" aca="1" ref="AB95" ca="1">INDIRECT("'"&amp;$A95&amp;"'!Y8")</f>
        <v>0</v>
      </c>
      <c r="AC95" s="30">
        <f t="array" aca="1" ref="AC95" ca="1">INDIRECT("'"&amp;$A95&amp;"'!Z8")</f>
        <v>0</v>
      </c>
      <c r="AD95" s="31">
        <f t="array" aca="1" ref="AD95" ca="1">INDIRECT("'"&amp;$A95&amp;"'!AA8")</f>
        <v>0</v>
      </c>
      <c r="AE95" s="81">
        <f t="array" aca="1" ref="AE95" ca="1">INDIRECT("'"&amp;$A96&amp;"'!J2")</f>
        <v>0</v>
      </c>
      <c r="AF95" s="53" t="str">
        <f t="array" aca="1" ref="AF95" ca="1">INDIRECT("'"&amp;$A96&amp;"'!AD1")</f>
        <v/>
      </c>
    </row>
    <row r="96" spans="1:32">
      <c r="A96" s="58">
        <v>32</v>
      </c>
      <c r="B96" s="106"/>
      <c r="C96" s="67" t="str">
        <f t="array" aca="1" ref="C96" ca="1">CONCATENATE("粮 ",INDIRECT("'"&amp;$A96&amp;"'!D4"))</f>
        <v>粮 56400</v>
      </c>
      <c r="D96" s="55" t="s">
        <v>7</v>
      </c>
      <c r="E96" s="82">
        <f t="array" aca="1" ref="E96" ca="1">INDIRECT("'"&amp;$A96&amp;"'!I3")</f>
        <v>18</v>
      </c>
      <c r="F96" s="52">
        <f t="array" aca="1" ref="F96" ca="1">INDIRECT("'"&amp;$A96&amp;"'!C11")</f>
        <v>0</v>
      </c>
      <c r="G96" s="3">
        <f t="array" aca="1" ref="G96" ca="1">INDIRECT("'"&amp;$A96&amp;"'!D11")</f>
        <v>0</v>
      </c>
      <c r="H96" s="3">
        <f t="array" aca="1" ref="H96" ca="1">INDIRECT("'"&amp;$A96&amp;"'!E11")</f>
        <v>0</v>
      </c>
      <c r="I96" s="3">
        <f t="array" aca="1" ref="I96" ca="1">INDIRECT("'"&amp;$A96&amp;"'!F11")</f>
        <v>0</v>
      </c>
      <c r="J96" s="3">
        <f t="array" aca="1" ref="J96" ca="1">INDIRECT("'"&amp;$A96&amp;"'!G11")</f>
        <v>0</v>
      </c>
      <c r="K96" s="3">
        <f t="array" aca="1" ref="K96" ca="1">INDIRECT("'"&amp;$A96&amp;"'!H11")</f>
        <v>0</v>
      </c>
      <c r="L96" s="3">
        <f t="array" aca="1" ref="L96" ca="1">INDIRECT("'"&amp;$A96&amp;"'!I11")</f>
        <v>0</v>
      </c>
      <c r="M96" s="3">
        <f t="array" aca="1" ref="M96" ca="1">INDIRECT("'"&amp;$A96&amp;"'!J11")</f>
        <v>0</v>
      </c>
      <c r="N96" s="3">
        <f t="array" aca="1" ref="N96" ca="1">INDIRECT("'"&amp;$A96&amp;"'!K11")</f>
        <v>0</v>
      </c>
      <c r="O96" s="3">
        <f t="array" aca="1" ref="O96" ca="1">INDIRECT("'"&amp;$A96&amp;"'!L11")</f>
        <v>0</v>
      </c>
      <c r="P96" s="3">
        <f t="array" aca="1" ref="P96" ca="1">INDIRECT("'"&amp;$A96&amp;"'!M11")</f>
        <v>0</v>
      </c>
      <c r="Q96" s="3">
        <f t="array" aca="1" ref="Q96" ca="1">INDIRECT("'"&amp;$A96&amp;"'!N11")</f>
        <v>0</v>
      </c>
      <c r="R96" s="3">
        <f t="array" aca="1" ref="R96" ca="1">INDIRECT("'"&amp;$A96&amp;"'!O11")</f>
        <v>0</v>
      </c>
      <c r="S96" s="3">
        <f t="array" aca="1" ref="S96" ca="1">INDIRECT("'"&amp;$A96&amp;"'!P11")</f>
        <v>0</v>
      </c>
      <c r="T96" s="3">
        <f t="array" aca="1" ref="T96" ca="1">INDIRECT("'"&amp;$A96&amp;"'!Q11")</f>
        <v>0</v>
      </c>
      <c r="U96" s="3">
        <f t="array" aca="1" ref="U96" ca="1">INDIRECT("'"&amp;$A96&amp;"'!R11")</f>
        <v>0</v>
      </c>
      <c r="V96" s="3">
        <f t="array" aca="1" ref="V96" ca="1">INDIRECT("'"&amp;$A96&amp;"'!S11")</f>
        <v>0</v>
      </c>
      <c r="W96" s="3">
        <f t="array" aca="1" ref="W96" ca="1">INDIRECT("'"&amp;$A96&amp;"'!T11")</f>
        <v>0</v>
      </c>
      <c r="X96" s="3">
        <f t="array" aca="1" ref="X96" ca="1">INDIRECT("'"&amp;$A96&amp;"'!U11")</f>
        <v>0</v>
      </c>
      <c r="Y96" s="3">
        <f t="array" aca="1" ref="Y96" ca="1">INDIRECT("'"&amp;$A96&amp;"'!V11")</f>
        <v>0</v>
      </c>
      <c r="Z96" s="3">
        <f t="array" aca="1" ref="Z96" ca="1">INDIRECT("'"&amp;$A96&amp;"'!W11")</f>
        <v>0</v>
      </c>
      <c r="AA96" s="3">
        <f t="array" aca="1" ref="AA96" ca="1">INDIRECT("'"&amp;$A96&amp;"'!X11")</f>
        <v>0</v>
      </c>
      <c r="AB96" s="3">
        <f t="array" aca="1" ref="AB96" ca="1">INDIRECT("'"&amp;$A96&amp;"'!Y11")</f>
        <v>0</v>
      </c>
      <c r="AC96" s="3">
        <f t="array" aca="1" ref="AC96" ca="1">INDIRECT("'"&amp;$A96&amp;"'!Z11")</f>
        <v>0</v>
      </c>
      <c r="AD96" s="32">
        <f t="array" aca="1" ref="AD96" ca="1">INDIRECT("'"&amp;$A96&amp;"'!AA11")</f>
        <v>0</v>
      </c>
      <c r="AE96" s="82">
        <f t="array" aca="1" ref="AE96" ca="1">INDIRECT("'"&amp;$A96&amp;"'!J3")</f>
        <v>0</v>
      </c>
      <c r="AF96" s="53" t="str">
        <f t="array" aca="1" ref="AF96" ca="1">INDIRECT("'"&amp;$A96&amp;"'!AC1")</f>
        <v/>
      </c>
    </row>
    <row r="97" spans="1:32" ht="15.75" customHeight="1" thickBot="1">
      <c r="A97" s="58">
        <v>32</v>
      </c>
      <c r="B97" s="107"/>
      <c r="C97" s="77" t="str">
        <f t="array" aca="1" ref="C97" ca="1">CONCATENATE("分 ",INDIRECT("'"&amp;$A96&amp;"'!D6"))</f>
        <v>分 0</v>
      </c>
      <c r="D97" s="56" t="s">
        <v>8</v>
      </c>
      <c r="E97" s="83">
        <f t="array" aca="1" ref="E97" ca="1">INDIRECT("'"&amp;$A96&amp;"'!I4")</f>
        <v>18</v>
      </c>
      <c r="F97" s="52">
        <f t="array" aca="1" ref="F97" ca="1">INDIRECT("'"&amp;$A97&amp;"'!C14")</f>
        <v>0</v>
      </c>
      <c r="G97" s="3">
        <f t="array" aca="1" ref="G97" ca="1">INDIRECT("'"&amp;$A97&amp;"'!D14")</f>
        <v>0</v>
      </c>
      <c r="H97" s="3">
        <f t="array" aca="1" ref="H97" ca="1">INDIRECT("'"&amp;$A97&amp;"'!E14")</f>
        <v>0</v>
      </c>
      <c r="I97" s="3">
        <f t="array" aca="1" ref="I97" ca="1">INDIRECT("'"&amp;$A97&amp;"'!F14")</f>
        <v>0</v>
      </c>
      <c r="J97" s="3">
        <f t="array" aca="1" ref="J97" ca="1">INDIRECT("'"&amp;$A97&amp;"'!G14")</f>
        <v>0</v>
      </c>
      <c r="K97" s="3">
        <f t="array" aca="1" ref="K97" ca="1">INDIRECT("'"&amp;$A97&amp;"'!H14")</f>
        <v>0</v>
      </c>
      <c r="L97" s="3">
        <f t="array" aca="1" ref="L97" ca="1">INDIRECT("'"&amp;$A97&amp;"'!I14")</f>
        <v>0</v>
      </c>
      <c r="M97" s="3">
        <f t="array" aca="1" ref="M97" ca="1">INDIRECT("'"&amp;$A97&amp;"'!J14")</f>
        <v>0</v>
      </c>
      <c r="N97" s="3">
        <f t="array" aca="1" ref="N97" ca="1">INDIRECT("'"&amp;$A97&amp;"'!K14")</f>
        <v>0</v>
      </c>
      <c r="O97" s="3">
        <f t="array" aca="1" ref="O97" ca="1">INDIRECT("'"&amp;$A97&amp;"'!L14")</f>
        <v>0</v>
      </c>
      <c r="P97" s="3">
        <f t="array" aca="1" ref="P97" ca="1">INDIRECT("'"&amp;$A97&amp;"'!M14")</f>
        <v>0</v>
      </c>
      <c r="Q97" s="3">
        <f t="array" aca="1" ref="Q97" ca="1">INDIRECT("'"&amp;$A97&amp;"'!N14")</f>
        <v>0</v>
      </c>
      <c r="R97" s="3">
        <f t="array" aca="1" ref="R97" ca="1">INDIRECT("'"&amp;$A97&amp;"'!O14")</f>
        <v>0</v>
      </c>
      <c r="S97" s="3">
        <f t="array" aca="1" ref="S97" ca="1">INDIRECT("'"&amp;$A97&amp;"'!P14")</f>
        <v>0</v>
      </c>
      <c r="T97" s="3">
        <f t="array" aca="1" ref="T97" ca="1">INDIRECT("'"&amp;$A97&amp;"'!Q14")</f>
        <v>0</v>
      </c>
      <c r="U97" s="3">
        <f t="array" aca="1" ref="U97" ca="1">INDIRECT("'"&amp;$A97&amp;"'!R14")</f>
        <v>0</v>
      </c>
      <c r="V97" s="3">
        <f t="array" aca="1" ref="V97" ca="1">INDIRECT("'"&amp;$A97&amp;"'!S14")</f>
        <v>0</v>
      </c>
      <c r="W97" s="3">
        <f t="array" aca="1" ref="W97" ca="1">INDIRECT("'"&amp;$A97&amp;"'!T14")</f>
        <v>0</v>
      </c>
      <c r="X97" s="3">
        <f t="array" aca="1" ref="X97" ca="1">INDIRECT("'"&amp;$A97&amp;"'!U14")</f>
        <v>0</v>
      </c>
      <c r="Y97" s="3">
        <f t="array" aca="1" ref="Y97" ca="1">INDIRECT("'"&amp;$A97&amp;"'!V14")</f>
        <v>0</v>
      </c>
      <c r="Z97" s="3">
        <f t="array" aca="1" ref="Z97" ca="1">INDIRECT("'"&amp;$A97&amp;"'!W14")</f>
        <v>0</v>
      </c>
      <c r="AA97" s="3">
        <f t="array" aca="1" ref="AA97" ca="1">INDIRECT("'"&amp;$A97&amp;"'!X14")</f>
        <v>0</v>
      </c>
      <c r="AB97" s="3">
        <f t="array" aca="1" ref="AB97" ca="1">INDIRECT("'"&amp;$A97&amp;"'!Y14")</f>
        <v>0</v>
      </c>
      <c r="AC97" s="3">
        <f t="array" aca="1" ref="AC97" ca="1">INDIRECT("'"&amp;$A97&amp;"'!Z14")</f>
        <v>0</v>
      </c>
      <c r="AD97" s="32">
        <f t="array" aca="1" ref="AD97" ca="1">INDIRECT("'"&amp;$A97&amp;"'!AA14")</f>
        <v>0</v>
      </c>
      <c r="AE97" s="83">
        <f t="array" aca="1" ref="AE97" ca="1">INDIRECT("'"&amp;$A96&amp;"'!J4")</f>
        <v>0</v>
      </c>
      <c r="AF97" s="53"/>
    </row>
    <row r="98" spans="1:32">
      <c r="A98" s="58">
        <v>33</v>
      </c>
      <c r="B98" s="105">
        <f>INDEX(data!$I$2:$I$91,MATCH(A98*1,data!$G$2:$G$91,0))</f>
        <v>46217</v>
      </c>
      <c r="C98" s="66" t="str">
        <f>HYPERLINK("#'" &amp; A98 &amp; "'!A1", "编辑")</f>
        <v>编辑</v>
      </c>
      <c r="D98" s="54" t="s">
        <v>6</v>
      </c>
      <c r="E98" s="81">
        <f t="array" aca="1" ref="E98" ca="1">INDIRECT("'"&amp;$A99&amp;"'!I2")</f>
        <v>18</v>
      </c>
      <c r="F98" s="29">
        <f t="array" aca="1" ref="F98" ca="1">INDIRECT("'"&amp;$A98&amp;"'!C8")</f>
        <v>0</v>
      </c>
      <c r="G98" s="30">
        <f t="array" aca="1" ref="G98" ca="1">INDIRECT("'"&amp;$A98&amp;"'!D8")</f>
        <v>0</v>
      </c>
      <c r="H98" s="30">
        <f t="array" aca="1" ref="H98" ca="1">INDIRECT("'"&amp;$A98&amp;"'!E8")</f>
        <v>0</v>
      </c>
      <c r="I98" s="30">
        <f t="array" aca="1" ref="I98" ca="1">INDIRECT("'"&amp;$A98&amp;"'!F8")</f>
        <v>0</v>
      </c>
      <c r="J98" s="30">
        <f t="array" aca="1" ref="J98" ca="1">INDIRECT("'"&amp;$A98&amp;"'!G8")</f>
        <v>0</v>
      </c>
      <c r="K98" s="30">
        <f t="array" aca="1" ref="K98" ca="1">INDIRECT("'"&amp;$A98&amp;"'!H8")</f>
        <v>0</v>
      </c>
      <c r="L98" s="30">
        <f t="array" aca="1" ref="L98" ca="1">INDIRECT("'"&amp;$A98&amp;"'!I8")</f>
        <v>0</v>
      </c>
      <c r="M98" s="30">
        <f t="array" aca="1" ref="M98" ca="1">INDIRECT("'"&amp;$A98&amp;"'!J8")</f>
        <v>0</v>
      </c>
      <c r="N98" s="30">
        <f t="array" aca="1" ref="N98" ca="1">INDIRECT("'"&amp;$A98&amp;"'!K8")</f>
        <v>0</v>
      </c>
      <c r="O98" s="30">
        <f t="array" aca="1" ref="O98" ca="1">INDIRECT("'"&amp;$A98&amp;"'!L8")</f>
        <v>0</v>
      </c>
      <c r="P98" s="30">
        <f t="array" aca="1" ref="P98" ca="1">INDIRECT("'"&amp;$A98&amp;"'!M8")</f>
        <v>0</v>
      </c>
      <c r="Q98" s="30">
        <f t="array" aca="1" ref="Q98" ca="1">INDIRECT("'"&amp;$A98&amp;"'!N8")</f>
        <v>0</v>
      </c>
      <c r="R98" s="30">
        <f t="array" aca="1" ref="R98" ca="1">INDIRECT("'"&amp;$A98&amp;"'!O8")</f>
        <v>0</v>
      </c>
      <c r="S98" s="30">
        <f t="array" aca="1" ref="S98" ca="1">INDIRECT("'"&amp;$A98&amp;"'!P8")</f>
        <v>0</v>
      </c>
      <c r="T98" s="30">
        <f t="array" aca="1" ref="T98" ca="1">INDIRECT("'"&amp;$A98&amp;"'!Q8")</f>
        <v>0</v>
      </c>
      <c r="U98" s="30">
        <f t="array" aca="1" ref="U98" ca="1">INDIRECT("'"&amp;$A98&amp;"'!R8")</f>
        <v>0</v>
      </c>
      <c r="V98" s="30">
        <f t="array" aca="1" ref="V98" ca="1">INDIRECT("'"&amp;$A98&amp;"'!S8")</f>
        <v>0</v>
      </c>
      <c r="W98" s="30">
        <f t="array" aca="1" ref="W98" ca="1">INDIRECT("'"&amp;$A98&amp;"'!T8")</f>
        <v>0</v>
      </c>
      <c r="X98" s="30">
        <f t="array" aca="1" ref="X98" ca="1">INDIRECT("'"&amp;$A98&amp;"'!U8")</f>
        <v>0</v>
      </c>
      <c r="Y98" s="30">
        <f t="array" aca="1" ref="Y98" ca="1">INDIRECT("'"&amp;$A98&amp;"'!V8")</f>
        <v>0</v>
      </c>
      <c r="Z98" s="30">
        <f t="array" aca="1" ref="Z98" ca="1">INDIRECT("'"&amp;$A98&amp;"'!W8")</f>
        <v>0</v>
      </c>
      <c r="AA98" s="30">
        <f t="array" aca="1" ref="AA98" ca="1">INDIRECT("'"&amp;$A98&amp;"'!X8")</f>
        <v>0</v>
      </c>
      <c r="AB98" s="30">
        <f t="array" aca="1" ref="AB98" ca="1">INDIRECT("'"&amp;$A98&amp;"'!Y8")</f>
        <v>0</v>
      </c>
      <c r="AC98" s="30">
        <f t="array" aca="1" ref="AC98" ca="1">INDIRECT("'"&amp;$A98&amp;"'!Z8")</f>
        <v>0</v>
      </c>
      <c r="AD98" s="31">
        <f t="array" aca="1" ref="AD98" ca="1">INDIRECT("'"&amp;$A98&amp;"'!AA8")</f>
        <v>0</v>
      </c>
      <c r="AE98" s="81">
        <f t="array" aca="1" ref="AE98" ca="1">INDIRECT("'"&amp;$A99&amp;"'!J2")</f>
        <v>0</v>
      </c>
      <c r="AF98" s="53" t="str">
        <f t="array" aca="1" ref="AF98" ca="1">INDIRECT("'"&amp;$A99&amp;"'!AD1")</f>
        <v/>
      </c>
    </row>
    <row r="99" spans="1:32">
      <c r="A99" s="58">
        <v>33</v>
      </c>
      <c r="B99" s="106"/>
      <c r="C99" s="67" t="str">
        <f t="array" aca="1" ref="C99" ca="1">CONCATENATE("粮 ",INDIRECT("'"&amp;$A99&amp;"'!D4"))</f>
        <v>粮 58000</v>
      </c>
      <c r="D99" s="55" t="s">
        <v>7</v>
      </c>
      <c r="E99" s="82">
        <f t="array" aca="1" ref="E99" ca="1">INDIRECT("'"&amp;$A99&amp;"'!I3")</f>
        <v>18</v>
      </c>
      <c r="F99" s="52">
        <f t="array" aca="1" ref="F99" ca="1">INDIRECT("'"&amp;$A99&amp;"'!C11")</f>
        <v>0</v>
      </c>
      <c r="G99" s="3">
        <f t="array" aca="1" ref="G99" ca="1">INDIRECT("'"&amp;$A99&amp;"'!D11")</f>
        <v>0</v>
      </c>
      <c r="H99" s="3">
        <f t="array" aca="1" ref="H99" ca="1">INDIRECT("'"&amp;$A99&amp;"'!E11")</f>
        <v>0</v>
      </c>
      <c r="I99" s="3">
        <f t="array" aca="1" ref="I99" ca="1">INDIRECT("'"&amp;$A99&amp;"'!F11")</f>
        <v>0</v>
      </c>
      <c r="J99" s="3">
        <f t="array" aca="1" ref="J99" ca="1">INDIRECT("'"&amp;$A99&amp;"'!G11")</f>
        <v>0</v>
      </c>
      <c r="K99" s="3">
        <f t="array" aca="1" ref="K99" ca="1">INDIRECT("'"&amp;$A99&amp;"'!H11")</f>
        <v>0</v>
      </c>
      <c r="L99" s="3">
        <f t="array" aca="1" ref="L99" ca="1">INDIRECT("'"&amp;$A99&amp;"'!I11")</f>
        <v>0</v>
      </c>
      <c r="M99" s="3">
        <f t="array" aca="1" ref="M99" ca="1">INDIRECT("'"&amp;$A99&amp;"'!J11")</f>
        <v>0</v>
      </c>
      <c r="N99" s="3">
        <f t="array" aca="1" ref="N99" ca="1">INDIRECT("'"&amp;$A99&amp;"'!K11")</f>
        <v>0</v>
      </c>
      <c r="O99" s="3">
        <f t="array" aca="1" ref="O99" ca="1">INDIRECT("'"&amp;$A99&amp;"'!L11")</f>
        <v>0</v>
      </c>
      <c r="P99" s="3">
        <f t="array" aca="1" ref="P99" ca="1">INDIRECT("'"&amp;$A99&amp;"'!M11")</f>
        <v>0</v>
      </c>
      <c r="Q99" s="3">
        <f t="array" aca="1" ref="Q99" ca="1">INDIRECT("'"&amp;$A99&amp;"'!N11")</f>
        <v>0</v>
      </c>
      <c r="R99" s="3">
        <f t="array" aca="1" ref="R99" ca="1">INDIRECT("'"&amp;$A99&amp;"'!O11")</f>
        <v>0</v>
      </c>
      <c r="S99" s="3">
        <f t="array" aca="1" ref="S99" ca="1">INDIRECT("'"&amp;$A99&amp;"'!P11")</f>
        <v>0</v>
      </c>
      <c r="T99" s="3">
        <f t="array" aca="1" ref="T99" ca="1">INDIRECT("'"&amp;$A99&amp;"'!Q11")</f>
        <v>0</v>
      </c>
      <c r="U99" s="3">
        <f t="array" aca="1" ref="U99" ca="1">INDIRECT("'"&amp;$A99&amp;"'!R11")</f>
        <v>0</v>
      </c>
      <c r="V99" s="3">
        <f t="array" aca="1" ref="V99" ca="1">INDIRECT("'"&amp;$A99&amp;"'!S11")</f>
        <v>0</v>
      </c>
      <c r="W99" s="3">
        <f t="array" aca="1" ref="W99" ca="1">INDIRECT("'"&amp;$A99&amp;"'!T11")</f>
        <v>0</v>
      </c>
      <c r="X99" s="3">
        <f t="array" aca="1" ref="X99" ca="1">INDIRECT("'"&amp;$A99&amp;"'!U11")</f>
        <v>0</v>
      </c>
      <c r="Y99" s="3">
        <f t="array" aca="1" ref="Y99" ca="1">INDIRECT("'"&amp;$A99&amp;"'!V11")</f>
        <v>0</v>
      </c>
      <c r="Z99" s="3">
        <f t="array" aca="1" ref="Z99" ca="1">INDIRECT("'"&amp;$A99&amp;"'!W11")</f>
        <v>0</v>
      </c>
      <c r="AA99" s="3">
        <f t="array" aca="1" ref="AA99" ca="1">INDIRECT("'"&amp;$A99&amp;"'!X11")</f>
        <v>0</v>
      </c>
      <c r="AB99" s="3">
        <f t="array" aca="1" ref="AB99" ca="1">INDIRECT("'"&amp;$A99&amp;"'!Y11")</f>
        <v>0</v>
      </c>
      <c r="AC99" s="3">
        <f t="array" aca="1" ref="AC99" ca="1">INDIRECT("'"&amp;$A99&amp;"'!Z11")</f>
        <v>0</v>
      </c>
      <c r="AD99" s="32">
        <f t="array" aca="1" ref="AD99" ca="1">INDIRECT("'"&amp;$A99&amp;"'!AA11")</f>
        <v>0</v>
      </c>
      <c r="AE99" s="82">
        <f t="array" aca="1" ref="AE99" ca="1">INDIRECT("'"&amp;$A99&amp;"'!J3")</f>
        <v>0</v>
      </c>
      <c r="AF99" s="53" t="str">
        <f t="array" aca="1" ref="AF99" ca="1">INDIRECT("'"&amp;$A99&amp;"'!AC1")</f>
        <v/>
      </c>
    </row>
    <row r="100" spans="1:32" ht="15.75" customHeight="1" thickBot="1">
      <c r="A100" s="58">
        <v>33</v>
      </c>
      <c r="B100" s="107"/>
      <c r="C100" s="77" t="str">
        <f t="array" aca="1" ref="C100" ca="1">CONCATENATE("分 ",INDIRECT("'"&amp;$A99&amp;"'!D6"))</f>
        <v>分 0</v>
      </c>
      <c r="D100" s="56" t="s">
        <v>8</v>
      </c>
      <c r="E100" s="83">
        <f t="array" aca="1" ref="E100" ca="1">INDIRECT("'"&amp;$A99&amp;"'!I4")</f>
        <v>18</v>
      </c>
      <c r="F100" s="52">
        <f t="array" aca="1" ref="F100" ca="1">INDIRECT("'"&amp;$A100&amp;"'!C14")</f>
        <v>0</v>
      </c>
      <c r="G100" s="3">
        <f t="array" aca="1" ref="G100" ca="1">INDIRECT("'"&amp;$A100&amp;"'!D14")</f>
        <v>0</v>
      </c>
      <c r="H100" s="3">
        <f t="array" aca="1" ref="H100" ca="1">INDIRECT("'"&amp;$A100&amp;"'!E14")</f>
        <v>0</v>
      </c>
      <c r="I100" s="3">
        <f t="array" aca="1" ref="I100" ca="1">INDIRECT("'"&amp;$A100&amp;"'!F14")</f>
        <v>0</v>
      </c>
      <c r="J100" s="3">
        <f t="array" aca="1" ref="J100" ca="1">INDIRECT("'"&amp;$A100&amp;"'!G14")</f>
        <v>0</v>
      </c>
      <c r="K100" s="3">
        <f t="array" aca="1" ref="K100" ca="1">INDIRECT("'"&amp;$A100&amp;"'!H14")</f>
        <v>0</v>
      </c>
      <c r="L100" s="3">
        <f t="array" aca="1" ref="L100" ca="1">INDIRECT("'"&amp;$A100&amp;"'!I14")</f>
        <v>0</v>
      </c>
      <c r="M100" s="3">
        <f t="array" aca="1" ref="M100" ca="1">INDIRECT("'"&amp;$A100&amp;"'!J14")</f>
        <v>0</v>
      </c>
      <c r="N100" s="3">
        <f t="array" aca="1" ref="N100" ca="1">INDIRECT("'"&amp;$A100&amp;"'!K14")</f>
        <v>0</v>
      </c>
      <c r="O100" s="3">
        <f t="array" aca="1" ref="O100" ca="1">INDIRECT("'"&amp;$A100&amp;"'!L14")</f>
        <v>0</v>
      </c>
      <c r="P100" s="3">
        <f t="array" aca="1" ref="P100" ca="1">INDIRECT("'"&amp;$A100&amp;"'!M14")</f>
        <v>0</v>
      </c>
      <c r="Q100" s="3">
        <f t="array" aca="1" ref="Q100" ca="1">INDIRECT("'"&amp;$A100&amp;"'!N14")</f>
        <v>0</v>
      </c>
      <c r="R100" s="3">
        <f t="array" aca="1" ref="R100" ca="1">INDIRECT("'"&amp;$A100&amp;"'!O14")</f>
        <v>0</v>
      </c>
      <c r="S100" s="3">
        <f t="array" aca="1" ref="S100" ca="1">INDIRECT("'"&amp;$A100&amp;"'!P14")</f>
        <v>0</v>
      </c>
      <c r="T100" s="3">
        <f t="array" aca="1" ref="T100" ca="1">INDIRECT("'"&amp;$A100&amp;"'!Q14")</f>
        <v>0</v>
      </c>
      <c r="U100" s="3">
        <f t="array" aca="1" ref="U100" ca="1">INDIRECT("'"&amp;$A100&amp;"'!R14")</f>
        <v>0</v>
      </c>
      <c r="V100" s="3">
        <f t="array" aca="1" ref="V100" ca="1">INDIRECT("'"&amp;$A100&amp;"'!S14")</f>
        <v>0</v>
      </c>
      <c r="W100" s="3">
        <f t="array" aca="1" ref="W100" ca="1">INDIRECT("'"&amp;$A100&amp;"'!T14")</f>
        <v>0</v>
      </c>
      <c r="X100" s="3">
        <f t="array" aca="1" ref="X100" ca="1">INDIRECT("'"&amp;$A100&amp;"'!U14")</f>
        <v>0</v>
      </c>
      <c r="Y100" s="3">
        <f t="array" aca="1" ref="Y100" ca="1">INDIRECT("'"&amp;$A100&amp;"'!V14")</f>
        <v>0</v>
      </c>
      <c r="Z100" s="3">
        <f t="array" aca="1" ref="Z100" ca="1">INDIRECT("'"&amp;$A100&amp;"'!W14")</f>
        <v>0</v>
      </c>
      <c r="AA100" s="3">
        <f t="array" aca="1" ref="AA100" ca="1">INDIRECT("'"&amp;$A100&amp;"'!X14")</f>
        <v>0</v>
      </c>
      <c r="AB100" s="3">
        <f t="array" aca="1" ref="AB100" ca="1">INDIRECT("'"&amp;$A100&amp;"'!Y14")</f>
        <v>0</v>
      </c>
      <c r="AC100" s="3">
        <f t="array" aca="1" ref="AC100" ca="1">INDIRECT("'"&amp;$A100&amp;"'!Z14")</f>
        <v>0</v>
      </c>
      <c r="AD100" s="32">
        <f t="array" aca="1" ref="AD100" ca="1">INDIRECT("'"&amp;$A100&amp;"'!AA14")</f>
        <v>0</v>
      </c>
      <c r="AE100" s="83">
        <f t="array" aca="1" ref="AE100" ca="1">INDIRECT("'"&amp;$A99&amp;"'!J4")</f>
        <v>0</v>
      </c>
      <c r="AF100" s="53"/>
    </row>
    <row r="101" spans="1:32">
      <c r="A101" s="58">
        <v>34</v>
      </c>
      <c r="B101" s="105">
        <f>INDEX(data!$I$2:$I$91,MATCH(A101*1,data!$G$2:$G$91,0))</f>
        <v>46218</v>
      </c>
      <c r="C101" s="66" t="str">
        <f>HYPERLINK("#'" &amp; A101 &amp; "'!A1", "编辑")</f>
        <v>编辑</v>
      </c>
      <c r="D101" s="54" t="s">
        <v>6</v>
      </c>
      <c r="E101" s="81">
        <f t="array" aca="1" ref="E101" ca="1">INDIRECT("'"&amp;$A102&amp;"'!I2")</f>
        <v>18</v>
      </c>
      <c r="F101" s="29">
        <f t="array" aca="1" ref="F101" ca="1">INDIRECT("'"&amp;$A101&amp;"'!C8")</f>
        <v>0</v>
      </c>
      <c r="G101" s="30">
        <f t="array" aca="1" ref="G101" ca="1">INDIRECT("'"&amp;$A101&amp;"'!D8")</f>
        <v>0</v>
      </c>
      <c r="H101" s="30">
        <f t="array" aca="1" ref="H101" ca="1">INDIRECT("'"&amp;$A101&amp;"'!E8")</f>
        <v>0</v>
      </c>
      <c r="I101" s="30">
        <f t="array" aca="1" ref="I101" ca="1">INDIRECT("'"&amp;$A101&amp;"'!F8")</f>
        <v>0</v>
      </c>
      <c r="J101" s="30">
        <f t="array" aca="1" ref="J101" ca="1">INDIRECT("'"&amp;$A101&amp;"'!G8")</f>
        <v>0</v>
      </c>
      <c r="K101" s="30">
        <f t="array" aca="1" ref="K101" ca="1">INDIRECT("'"&amp;$A101&amp;"'!H8")</f>
        <v>0</v>
      </c>
      <c r="L101" s="30">
        <f t="array" aca="1" ref="L101" ca="1">INDIRECT("'"&amp;$A101&amp;"'!I8")</f>
        <v>0</v>
      </c>
      <c r="M101" s="30">
        <f t="array" aca="1" ref="M101" ca="1">INDIRECT("'"&amp;$A101&amp;"'!J8")</f>
        <v>0</v>
      </c>
      <c r="N101" s="30">
        <f t="array" aca="1" ref="N101" ca="1">INDIRECT("'"&amp;$A101&amp;"'!K8")</f>
        <v>0</v>
      </c>
      <c r="O101" s="30">
        <f t="array" aca="1" ref="O101" ca="1">INDIRECT("'"&amp;$A101&amp;"'!L8")</f>
        <v>0</v>
      </c>
      <c r="P101" s="30">
        <f t="array" aca="1" ref="P101" ca="1">INDIRECT("'"&amp;$A101&amp;"'!M8")</f>
        <v>0</v>
      </c>
      <c r="Q101" s="30">
        <f t="array" aca="1" ref="Q101" ca="1">INDIRECT("'"&amp;$A101&amp;"'!N8")</f>
        <v>0</v>
      </c>
      <c r="R101" s="30">
        <f t="array" aca="1" ref="R101" ca="1">INDIRECT("'"&amp;$A101&amp;"'!O8")</f>
        <v>0</v>
      </c>
      <c r="S101" s="30">
        <f t="array" aca="1" ref="S101" ca="1">INDIRECT("'"&amp;$A101&amp;"'!P8")</f>
        <v>0</v>
      </c>
      <c r="T101" s="30">
        <f t="array" aca="1" ref="T101" ca="1">INDIRECT("'"&amp;$A101&amp;"'!Q8")</f>
        <v>0</v>
      </c>
      <c r="U101" s="30">
        <f t="array" aca="1" ref="U101" ca="1">INDIRECT("'"&amp;$A101&amp;"'!R8")</f>
        <v>0</v>
      </c>
      <c r="V101" s="30">
        <f t="array" aca="1" ref="V101" ca="1">INDIRECT("'"&amp;$A101&amp;"'!S8")</f>
        <v>0</v>
      </c>
      <c r="W101" s="30">
        <f t="array" aca="1" ref="W101" ca="1">INDIRECT("'"&amp;$A101&amp;"'!T8")</f>
        <v>0</v>
      </c>
      <c r="X101" s="30">
        <f t="array" aca="1" ref="X101" ca="1">INDIRECT("'"&amp;$A101&amp;"'!U8")</f>
        <v>0</v>
      </c>
      <c r="Y101" s="30">
        <f t="array" aca="1" ref="Y101" ca="1">INDIRECT("'"&amp;$A101&amp;"'!V8")</f>
        <v>0</v>
      </c>
      <c r="Z101" s="30">
        <f t="array" aca="1" ref="Z101" ca="1">INDIRECT("'"&amp;$A101&amp;"'!W8")</f>
        <v>0</v>
      </c>
      <c r="AA101" s="30">
        <f t="array" aca="1" ref="AA101" ca="1">INDIRECT("'"&amp;$A101&amp;"'!X8")</f>
        <v>0</v>
      </c>
      <c r="AB101" s="30">
        <f t="array" aca="1" ref="AB101" ca="1">INDIRECT("'"&amp;$A101&amp;"'!Y8")</f>
        <v>0</v>
      </c>
      <c r="AC101" s="30">
        <f t="array" aca="1" ref="AC101" ca="1">INDIRECT("'"&amp;$A101&amp;"'!Z8")</f>
        <v>0</v>
      </c>
      <c r="AD101" s="31">
        <f t="array" aca="1" ref="AD101" ca="1">INDIRECT("'"&amp;$A101&amp;"'!AA8")</f>
        <v>0</v>
      </c>
      <c r="AE101" s="81">
        <f t="array" aca="1" ref="AE101" ca="1">INDIRECT("'"&amp;$A102&amp;"'!J2")</f>
        <v>0</v>
      </c>
      <c r="AF101" s="53" t="str">
        <f t="array" aca="1" ref="AF101" ca="1">INDIRECT("'"&amp;$A102&amp;"'!AD1")</f>
        <v/>
      </c>
    </row>
    <row r="102" spans="1:32">
      <c r="A102" s="58">
        <v>34</v>
      </c>
      <c r="B102" s="106"/>
      <c r="C102" s="67" t="str">
        <f t="array" aca="1" ref="C102" ca="1">CONCATENATE("粮 ",INDIRECT("'"&amp;$A102&amp;"'!D4"))</f>
        <v>粮 59600</v>
      </c>
      <c r="D102" s="55" t="s">
        <v>7</v>
      </c>
      <c r="E102" s="82">
        <f t="array" aca="1" ref="E102" ca="1">INDIRECT("'"&amp;$A102&amp;"'!I3")</f>
        <v>18</v>
      </c>
      <c r="F102" s="52">
        <f t="array" aca="1" ref="F102" ca="1">INDIRECT("'"&amp;$A102&amp;"'!C11")</f>
        <v>0</v>
      </c>
      <c r="G102" s="3">
        <f t="array" aca="1" ref="G102" ca="1">INDIRECT("'"&amp;$A102&amp;"'!D11")</f>
        <v>0</v>
      </c>
      <c r="H102" s="3">
        <f t="array" aca="1" ref="H102" ca="1">INDIRECT("'"&amp;$A102&amp;"'!E11")</f>
        <v>0</v>
      </c>
      <c r="I102" s="3">
        <f t="array" aca="1" ref="I102" ca="1">INDIRECT("'"&amp;$A102&amp;"'!F11")</f>
        <v>0</v>
      </c>
      <c r="J102" s="3">
        <f t="array" aca="1" ref="J102" ca="1">INDIRECT("'"&amp;$A102&amp;"'!G11")</f>
        <v>0</v>
      </c>
      <c r="K102" s="3">
        <f t="array" aca="1" ref="K102" ca="1">INDIRECT("'"&amp;$A102&amp;"'!H11")</f>
        <v>0</v>
      </c>
      <c r="L102" s="3">
        <f t="array" aca="1" ref="L102" ca="1">INDIRECT("'"&amp;$A102&amp;"'!I11")</f>
        <v>0</v>
      </c>
      <c r="M102" s="3">
        <f t="array" aca="1" ref="M102" ca="1">INDIRECT("'"&amp;$A102&amp;"'!J11")</f>
        <v>0</v>
      </c>
      <c r="N102" s="3">
        <f t="array" aca="1" ref="N102" ca="1">INDIRECT("'"&amp;$A102&amp;"'!K11")</f>
        <v>0</v>
      </c>
      <c r="O102" s="3">
        <f t="array" aca="1" ref="O102" ca="1">INDIRECT("'"&amp;$A102&amp;"'!L11")</f>
        <v>0</v>
      </c>
      <c r="P102" s="3">
        <f t="array" aca="1" ref="P102" ca="1">INDIRECT("'"&amp;$A102&amp;"'!M11")</f>
        <v>0</v>
      </c>
      <c r="Q102" s="3">
        <f t="array" aca="1" ref="Q102" ca="1">INDIRECT("'"&amp;$A102&amp;"'!N11")</f>
        <v>0</v>
      </c>
      <c r="R102" s="3">
        <f t="array" aca="1" ref="R102" ca="1">INDIRECT("'"&amp;$A102&amp;"'!O11")</f>
        <v>0</v>
      </c>
      <c r="S102" s="3">
        <f t="array" aca="1" ref="S102" ca="1">INDIRECT("'"&amp;$A102&amp;"'!P11")</f>
        <v>0</v>
      </c>
      <c r="T102" s="3">
        <f t="array" aca="1" ref="T102" ca="1">INDIRECT("'"&amp;$A102&amp;"'!Q11")</f>
        <v>0</v>
      </c>
      <c r="U102" s="3">
        <f t="array" aca="1" ref="U102" ca="1">INDIRECT("'"&amp;$A102&amp;"'!R11")</f>
        <v>0</v>
      </c>
      <c r="V102" s="3">
        <f t="array" aca="1" ref="V102" ca="1">INDIRECT("'"&amp;$A102&amp;"'!S11")</f>
        <v>0</v>
      </c>
      <c r="W102" s="3">
        <f t="array" aca="1" ref="W102" ca="1">INDIRECT("'"&amp;$A102&amp;"'!T11")</f>
        <v>0</v>
      </c>
      <c r="X102" s="3">
        <f t="array" aca="1" ref="X102" ca="1">INDIRECT("'"&amp;$A102&amp;"'!U11")</f>
        <v>0</v>
      </c>
      <c r="Y102" s="3">
        <f t="array" aca="1" ref="Y102" ca="1">INDIRECT("'"&amp;$A102&amp;"'!V11")</f>
        <v>0</v>
      </c>
      <c r="Z102" s="3">
        <f t="array" aca="1" ref="Z102" ca="1">INDIRECT("'"&amp;$A102&amp;"'!W11")</f>
        <v>0</v>
      </c>
      <c r="AA102" s="3">
        <f t="array" aca="1" ref="AA102" ca="1">INDIRECT("'"&amp;$A102&amp;"'!X11")</f>
        <v>0</v>
      </c>
      <c r="AB102" s="3">
        <f t="array" aca="1" ref="AB102" ca="1">INDIRECT("'"&amp;$A102&amp;"'!Y11")</f>
        <v>0</v>
      </c>
      <c r="AC102" s="3">
        <f t="array" aca="1" ref="AC102" ca="1">INDIRECT("'"&amp;$A102&amp;"'!Z11")</f>
        <v>0</v>
      </c>
      <c r="AD102" s="32">
        <f t="array" aca="1" ref="AD102" ca="1">INDIRECT("'"&amp;$A102&amp;"'!AA11")</f>
        <v>0</v>
      </c>
      <c r="AE102" s="82">
        <f t="array" aca="1" ref="AE102" ca="1">INDIRECT("'"&amp;$A102&amp;"'!J3")</f>
        <v>0</v>
      </c>
      <c r="AF102" s="53" t="str">
        <f t="array" aca="1" ref="AF102" ca="1">INDIRECT("'"&amp;$A102&amp;"'!AC1")</f>
        <v/>
      </c>
    </row>
    <row r="103" spans="1:32" ht="15.75" customHeight="1" thickBot="1">
      <c r="A103" s="58">
        <v>34</v>
      </c>
      <c r="B103" s="107"/>
      <c r="C103" s="77" t="str">
        <f t="array" aca="1" ref="C103" ca="1">CONCATENATE("分 ",INDIRECT("'"&amp;$A102&amp;"'!D6"))</f>
        <v>分 0</v>
      </c>
      <c r="D103" s="56" t="s">
        <v>8</v>
      </c>
      <c r="E103" s="83">
        <f t="array" aca="1" ref="E103" ca="1">INDIRECT("'"&amp;$A102&amp;"'!I4")</f>
        <v>18</v>
      </c>
      <c r="F103" s="52">
        <f t="array" aca="1" ref="F103" ca="1">INDIRECT("'"&amp;$A103&amp;"'!C14")</f>
        <v>0</v>
      </c>
      <c r="G103" s="3">
        <f t="array" aca="1" ref="G103" ca="1">INDIRECT("'"&amp;$A103&amp;"'!D14")</f>
        <v>0</v>
      </c>
      <c r="H103" s="3">
        <f t="array" aca="1" ref="H103" ca="1">INDIRECT("'"&amp;$A103&amp;"'!E14")</f>
        <v>0</v>
      </c>
      <c r="I103" s="3">
        <f t="array" aca="1" ref="I103" ca="1">INDIRECT("'"&amp;$A103&amp;"'!F14")</f>
        <v>0</v>
      </c>
      <c r="J103" s="3">
        <f t="array" aca="1" ref="J103" ca="1">INDIRECT("'"&amp;$A103&amp;"'!G14")</f>
        <v>0</v>
      </c>
      <c r="K103" s="3">
        <f t="array" aca="1" ref="K103" ca="1">INDIRECT("'"&amp;$A103&amp;"'!H14")</f>
        <v>0</v>
      </c>
      <c r="L103" s="3">
        <f t="array" aca="1" ref="L103" ca="1">INDIRECT("'"&amp;$A103&amp;"'!I14")</f>
        <v>0</v>
      </c>
      <c r="M103" s="3">
        <f t="array" aca="1" ref="M103" ca="1">INDIRECT("'"&amp;$A103&amp;"'!J14")</f>
        <v>0</v>
      </c>
      <c r="N103" s="3">
        <f t="array" aca="1" ref="N103" ca="1">INDIRECT("'"&amp;$A103&amp;"'!K14")</f>
        <v>0</v>
      </c>
      <c r="O103" s="3">
        <f t="array" aca="1" ref="O103" ca="1">INDIRECT("'"&amp;$A103&amp;"'!L14")</f>
        <v>0</v>
      </c>
      <c r="P103" s="3">
        <f t="array" aca="1" ref="P103" ca="1">INDIRECT("'"&amp;$A103&amp;"'!M14")</f>
        <v>0</v>
      </c>
      <c r="Q103" s="3">
        <f t="array" aca="1" ref="Q103" ca="1">INDIRECT("'"&amp;$A103&amp;"'!N14")</f>
        <v>0</v>
      </c>
      <c r="R103" s="3">
        <f t="array" aca="1" ref="R103" ca="1">INDIRECT("'"&amp;$A103&amp;"'!O14")</f>
        <v>0</v>
      </c>
      <c r="S103" s="3">
        <f t="array" aca="1" ref="S103" ca="1">INDIRECT("'"&amp;$A103&amp;"'!P14")</f>
        <v>0</v>
      </c>
      <c r="T103" s="3">
        <f t="array" aca="1" ref="T103" ca="1">INDIRECT("'"&amp;$A103&amp;"'!Q14")</f>
        <v>0</v>
      </c>
      <c r="U103" s="3">
        <f t="array" aca="1" ref="U103" ca="1">INDIRECT("'"&amp;$A103&amp;"'!R14")</f>
        <v>0</v>
      </c>
      <c r="V103" s="3">
        <f t="array" aca="1" ref="V103" ca="1">INDIRECT("'"&amp;$A103&amp;"'!S14")</f>
        <v>0</v>
      </c>
      <c r="W103" s="3">
        <f t="array" aca="1" ref="W103" ca="1">INDIRECT("'"&amp;$A103&amp;"'!T14")</f>
        <v>0</v>
      </c>
      <c r="X103" s="3">
        <f t="array" aca="1" ref="X103" ca="1">INDIRECT("'"&amp;$A103&amp;"'!U14")</f>
        <v>0</v>
      </c>
      <c r="Y103" s="3">
        <f t="array" aca="1" ref="Y103" ca="1">INDIRECT("'"&amp;$A103&amp;"'!V14")</f>
        <v>0</v>
      </c>
      <c r="Z103" s="3">
        <f t="array" aca="1" ref="Z103" ca="1">INDIRECT("'"&amp;$A103&amp;"'!W14")</f>
        <v>0</v>
      </c>
      <c r="AA103" s="3">
        <f t="array" aca="1" ref="AA103" ca="1">INDIRECT("'"&amp;$A103&amp;"'!X14")</f>
        <v>0</v>
      </c>
      <c r="AB103" s="3">
        <f t="array" aca="1" ref="AB103" ca="1">INDIRECT("'"&amp;$A103&amp;"'!Y14")</f>
        <v>0</v>
      </c>
      <c r="AC103" s="3">
        <f t="array" aca="1" ref="AC103" ca="1">INDIRECT("'"&amp;$A103&amp;"'!Z14")</f>
        <v>0</v>
      </c>
      <c r="AD103" s="32">
        <f t="array" aca="1" ref="AD103" ca="1">INDIRECT("'"&amp;$A103&amp;"'!AA14")</f>
        <v>0</v>
      </c>
      <c r="AE103" s="83">
        <f t="array" aca="1" ref="AE103" ca="1">INDIRECT("'"&amp;$A102&amp;"'!J4")</f>
        <v>0</v>
      </c>
      <c r="AF103" s="53"/>
    </row>
    <row r="104" spans="1:32">
      <c r="A104" s="58">
        <v>35</v>
      </c>
      <c r="B104" s="105">
        <f>INDEX(data!$I$2:$I$91,MATCH(A104*1,data!$G$2:$G$91,0))</f>
        <v>46219</v>
      </c>
      <c r="C104" s="66" t="str">
        <f>HYPERLINK("#'" &amp; A104 &amp; "'!A1", "编辑")</f>
        <v>编辑</v>
      </c>
      <c r="D104" s="54" t="s">
        <v>6</v>
      </c>
      <c r="E104" s="81">
        <f t="array" aca="1" ref="E104" ca="1">INDIRECT("'"&amp;$A105&amp;"'!I2")</f>
        <v>18</v>
      </c>
      <c r="F104" s="29">
        <f t="array" aca="1" ref="F104" ca="1">INDIRECT("'"&amp;$A104&amp;"'!C8")</f>
        <v>0</v>
      </c>
      <c r="G104" s="30">
        <f t="array" aca="1" ref="G104" ca="1">INDIRECT("'"&amp;$A104&amp;"'!D8")</f>
        <v>0</v>
      </c>
      <c r="H104" s="30">
        <f t="array" aca="1" ref="H104" ca="1">INDIRECT("'"&amp;$A104&amp;"'!E8")</f>
        <v>0</v>
      </c>
      <c r="I104" s="30">
        <f t="array" aca="1" ref="I104" ca="1">INDIRECT("'"&amp;$A104&amp;"'!F8")</f>
        <v>0</v>
      </c>
      <c r="J104" s="30">
        <f t="array" aca="1" ref="J104" ca="1">INDIRECT("'"&amp;$A104&amp;"'!G8")</f>
        <v>0</v>
      </c>
      <c r="K104" s="30">
        <f t="array" aca="1" ref="K104" ca="1">INDIRECT("'"&amp;$A104&amp;"'!H8")</f>
        <v>0</v>
      </c>
      <c r="L104" s="30">
        <f t="array" aca="1" ref="L104" ca="1">INDIRECT("'"&amp;$A104&amp;"'!I8")</f>
        <v>0</v>
      </c>
      <c r="M104" s="30">
        <f t="array" aca="1" ref="M104" ca="1">INDIRECT("'"&amp;$A104&amp;"'!J8")</f>
        <v>0</v>
      </c>
      <c r="N104" s="30">
        <f t="array" aca="1" ref="N104" ca="1">INDIRECT("'"&amp;$A104&amp;"'!K8")</f>
        <v>0</v>
      </c>
      <c r="O104" s="30">
        <f t="array" aca="1" ref="O104" ca="1">INDIRECT("'"&amp;$A104&amp;"'!L8")</f>
        <v>0</v>
      </c>
      <c r="P104" s="30">
        <f t="array" aca="1" ref="P104" ca="1">INDIRECT("'"&amp;$A104&amp;"'!M8")</f>
        <v>0</v>
      </c>
      <c r="Q104" s="30">
        <f t="array" aca="1" ref="Q104" ca="1">INDIRECT("'"&amp;$A104&amp;"'!N8")</f>
        <v>0</v>
      </c>
      <c r="R104" s="30">
        <f t="array" aca="1" ref="R104" ca="1">INDIRECT("'"&amp;$A104&amp;"'!O8")</f>
        <v>0</v>
      </c>
      <c r="S104" s="30">
        <f t="array" aca="1" ref="S104" ca="1">INDIRECT("'"&amp;$A104&amp;"'!P8")</f>
        <v>0</v>
      </c>
      <c r="T104" s="30">
        <f t="array" aca="1" ref="T104" ca="1">INDIRECT("'"&amp;$A104&amp;"'!Q8")</f>
        <v>0</v>
      </c>
      <c r="U104" s="30">
        <f t="array" aca="1" ref="U104" ca="1">INDIRECT("'"&amp;$A104&amp;"'!R8")</f>
        <v>0</v>
      </c>
      <c r="V104" s="30">
        <f t="array" aca="1" ref="V104" ca="1">INDIRECT("'"&amp;$A104&amp;"'!S8")</f>
        <v>0</v>
      </c>
      <c r="W104" s="30">
        <f t="array" aca="1" ref="W104" ca="1">INDIRECT("'"&amp;$A104&amp;"'!T8")</f>
        <v>0</v>
      </c>
      <c r="X104" s="30">
        <f t="array" aca="1" ref="X104" ca="1">INDIRECT("'"&amp;$A104&amp;"'!U8")</f>
        <v>0</v>
      </c>
      <c r="Y104" s="30">
        <f t="array" aca="1" ref="Y104" ca="1">INDIRECT("'"&amp;$A104&amp;"'!V8")</f>
        <v>0</v>
      </c>
      <c r="Z104" s="30">
        <f t="array" aca="1" ref="Z104" ca="1">INDIRECT("'"&amp;$A104&amp;"'!W8")</f>
        <v>0</v>
      </c>
      <c r="AA104" s="30">
        <f t="array" aca="1" ref="AA104" ca="1">INDIRECT("'"&amp;$A104&amp;"'!X8")</f>
        <v>0</v>
      </c>
      <c r="AB104" s="30">
        <f t="array" aca="1" ref="AB104" ca="1">INDIRECT("'"&amp;$A104&amp;"'!Y8")</f>
        <v>0</v>
      </c>
      <c r="AC104" s="30">
        <f t="array" aca="1" ref="AC104" ca="1">INDIRECT("'"&amp;$A104&amp;"'!Z8")</f>
        <v>0</v>
      </c>
      <c r="AD104" s="31">
        <f t="array" aca="1" ref="AD104" ca="1">INDIRECT("'"&amp;$A104&amp;"'!AA8")</f>
        <v>0</v>
      </c>
      <c r="AE104" s="81">
        <f t="array" aca="1" ref="AE104" ca="1">INDIRECT("'"&amp;$A105&amp;"'!J2")</f>
        <v>0</v>
      </c>
      <c r="AF104" s="53" t="str">
        <f t="array" aca="1" ref="AF104" ca="1">INDIRECT("'"&amp;$A105&amp;"'!AD1")</f>
        <v/>
      </c>
    </row>
    <row r="105" spans="1:32">
      <c r="A105" s="58">
        <v>35</v>
      </c>
      <c r="B105" s="106"/>
      <c r="C105" s="67" t="str">
        <f t="array" aca="1" ref="C105" ca="1">CONCATENATE("粮 ",INDIRECT("'"&amp;$A105&amp;"'!D4"))</f>
        <v>粮 61200</v>
      </c>
      <c r="D105" s="55" t="s">
        <v>7</v>
      </c>
      <c r="E105" s="82">
        <f t="array" aca="1" ref="E105" ca="1">INDIRECT("'"&amp;$A105&amp;"'!I3")</f>
        <v>18</v>
      </c>
      <c r="F105" s="52">
        <f t="array" aca="1" ref="F105" ca="1">INDIRECT("'"&amp;$A105&amp;"'!C11")</f>
        <v>0</v>
      </c>
      <c r="G105" s="3">
        <f t="array" aca="1" ref="G105" ca="1">INDIRECT("'"&amp;$A105&amp;"'!D11")</f>
        <v>0</v>
      </c>
      <c r="H105" s="3">
        <f t="array" aca="1" ref="H105" ca="1">INDIRECT("'"&amp;$A105&amp;"'!E11")</f>
        <v>0</v>
      </c>
      <c r="I105" s="3">
        <f t="array" aca="1" ref="I105" ca="1">INDIRECT("'"&amp;$A105&amp;"'!F11")</f>
        <v>0</v>
      </c>
      <c r="J105" s="3">
        <f t="array" aca="1" ref="J105" ca="1">INDIRECT("'"&amp;$A105&amp;"'!G11")</f>
        <v>0</v>
      </c>
      <c r="K105" s="3">
        <f t="array" aca="1" ref="K105" ca="1">INDIRECT("'"&amp;$A105&amp;"'!H11")</f>
        <v>0</v>
      </c>
      <c r="L105" s="3">
        <f t="array" aca="1" ref="L105" ca="1">INDIRECT("'"&amp;$A105&amp;"'!I11")</f>
        <v>0</v>
      </c>
      <c r="M105" s="3">
        <f t="array" aca="1" ref="M105" ca="1">INDIRECT("'"&amp;$A105&amp;"'!J11")</f>
        <v>0</v>
      </c>
      <c r="N105" s="3">
        <f t="array" aca="1" ref="N105" ca="1">INDIRECT("'"&amp;$A105&amp;"'!K11")</f>
        <v>0</v>
      </c>
      <c r="O105" s="3">
        <f t="array" aca="1" ref="O105" ca="1">INDIRECT("'"&amp;$A105&amp;"'!L11")</f>
        <v>0</v>
      </c>
      <c r="P105" s="3">
        <f t="array" aca="1" ref="P105" ca="1">INDIRECT("'"&amp;$A105&amp;"'!M11")</f>
        <v>0</v>
      </c>
      <c r="Q105" s="3">
        <f t="array" aca="1" ref="Q105" ca="1">INDIRECT("'"&amp;$A105&amp;"'!N11")</f>
        <v>0</v>
      </c>
      <c r="R105" s="3">
        <f t="array" aca="1" ref="R105" ca="1">INDIRECT("'"&amp;$A105&amp;"'!O11")</f>
        <v>0</v>
      </c>
      <c r="S105" s="3">
        <f t="array" aca="1" ref="S105" ca="1">INDIRECT("'"&amp;$A105&amp;"'!P11")</f>
        <v>0</v>
      </c>
      <c r="T105" s="3">
        <f t="array" aca="1" ref="T105" ca="1">INDIRECT("'"&amp;$A105&amp;"'!Q11")</f>
        <v>0</v>
      </c>
      <c r="U105" s="3">
        <f t="array" aca="1" ref="U105" ca="1">INDIRECT("'"&amp;$A105&amp;"'!R11")</f>
        <v>0</v>
      </c>
      <c r="V105" s="3">
        <f t="array" aca="1" ref="V105" ca="1">INDIRECT("'"&amp;$A105&amp;"'!S11")</f>
        <v>0</v>
      </c>
      <c r="W105" s="3">
        <f t="array" aca="1" ref="W105" ca="1">INDIRECT("'"&amp;$A105&amp;"'!T11")</f>
        <v>0</v>
      </c>
      <c r="X105" s="3">
        <f t="array" aca="1" ref="X105" ca="1">INDIRECT("'"&amp;$A105&amp;"'!U11")</f>
        <v>0</v>
      </c>
      <c r="Y105" s="3">
        <f t="array" aca="1" ref="Y105" ca="1">INDIRECT("'"&amp;$A105&amp;"'!V11")</f>
        <v>0</v>
      </c>
      <c r="Z105" s="3">
        <f t="array" aca="1" ref="Z105" ca="1">INDIRECT("'"&amp;$A105&amp;"'!W11")</f>
        <v>0</v>
      </c>
      <c r="AA105" s="3">
        <f t="array" aca="1" ref="AA105" ca="1">INDIRECT("'"&amp;$A105&amp;"'!X11")</f>
        <v>0</v>
      </c>
      <c r="AB105" s="3">
        <f t="array" aca="1" ref="AB105" ca="1">INDIRECT("'"&amp;$A105&amp;"'!Y11")</f>
        <v>0</v>
      </c>
      <c r="AC105" s="3">
        <f t="array" aca="1" ref="AC105" ca="1">INDIRECT("'"&amp;$A105&amp;"'!Z11")</f>
        <v>0</v>
      </c>
      <c r="AD105" s="32">
        <f t="array" aca="1" ref="AD105" ca="1">INDIRECT("'"&amp;$A105&amp;"'!AA11")</f>
        <v>0</v>
      </c>
      <c r="AE105" s="82">
        <f t="array" aca="1" ref="AE105" ca="1">INDIRECT("'"&amp;$A105&amp;"'!J3")</f>
        <v>0</v>
      </c>
      <c r="AF105" s="53" t="str">
        <f t="array" aca="1" ref="AF105" ca="1">INDIRECT("'"&amp;$A105&amp;"'!AC1")</f>
        <v/>
      </c>
    </row>
    <row r="106" spans="1:32" ht="15.75" customHeight="1" thickBot="1">
      <c r="A106" s="58">
        <v>35</v>
      </c>
      <c r="B106" s="107"/>
      <c r="C106" s="77" t="str">
        <f t="array" aca="1" ref="C106" ca="1">CONCATENATE("分 ",INDIRECT("'"&amp;$A105&amp;"'!D6"))</f>
        <v>分 0</v>
      </c>
      <c r="D106" s="56" t="s">
        <v>8</v>
      </c>
      <c r="E106" s="83">
        <f t="array" aca="1" ref="E106" ca="1">INDIRECT("'"&amp;$A105&amp;"'!I4")</f>
        <v>18</v>
      </c>
      <c r="F106" s="52">
        <f t="array" aca="1" ref="F106" ca="1">INDIRECT("'"&amp;$A106&amp;"'!C14")</f>
        <v>0</v>
      </c>
      <c r="G106" s="3">
        <f t="array" aca="1" ref="G106" ca="1">INDIRECT("'"&amp;$A106&amp;"'!D14")</f>
        <v>0</v>
      </c>
      <c r="H106" s="3">
        <f t="array" aca="1" ref="H106" ca="1">INDIRECT("'"&amp;$A106&amp;"'!E14")</f>
        <v>0</v>
      </c>
      <c r="I106" s="3">
        <f t="array" aca="1" ref="I106" ca="1">INDIRECT("'"&amp;$A106&amp;"'!F14")</f>
        <v>0</v>
      </c>
      <c r="J106" s="3">
        <f t="array" aca="1" ref="J106" ca="1">INDIRECT("'"&amp;$A106&amp;"'!G14")</f>
        <v>0</v>
      </c>
      <c r="K106" s="3">
        <f t="array" aca="1" ref="K106" ca="1">INDIRECT("'"&amp;$A106&amp;"'!H14")</f>
        <v>0</v>
      </c>
      <c r="L106" s="3">
        <f t="array" aca="1" ref="L106" ca="1">INDIRECT("'"&amp;$A106&amp;"'!I14")</f>
        <v>0</v>
      </c>
      <c r="M106" s="3">
        <f t="array" aca="1" ref="M106" ca="1">INDIRECT("'"&amp;$A106&amp;"'!J14")</f>
        <v>0</v>
      </c>
      <c r="N106" s="3">
        <f t="array" aca="1" ref="N106" ca="1">INDIRECT("'"&amp;$A106&amp;"'!K14")</f>
        <v>0</v>
      </c>
      <c r="O106" s="3">
        <f t="array" aca="1" ref="O106" ca="1">INDIRECT("'"&amp;$A106&amp;"'!L14")</f>
        <v>0</v>
      </c>
      <c r="P106" s="3">
        <f t="array" aca="1" ref="P106" ca="1">INDIRECT("'"&amp;$A106&amp;"'!M14")</f>
        <v>0</v>
      </c>
      <c r="Q106" s="3">
        <f t="array" aca="1" ref="Q106" ca="1">INDIRECT("'"&amp;$A106&amp;"'!N14")</f>
        <v>0</v>
      </c>
      <c r="R106" s="3">
        <f t="array" aca="1" ref="R106" ca="1">INDIRECT("'"&amp;$A106&amp;"'!O14")</f>
        <v>0</v>
      </c>
      <c r="S106" s="3">
        <f t="array" aca="1" ref="S106" ca="1">INDIRECT("'"&amp;$A106&amp;"'!P14")</f>
        <v>0</v>
      </c>
      <c r="T106" s="3">
        <f t="array" aca="1" ref="T106" ca="1">INDIRECT("'"&amp;$A106&amp;"'!Q14")</f>
        <v>0</v>
      </c>
      <c r="U106" s="3">
        <f t="array" aca="1" ref="U106" ca="1">INDIRECT("'"&amp;$A106&amp;"'!R14")</f>
        <v>0</v>
      </c>
      <c r="V106" s="3">
        <f t="array" aca="1" ref="V106" ca="1">INDIRECT("'"&amp;$A106&amp;"'!S14")</f>
        <v>0</v>
      </c>
      <c r="W106" s="3">
        <f t="array" aca="1" ref="W106" ca="1">INDIRECT("'"&amp;$A106&amp;"'!T14")</f>
        <v>0</v>
      </c>
      <c r="X106" s="3">
        <f t="array" aca="1" ref="X106" ca="1">INDIRECT("'"&amp;$A106&amp;"'!U14")</f>
        <v>0</v>
      </c>
      <c r="Y106" s="3">
        <f t="array" aca="1" ref="Y106" ca="1">INDIRECT("'"&amp;$A106&amp;"'!V14")</f>
        <v>0</v>
      </c>
      <c r="Z106" s="3">
        <f t="array" aca="1" ref="Z106" ca="1">INDIRECT("'"&amp;$A106&amp;"'!W14")</f>
        <v>0</v>
      </c>
      <c r="AA106" s="3">
        <f t="array" aca="1" ref="AA106" ca="1">INDIRECT("'"&amp;$A106&amp;"'!X14")</f>
        <v>0</v>
      </c>
      <c r="AB106" s="3">
        <f t="array" aca="1" ref="AB106" ca="1">INDIRECT("'"&amp;$A106&amp;"'!Y14")</f>
        <v>0</v>
      </c>
      <c r="AC106" s="3">
        <f t="array" aca="1" ref="AC106" ca="1">INDIRECT("'"&amp;$A106&amp;"'!Z14")</f>
        <v>0</v>
      </c>
      <c r="AD106" s="32">
        <f t="array" aca="1" ref="AD106" ca="1">INDIRECT("'"&amp;$A106&amp;"'!AA14")</f>
        <v>0</v>
      </c>
      <c r="AE106" s="83">
        <f t="array" aca="1" ref="AE106" ca="1">INDIRECT("'"&amp;$A105&amp;"'!J4")</f>
        <v>0</v>
      </c>
      <c r="AF106" s="53"/>
    </row>
    <row r="107" spans="1:32">
      <c r="A107" s="58">
        <v>36</v>
      </c>
      <c r="B107" s="105">
        <f>INDEX(data!$I$2:$I$91,MATCH(A107*1,data!$G$2:$G$91,0))</f>
        <v>46220</v>
      </c>
      <c r="C107" s="66" t="str">
        <f>HYPERLINK("#'" &amp; A107 &amp; "'!A1", "编辑")</f>
        <v>编辑</v>
      </c>
      <c r="D107" s="54" t="s">
        <v>6</v>
      </c>
      <c r="E107" s="81">
        <f t="array" aca="1" ref="E107" ca="1">INDIRECT("'"&amp;$A108&amp;"'!I2")</f>
        <v>18</v>
      </c>
      <c r="F107" s="29">
        <f t="array" aca="1" ref="F107" ca="1">INDIRECT("'"&amp;$A107&amp;"'!C8")</f>
        <v>0</v>
      </c>
      <c r="G107" s="30">
        <f t="array" aca="1" ref="G107" ca="1">INDIRECT("'"&amp;$A107&amp;"'!D8")</f>
        <v>0</v>
      </c>
      <c r="H107" s="30">
        <f t="array" aca="1" ref="H107" ca="1">INDIRECT("'"&amp;$A107&amp;"'!E8")</f>
        <v>0</v>
      </c>
      <c r="I107" s="30">
        <f t="array" aca="1" ref="I107" ca="1">INDIRECT("'"&amp;$A107&amp;"'!F8")</f>
        <v>0</v>
      </c>
      <c r="J107" s="30">
        <f t="array" aca="1" ref="J107" ca="1">INDIRECT("'"&amp;$A107&amp;"'!G8")</f>
        <v>0</v>
      </c>
      <c r="K107" s="30">
        <f t="array" aca="1" ref="K107" ca="1">INDIRECT("'"&amp;$A107&amp;"'!H8")</f>
        <v>0</v>
      </c>
      <c r="L107" s="30">
        <f t="array" aca="1" ref="L107" ca="1">INDIRECT("'"&amp;$A107&amp;"'!I8")</f>
        <v>0</v>
      </c>
      <c r="M107" s="30">
        <f t="array" aca="1" ref="M107" ca="1">INDIRECT("'"&amp;$A107&amp;"'!J8")</f>
        <v>0</v>
      </c>
      <c r="N107" s="30">
        <f t="array" aca="1" ref="N107" ca="1">INDIRECT("'"&amp;$A107&amp;"'!K8")</f>
        <v>0</v>
      </c>
      <c r="O107" s="30">
        <f t="array" aca="1" ref="O107" ca="1">INDIRECT("'"&amp;$A107&amp;"'!L8")</f>
        <v>0</v>
      </c>
      <c r="P107" s="30">
        <f t="array" aca="1" ref="P107" ca="1">INDIRECT("'"&amp;$A107&amp;"'!M8")</f>
        <v>0</v>
      </c>
      <c r="Q107" s="30">
        <f t="array" aca="1" ref="Q107" ca="1">INDIRECT("'"&amp;$A107&amp;"'!N8")</f>
        <v>0</v>
      </c>
      <c r="R107" s="30">
        <f t="array" aca="1" ref="R107" ca="1">INDIRECT("'"&amp;$A107&amp;"'!O8")</f>
        <v>0</v>
      </c>
      <c r="S107" s="30">
        <f t="array" aca="1" ref="S107" ca="1">INDIRECT("'"&amp;$A107&amp;"'!P8")</f>
        <v>0</v>
      </c>
      <c r="T107" s="30">
        <f t="array" aca="1" ref="T107" ca="1">INDIRECT("'"&amp;$A107&amp;"'!Q8")</f>
        <v>0</v>
      </c>
      <c r="U107" s="30">
        <f t="array" aca="1" ref="U107" ca="1">INDIRECT("'"&amp;$A107&amp;"'!R8")</f>
        <v>0</v>
      </c>
      <c r="V107" s="30">
        <f t="array" aca="1" ref="V107" ca="1">INDIRECT("'"&amp;$A107&amp;"'!S8")</f>
        <v>0</v>
      </c>
      <c r="W107" s="30">
        <f t="array" aca="1" ref="W107" ca="1">INDIRECT("'"&amp;$A107&amp;"'!T8")</f>
        <v>0</v>
      </c>
      <c r="X107" s="30">
        <f t="array" aca="1" ref="X107" ca="1">INDIRECT("'"&amp;$A107&amp;"'!U8")</f>
        <v>0</v>
      </c>
      <c r="Y107" s="30">
        <f t="array" aca="1" ref="Y107" ca="1">INDIRECT("'"&amp;$A107&amp;"'!V8")</f>
        <v>0</v>
      </c>
      <c r="Z107" s="30">
        <f t="array" aca="1" ref="Z107" ca="1">INDIRECT("'"&amp;$A107&amp;"'!W8")</f>
        <v>0</v>
      </c>
      <c r="AA107" s="30">
        <f t="array" aca="1" ref="AA107" ca="1">INDIRECT("'"&amp;$A107&amp;"'!X8")</f>
        <v>0</v>
      </c>
      <c r="AB107" s="30">
        <f t="array" aca="1" ref="AB107" ca="1">INDIRECT("'"&amp;$A107&amp;"'!Y8")</f>
        <v>0</v>
      </c>
      <c r="AC107" s="30">
        <f t="array" aca="1" ref="AC107" ca="1">INDIRECT("'"&amp;$A107&amp;"'!Z8")</f>
        <v>0</v>
      </c>
      <c r="AD107" s="31">
        <f t="array" aca="1" ref="AD107" ca="1">INDIRECT("'"&amp;$A107&amp;"'!AA8")</f>
        <v>0</v>
      </c>
      <c r="AE107" s="81">
        <f t="array" aca="1" ref="AE107" ca="1">INDIRECT("'"&amp;$A108&amp;"'!J2")</f>
        <v>0</v>
      </c>
      <c r="AF107" s="53" t="str">
        <f t="array" aca="1" ref="AF107" ca="1">INDIRECT("'"&amp;$A108&amp;"'!AD1")</f>
        <v/>
      </c>
    </row>
    <row r="108" spans="1:32">
      <c r="A108" s="58">
        <v>36</v>
      </c>
      <c r="B108" s="106"/>
      <c r="C108" s="67" t="str">
        <f t="array" aca="1" ref="C108" ca="1">CONCATENATE("粮 ",INDIRECT("'"&amp;$A108&amp;"'!D4"))</f>
        <v>粮 62800</v>
      </c>
      <c r="D108" s="55" t="s">
        <v>7</v>
      </c>
      <c r="E108" s="82">
        <f t="array" aca="1" ref="E108" ca="1">INDIRECT("'"&amp;$A108&amp;"'!I3")</f>
        <v>18</v>
      </c>
      <c r="F108" s="52">
        <f t="array" aca="1" ref="F108" ca="1">INDIRECT("'"&amp;$A108&amp;"'!C11")</f>
        <v>0</v>
      </c>
      <c r="G108" s="3">
        <f t="array" aca="1" ref="G108" ca="1">INDIRECT("'"&amp;$A108&amp;"'!D11")</f>
        <v>0</v>
      </c>
      <c r="H108" s="3">
        <f t="array" aca="1" ref="H108" ca="1">INDIRECT("'"&amp;$A108&amp;"'!E11")</f>
        <v>0</v>
      </c>
      <c r="I108" s="3">
        <f t="array" aca="1" ref="I108" ca="1">INDIRECT("'"&amp;$A108&amp;"'!F11")</f>
        <v>0</v>
      </c>
      <c r="J108" s="3">
        <f t="array" aca="1" ref="J108" ca="1">INDIRECT("'"&amp;$A108&amp;"'!G11")</f>
        <v>0</v>
      </c>
      <c r="K108" s="3">
        <f t="array" aca="1" ref="K108" ca="1">INDIRECT("'"&amp;$A108&amp;"'!H11")</f>
        <v>0</v>
      </c>
      <c r="L108" s="3">
        <f t="array" aca="1" ref="L108" ca="1">INDIRECT("'"&amp;$A108&amp;"'!I11")</f>
        <v>0</v>
      </c>
      <c r="M108" s="3">
        <f t="array" aca="1" ref="M108" ca="1">INDIRECT("'"&amp;$A108&amp;"'!J11")</f>
        <v>0</v>
      </c>
      <c r="N108" s="3">
        <f t="array" aca="1" ref="N108" ca="1">INDIRECT("'"&amp;$A108&amp;"'!K11")</f>
        <v>0</v>
      </c>
      <c r="O108" s="3">
        <f t="array" aca="1" ref="O108" ca="1">INDIRECT("'"&amp;$A108&amp;"'!L11")</f>
        <v>0</v>
      </c>
      <c r="P108" s="3">
        <f t="array" aca="1" ref="P108" ca="1">INDIRECT("'"&amp;$A108&amp;"'!M11")</f>
        <v>0</v>
      </c>
      <c r="Q108" s="3">
        <f t="array" aca="1" ref="Q108" ca="1">INDIRECT("'"&amp;$A108&amp;"'!N11")</f>
        <v>0</v>
      </c>
      <c r="R108" s="3">
        <f t="array" aca="1" ref="R108" ca="1">INDIRECT("'"&amp;$A108&amp;"'!O11")</f>
        <v>0</v>
      </c>
      <c r="S108" s="3">
        <f t="array" aca="1" ref="S108" ca="1">INDIRECT("'"&amp;$A108&amp;"'!P11")</f>
        <v>0</v>
      </c>
      <c r="T108" s="3">
        <f t="array" aca="1" ref="T108" ca="1">INDIRECT("'"&amp;$A108&amp;"'!Q11")</f>
        <v>0</v>
      </c>
      <c r="U108" s="3">
        <f t="array" aca="1" ref="U108" ca="1">INDIRECT("'"&amp;$A108&amp;"'!R11")</f>
        <v>0</v>
      </c>
      <c r="V108" s="3">
        <f t="array" aca="1" ref="V108" ca="1">INDIRECT("'"&amp;$A108&amp;"'!S11")</f>
        <v>0</v>
      </c>
      <c r="W108" s="3">
        <f t="array" aca="1" ref="W108" ca="1">INDIRECT("'"&amp;$A108&amp;"'!T11")</f>
        <v>0</v>
      </c>
      <c r="X108" s="3">
        <f t="array" aca="1" ref="X108" ca="1">INDIRECT("'"&amp;$A108&amp;"'!U11")</f>
        <v>0</v>
      </c>
      <c r="Y108" s="3">
        <f t="array" aca="1" ref="Y108" ca="1">INDIRECT("'"&amp;$A108&amp;"'!V11")</f>
        <v>0</v>
      </c>
      <c r="Z108" s="3">
        <f t="array" aca="1" ref="Z108" ca="1">INDIRECT("'"&amp;$A108&amp;"'!W11")</f>
        <v>0</v>
      </c>
      <c r="AA108" s="3">
        <f t="array" aca="1" ref="AA108" ca="1">INDIRECT("'"&amp;$A108&amp;"'!X11")</f>
        <v>0</v>
      </c>
      <c r="AB108" s="3">
        <f t="array" aca="1" ref="AB108" ca="1">INDIRECT("'"&amp;$A108&amp;"'!Y11")</f>
        <v>0</v>
      </c>
      <c r="AC108" s="3">
        <f t="array" aca="1" ref="AC108" ca="1">INDIRECT("'"&amp;$A108&amp;"'!Z11")</f>
        <v>0</v>
      </c>
      <c r="AD108" s="32">
        <f t="array" aca="1" ref="AD108" ca="1">INDIRECT("'"&amp;$A108&amp;"'!AA11")</f>
        <v>0</v>
      </c>
      <c r="AE108" s="82">
        <f t="array" aca="1" ref="AE108" ca="1">INDIRECT("'"&amp;$A108&amp;"'!J3")</f>
        <v>0</v>
      </c>
      <c r="AF108" s="53" t="str">
        <f t="array" aca="1" ref="AF108" ca="1">INDIRECT("'"&amp;$A108&amp;"'!AC1")</f>
        <v/>
      </c>
    </row>
    <row r="109" spans="1:32" ht="15.75" customHeight="1" thickBot="1">
      <c r="A109" s="58">
        <v>36</v>
      </c>
      <c r="B109" s="107"/>
      <c r="C109" s="77" t="str">
        <f t="array" aca="1" ref="C109" ca="1">CONCATENATE("分 ",INDIRECT("'"&amp;$A108&amp;"'!D6"))</f>
        <v>分 0</v>
      </c>
      <c r="D109" s="56" t="s">
        <v>8</v>
      </c>
      <c r="E109" s="83">
        <f t="array" aca="1" ref="E109" ca="1">INDIRECT("'"&amp;$A108&amp;"'!I4")</f>
        <v>18</v>
      </c>
      <c r="F109" s="52">
        <f t="array" aca="1" ref="F109" ca="1">INDIRECT("'"&amp;$A109&amp;"'!C14")</f>
        <v>0</v>
      </c>
      <c r="G109" s="3">
        <f t="array" aca="1" ref="G109" ca="1">INDIRECT("'"&amp;$A109&amp;"'!D14")</f>
        <v>0</v>
      </c>
      <c r="H109" s="3">
        <f t="array" aca="1" ref="H109" ca="1">INDIRECT("'"&amp;$A109&amp;"'!E14")</f>
        <v>0</v>
      </c>
      <c r="I109" s="3">
        <f t="array" aca="1" ref="I109" ca="1">INDIRECT("'"&amp;$A109&amp;"'!F14")</f>
        <v>0</v>
      </c>
      <c r="J109" s="3">
        <f t="array" aca="1" ref="J109" ca="1">INDIRECT("'"&amp;$A109&amp;"'!G14")</f>
        <v>0</v>
      </c>
      <c r="K109" s="3">
        <f t="array" aca="1" ref="K109" ca="1">INDIRECT("'"&amp;$A109&amp;"'!H14")</f>
        <v>0</v>
      </c>
      <c r="L109" s="3">
        <f t="array" aca="1" ref="L109" ca="1">INDIRECT("'"&amp;$A109&amp;"'!I14")</f>
        <v>0</v>
      </c>
      <c r="M109" s="3">
        <f t="array" aca="1" ref="M109" ca="1">INDIRECT("'"&amp;$A109&amp;"'!J14")</f>
        <v>0</v>
      </c>
      <c r="N109" s="3">
        <f t="array" aca="1" ref="N109" ca="1">INDIRECT("'"&amp;$A109&amp;"'!K14")</f>
        <v>0</v>
      </c>
      <c r="O109" s="3">
        <f t="array" aca="1" ref="O109" ca="1">INDIRECT("'"&amp;$A109&amp;"'!L14")</f>
        <v>0</v>
      </c>
      <c r="P109" s="3">
        <f t="array" aca="1" ref="P109" ca="1">INDIRECT("'"&amp;$A109&amp;"'!M14")</f>
        <v>0</v>
      </c>
      <c r="Q109" s="3">
        <f t="array" aca="1" ref="Q109" ca="1">INDIRECT("'"&amp;$A109&amp;"'!N14")</f>
        <v>0</v>
      </c>
      <c r="R109" s="3">
        <f t="array" aca="1" ref="R109" ca="1">INDIRECT("'"&amp;$A109&amp;"'!O14")</f>
        <v>0</v>
      </c>
      <c r="S109" s="3">
        <f t="array" aca="1" ref="S109" ca="1">INDIRECT("'"&amp;$A109&amp;"'!P14")</f>
        <v>0</v>
      </c>
      <c r="T109" s="3">
        <f t="array" aca="1" ref="T109" ca="1">INDIRECT("'"&amp;$A109&amp;"'!Q14")</f>
        <v>0</v>
      </c>
      <c r="U109" s="3">
        <f t="array" aca="1" ref="U109" ca="1">INDIRECT("'"&amp;$A109&amp;"'!R14")</f>
        <v>0</v>
      </c>
      <c r="V109" s="3">
        <f t="array" aca="1" ref="V109" ca="1">INDIRECT("'"&amp;$A109&amp;"'!S14")</f>
        <v>0</v>
      </c>
      <c r="W109" s="3">
        <f t="array" aca="1" ref="W109" ca="1">INDIRECT("'"&amp;$A109&amp;"'!T14")</f>
        <v>0</v>
      </c>
      <c r="X109" s="3">
        <f t="array" aca="1" ref="X109" ca="1">INDIRECT("'"&amp;$A109&amp;"'!U14")</f>
        <v>0</v>
      </c>
      <c r="Y109" s="3">
        <f t="array" aca="1" ref="Y109" ca="1">INDIRECT("'"&amp;$A109&amp;"'!V14")</f>
        <v>0</v>
      </c>
      <c r="Z109" s="3">
        <f t="array" aca="1" ref="Z109" ca="1">INDIRECT("'"&amp;$A109&amp;"'!W14")</f>
        <v>0</v>
      </c>
      <c r="AA109" s="3">
        <f t="array" aca="1" ref="AA109" ca="1">INDIRECT("'"&amp;$A109&amp;"'!X14")</f>
        <v>0</v>
      </c>
      <c r="AB109" s="3">
        <f t="array" aca="1" ref="AB109" ca="1">INDIRECT("'"&amp;$A109&amp;"'!Y14")</f>
        <v>0</v>
      </c>
      <c r="AC109" s="3">
        <f t="array" aca="1" ref="AC109" ca="1">INDIRECT("'"&amp;$A109&amp;"'!Z14")</f>
        <v>0</v>
      </c>
      <c r="AD109" s="32">
        <f t="array" aca="1" ref="AD109" ca="1">INDIRECT("'"&amp;$A109&amp;"'!AA14")</f>
        <v>0</v>
      </c>
      <c r="AE109" s="83">
        <f t="array" aca="1" ref="AE109" ca="1">INDIRECT("'"&amp;$A108&amp;"'!J4")</f>
        <v>0</v>
      </c>
      <c r="AF109" s="53"/>
    </row>
    <row r="110" spans="1:32">
      <c r="A110" s="58">
        <v>37</v>
      </c>
      <c r="B110" s="105">
        <f>INDEX(data!$I$2:$I$91,MATCH(A110*1,data!$G$2:$G$91,0))</f>
        <v>46221</v>
      </c>
      <c r="C110" s="66" t="str">
        <f>HYPERLINK("#'" &amp; A110 &amp; "'!A1", "编辑")</f>
        <v>编辑</v>
      </c>
      <c r="D110" s="54" t="s">
        <v>6</v>
      </c>
      <c r="E110" s="81">
        <f t="array" aca="1" ref="E110" ca="1">INDIRECT("'"&amp;$A111&amp;"'!I2")</f>
        <v>18</v>
      </c>
      <c r="F110" s="29">
        <f t="array" aca="1" ref="F110" ca="1">INDIRECT("'"&amp;$A110&amp;"'!C8")</f>
        <v>0</v>
      </c>
      <c r="G110" s="30">
        <f t="array" aca="1" ref="G110" ca="1">INDIRECT("'"&amp;$A110&amp;"'!D8")</f>
        <v>0</v>
      </c>
      <c r="H110" s="30">
        <f t="array" aca="1" ref="H110" ca="1">INDIRECT("'"&amp;$A110&amp;"'!E8")</f>
        <v>0</v>
      </c>
      <c r="I110" s="30">
        <f t="array" aca="1" ref="I110" ca="1">INDIRECT("'"&amp;$A110&amp;"'!F8")</f>
        <v>0</v>
      </c>
      <c r="J110" s="30">
        <f t="array" aca="1" ref="J110" ca="1">INDIRECT("'"&amp;$A110&amp;"'!G8")</f>
        <v>0</v>
      </c>
      <c r="K110" s="30">
        <f t="array" aca="1" ref="K110" ca="1">INDIRECT("'"&amp;$A110&amp;"'!H8")</f>
        <v>0</v>
      </c>
      <c r="L110" s="30">
        <f t="array" aca="1" ref="L110" ca="1">INDIRECT("'"&amp;$A110&amp;"'!I8")</f>
        <v>0</v>
      </c>
      <c r="M110" s="30">
        <f t="array" aca="1" ref="M110" ca="1">INDIRECT("'"&amp;$A110&amp;"'!J8")</f>
        <v>0</v>
      </c>
      <c r="N110" s="30">
        <f t="array" aca="1" ref="N110" ca="1">INDIRECT("'"&amp;$A110&amp;"'!K8")</f>
        <v>0</v>
      </c>
      <c r="O110" s="30">
        <f t="array" aca="1" ref="O110" ca="1">INDIRECT("'"&amp;$A110&amp;"'!L8")</f>
        <v>0</v>
      </c>
      <c r="P110" s="30">
        <f t="array" aca="1" ref="P110" ca="1">INDIRECT("'"&amp;$A110&amp;"'!M8")</f>
        <v>0</v>
      </c>
      <c r="Q110" s="30">
        <f t="array" aca="1" ref="Q110" ca="1">INDIRECT("'"&amp;$A110&amp;"'!N8")</f>
        <v>0</v>
      </c>
      <c r="R110" s="30">
        <f t="array" aca="1" ref="R110" ca="1">INDIRECT("'"&amp;$A110&amp;"'!O8")</f>
        <v>0</v>
      </c>
      <c r="S110" s="30">
        <f t="array" aca="1" ref="S110" ca="1">INDIRECT("'"&amp;$A110&amp;"'!P8")</f>
        <v>0</v>
      </c>
      <c r="T110" s="30">
        <f t="array" aca="1" ref="T110" ca="1">INDIRECT("'"&amp;$A110&amp;"'!Q8")</f>
        <v>0</v>
      </c>
      <c r="U110" s="30">
        <f t="array" aca="1" ref="U110" ca="1">INDIRECT("'"&amp;$A110&amp;"'!R8")</f>
        <v>0</v>
      </c>
      <c r="V110" s="30">
        <f t="array" aca="1" ref="V110" ca="1">INDIRECT("'"&amp;$A110&amp;"'!S8")</f>
        <v>0</v>
      </c>
      <c r="W110" s="30">
        <f t="array" aca="1" ref="W110" ca="1">INDIRECT("'"&amp;$A110&amp;"'!T8")</f>
        <v>0</v>
      </c>
      <c r="X110" s="30">
        <f t="array" aca="1" ref="X110" ca="1">INDIRECT("'"&amp;$A110&amp;"'!U8")</f>
        <v>0</v>
      </c>
      <c r="Y110" s="30">
        <f t="array" aca="1" ref="Y110" ca="1">INDIRECT("'"&amp;$A110&amp;"'!V8")</f>
        <v>0</v>
      </c>
      <c r="Z110" s="30">
        <f t="array" aca="1" ref="Z110" ca="1">INDIRECT("'"&amp;$A110&amp;"'!W8")</f>
        <v>0</v>
      </c>
      <c r="AA110" s="30">
        <f t="array" aca="1" ref="AA110" ca="1">INDIRECT("'"&amp;$A110&amp;"'!X8")</f>
        <v>0</v>
      </c>
      <c r="AB110" s="30">
        <f t="array" aca="1" ref="AB110" ca="1">INDIRECT("'"&amp;$A110&amp;"'!Y8")</f>
        <v>0</v>
      </c>
      <c r="AC110" s="30">
        <f t="array" aca="1" ref="AC110" ca="1">INDIRECT("'"&amp;$A110&amp;"'!Z8")</f>
        <v>0</v>
      </c>
      <c r="AD110" s="31">
        <f t="array" aca="1" ref="AD110" ca="1">INDIRECT("'"&amp;$A110&amp;"'!AA8")</f>
        <v>0</v>
      </c>
      <c r="AE110" s="81">
        <f t="array" aca="1" ref="AE110" ca="1">INDIRECT("'"&amp;$A111&amp;"'!J2")</f>
        <v>0</v>
      </c>
      <c r="AF110" s="53" t="str">
        <f t="array" aca="1" ref="AF110" ca="1">INDIRECT("'"&amp;$A111&amp;"'!AD1")</f>
        <v/>
      </c>
    </row>
    <row r="111" spans="1:32">
      <c r="A111" s="58">
        <v>37</v>
      </c>
      <c r="B111" s="106"/>
      <c r="C111" s="67" t="str">
        <f t="array" aca="1" ref="C111" ca="1">CONCATENATE("粮 ",INDIRECT("'"&amp;$A111&amp;"'!D4"))</f>
        <v>粮 64400</v>
      </c>
      <c r="D111" s="55" t="s">
        <v>7</v>
      </c>
      <c r="E111" s="82">
        <f t="array" aca="1" ref="E111" ca="1">INDIRECT("'"&amp;$A111&amp;"'!I3")</f>
        <v>18</v>
      </c>
      <c r="F111" s="52">
        <f t="array" aca="1" ref="F111" ca="1">INDIRECT("'"&amp;$A111&amp;"'!C11")</f>
        <v>0</v>
      </c>
      <c r="G111" s="3">
        <f t="array" aca="1" ref="G111" ca="1">INDIRECT("'"&amp;$A111&amp;"'!D11")</f>
        <v>0</v>
      </c>
      <c r="H111" s="3">
        <f t="array" aca="1" ref="H111" ca="1">INDIRECT("'"&amp;$A111&amp;"'!E11")</f>
        <v>0</v>
      </c>
      <c r="I111" s="3">
        <f t="array" aca="1" ref="I111" ca="1">INDIRECT("'"&amp;$A111&amp;"'!F11")</f>
        <v>0</v>
      </c>
      <c r="J111" s="3">
        <f t="array" aca="1" ref="J111" ca="1">INDIRECT("'"&amp;$A111&amp;"'!G11")</f>
        <v>0</v>
      </c>
      <c r="K111" s="3">
        <f t="array" aca="1" ref="K111" ca="1">INDIRECT("'"&amp;$A111&amp;"'!H11")</f>
        <v>0</v>
      </c>
      <c r="L111" s="3">
        <f t="array" aca="1" ref="L111" ca="1">INDIRECT("'"&amp;$A111&amp;"'!I11")</f>
        <v>0</v>
      </c>
      <c r="M111" s="3">
        <f t="array" aca="1" ref="M111" ca="1">INDIRECT("'"&amp;$A111&amp;"'!J11")</f>
        <v>0</v>
      </c>
      <c r="N111" s="3">
        <f t="array" aca="1" ref="N111" ca="1">INDIRECT("'"&amp;$A111&amp;"'!K11")</f>
        <v>0</v>
      </c>
      <c r="O111" s="3">
        <f t="array" aca="1" ref="O111" ca="1">INDIRECT("'"&amp;$A111&amp;"'!L11")</f>
        <v>0</v>
      </c>
      <c r="P111" s="3">
        <f t="array" aca="1" ref="P111" ca="1">INDIRECT("'"&amp;$A111&amp;"'!M11")</f>
        <v>0</v>
      </c>
      <c r="Q111" s="3">
        <f t="array" aca="1" ref="Q111" ca="1">INDIRECT("'"&amp;$A111&amp;"'!N11")</f>
        <v>0</v>
      </c>
      <c r="R111" s="3">
        <f t="array" aca="1" ref="R111" ca="1">INDIRECT("'"&amp;$A111&amp;"'!O11")</f>
        <v>0</v>
      </c>
      <c r="S111" s="3">
        <f t="array" aca="1" ref="S111" ca="1">INDIRECT("'"&amp;$A111&amp;"'!P11")</f>
        <v>0</v>
      </c>
      <c r="T111" s="3">
        <f t="array" aca="1" ref="T111" ca="1">INDIRECT("'"&amp;$A111&amp;"'!Q11")</f>
        <v>0</v>
      </c>
      <c r="U111" s="3">
        <f t="array" aca="1" ref="U111" ca="1">INDIRECT("'"&amp;$A111&amp;"'!R11")</f>
        <v>0</v>
      </c>
      <c r="V111" s="3">
        <f t="array" aca="1" ref="V111" ca="1">INDIRECT("'"&amp;$A111&amp;"'!S11")</f>
        <v>0</v>
      </c>
      <c r="W111" s="3">
        <f t="array" aca="1" ref="W111" ca="1">INDIRECT("'"&amp;$A111&amp;"'!T11")</f>
        <v>0</v>
      </c>
      <c r="X111" s="3">
        <f t="array" aca="1" ref="X111" ca="1">INDIRECT("'"&amp;$A111&amp;"'!U11")</f>
        <v>0</v>
      </c>
      <c r="Y111" s="3">
        <f t="array" aca="1" ref="Y111" ca="1">INDIRECT("'"&amp;$A111&amp;"'!V11")</f>
        <v>0</v>
      </c>
      <c r="Z111" s="3">
        <f t="array" aca="1" ref="Z111" ca="1">INDIRECT("'"&amp;$A111&amp;"'!W11")</f>
        <v>0</v>
      </c>
      <c r="AA111" s="3">
        <f t="array" aca="1" ref="AA111" ca="1">INDIRECT("'"&amp;$A111&amp;"'!X11")</f>
        <v>0</v>
      </c>
      <c r="AB111" s="3">
        <f t="array" aca="1" ref="AB111" ca="1">INDIRECT("'"&amp;$A111&amp;"'!Y11")</f>
        <v>0</v>
      </c>
      <c r="AC111" s="3">
        <f t="array" aca="1" ref="AC111" ca="1">INDIRECT("'"&amp;$A111&amp;"'!Z11")</f>
        <v>0</v>
      </c>
      <c r="AD111" s="32">
        <f t="array" aca="1" ref="AD111" ca="1">INDIRECT("'"&amp;$A111&amp;"'!AA11")</f>
        <v>0</v>
      </c>
      <c r="AE111" s="82">
        <f t="array" aca="1" ref="AE111" ca="1">INDIRECT("'"&amp;$A111&amp;"'!J3")</f>
        <v>0</v>
      </c>
      <c r="AF111" s="53" t="str">
        <f t="array" aca="1" ref="AF111" ca="1">INDIRECT("'"&amp;$A111&amp;"'!AC1")</f>
        <v/>
      </c>
    </row>
    <row r="112" spans="1:32" ht="15.75" customHeight="1" thickBot="1">
      <c r="A112" s="58">
        <v>37</v>
      </c>
      <c r="B112" s="107"/>
      <c r="C112" s="77" t="str">
        <f t="array" aca="1" ref="C112" ca="1">CONCATENATE("分 ",INDIRECT("'"&amp;$A111&amp;"'!D6"))</f>
        <v>分 0</v>
      </c>
      <c r="D112" s="56" t="s">
        <v>8</v>
      </c>
      <c r="E112" s="83">
        <f t="array" aca="1" ref="E112" ca="1">INDIRECT("'"&amp;$A111&amp;"'!I4")</f>
        <v>18</v>
      </c>
      <c r="F112" s="52">
        <f t="array" aca="1" ref="F112" ca="1">INDIRECT("'"&amp;$A112&amp;"'!C14")</f>
        <v>0</v>
      </c>
      <c r="G112" s="3">
        <f t="array" aca="1" ref="G112" ca="1">INDIRECT("'"&amp;$A112&amp;"'!D14")</f>
        <v>0</v>
      </c>
      <c r="H112" s="3">
        <f t="array" aca="1" ref="H112" ca="1">INDIRECT("'"&amp;$A112&amp;"'!E14")</f>
        <v>0</v>
      </c>
      <c r="I112" s="3">
        <f t="array" aca="1" ref="I112" ca="1">INDIRECT("'"&amp;$A112&amp;"'!F14")</f>
        <v>0</v>
      </c>
      <c r="J112" s="3">
        <f t="array" aca="1" ref="J112" ca="1">INDIRECT("'"&amp;$A112&amp;"'!G14")</f>
        <v>0</v>
      </c>
      <c r="K112" s="3">
        <f t="array" aca="1" ref="K112" ca="1">INDIRECT("'"&amp;$A112&amp;"'!H14")</f>
        <v>0</v>
      </c>
      <c r="L112" s="3">
        <f t="array" aca="1" ref="L112" ca="1">INDIRECT("'"&amp;$A112&amp;"'!I14")</f>
        <v>0</v>
      </c>
      <c r="M112" s="3">
        <f t="array" aca="1" ref="M112" ca="1">INDIRECT("'"&amp;$A112&amp;"'!J14")</f>
        <v>0</v>
      </c>
      <c r="N112" s="3">
        <f t="array" aca="1" ref="N112" ca="1">INDIRECT("'"&amp;$A112&amp;"'!K14")</f>
        <v>0</v>
      </c>
      <c r="O112" s="3">
        <f t="array" aca="1" ref="O112" ca="1">INDIRECT("'"&amp;$A112&amp;"'!L14")</f>
        <v>0</v>
      </c>
      <c r="P112" s="3">
        <f t="array" aca="1" ref="P112" ca="1">INDIRECT("'"&amp;$A112&amp;"'!M14")</f>
        <v>0</v>
      </c>
      <c r="Q112" s="3">
        <f t="array" aca="1" ref="Q112" ca="1">INDIRECT("'"&amp;$A112&amp;"'!N14")</f>
        <v>0</v>
      </c>
      <c r="R112" s="3">
        <f t="array" aca="1" ref="R112" ca="1">INDIRECT("'"&amp;$A112&amp;"'!O14")</f>
        <v>0</v>
      </c>
      <c r="S112" s="3">
        <f t="array" aca="1" ref="S112" ca="1">INDIRECT("'"&amp;$A112&amp;"'!P14")</f>
        <v>0</v>
      </c>
      <c r="T112" s="3">
        <f t="array" aca="1" ref="T112" ca="1">INDIRECT("'"&amp;$A112&amp;"'!Q14")</f>
        <v>0</v>
      </c>
      <c r="U112" s="3">
        <f t="array" aca="1" ref="U112" ca="1">INDIRECT("'"&amp;$A112&amp;"'!R14")</f>
        <v>0</v>
      </c>
      <c r="V112" s="3">
        <f t="array" aca="1" ref="V112" ca="1">INDIRECT("'"&amp;$A112&amp;"'!S14")</f>
        <v>0</v>
      </c>
      <c r="W112" s="3">
        <f t="array" aca="1" ref="W112" ca="1">INDIRECT("'"&amp;$A112&amp;"'!T14")</f>
        <v>0</v>
      </c>
      <c r="X112" s="3">
        <f t="array" aca="1" ref="X112" ca="1">INDIRECT("'"&amp;$A112&amp;"'!U14")</f>
        <v>0</v>
      </c>
      <c r="Y112" s="3">
        <f t="array" aca="1" ref="Y112" ca="1">INDIRECT("'"&amp;$A112&amp;"'!V14")</f>
        <v>0</v>
      </c>
      <c r="Z112" s="3">
        <f t="array" aca="1" ref="Z112" ca="1">INDIRECT("'"&amp;$A112&amp;"'!W14")</f>
        <v>0</v>
      </c>
      <c r="AA112" s="3">
        <f t="array" aca="1" ref="AA112" ca="1">INDIRECT("'"&amp;$A112&amp;"'!X14")</f>
        <v>0</v>
      </c>
      <c r="AB112" s="3">
        <f t="array" aca="1" ref="AB112" ca="1">INDIRECT("'"&amp;$A112&amp;"'!Y14")</f>
        <v>0</v>
      </c>
      <c r="AC112" s="3">
        <f t="array" aca="1" ref="AC112" ca="1">INDIRECT("'"&amp;$A112&amp;"'!Z14")</f>
        <v>0</v>
      </c>
      <c r="AD112" s="32">
        <f t="array" aca="1" ref="AD112" ca="1">INDIRECT("'"&amp;$A112&amp;"'!AA14")</f>
        <v>0</v>
      </c>
      <c r="AE112" s="83">
        <f t="array" aca="1" ref="AE112" ca="1">INDIRECT("'"&amp;$A111&amp;"'!J4")</f>
        <v>0</v>
      </c>
      <c r="AF112" s="53"/>
    </row>
    <row r="113" spans="1:32">
      <c r="A113" s="58">
        <v>38</v>
      </c>
      <c r="B113" s="105">
        <f>INDEX(data!$I$2:$I$91,MATCH(A113*1,data!$G$2:$G$91,0))</f>
        <v>46222</v>
      </c>
      <c r="C113" s="66" t="str">
        <f>HYPERLINK("#'" &amp; A113 &amp; "'!A1", "编辑")</f>
        <v>编辑</v>
      </c>
      <c r="D113" s="54" t="s">
        <v>6</v>
      </c>
      <c r="E113" s="81">
        <f t="array" aca="1" ref="E113" ca="1">INDIRECT("'"&amp;$A114&amp;"'!I2")</f>
        <v>18</v>
      </c>
      <c r="F113" s="29">
        <f t="array" aca="1" ref="F113" ca="1">INDIRECT("'"&amp;$A113&amp;"'!C8")</f>
        <v>0</v>
      </c>
      <c r="G113" s="30">
        <f t="array" aca="1" ref="G113" ca="1">INDIRECT("'"&amp;$A113&amp;"'!D8")</f>
        <v>0</v>
      </c>
      <c r="H113" s="30">
        <f t="array" aca="1" ref="H113" ca="1">INDIRECT("'"&amp;$A113&amp;"'!E8")</f>
        <v>0</v>
      </c>
      <c r="I113" s="30">
        <f t="array" aca="1" ref="I113" ca="1">INDIRECT("'"&amp;$A113&amp;"'!F8")</f>
        <v>0</v>
      </c>
      <c r="J113" s="30">
        <f t="array" aca="1" ref="J113" ca="1">INDIRECT("'"&amp;$A113&amp;"'!G8")</f>
        <v>0</v>
      </c>
      <c r="K113" s="30">
        <f t="array" aca="1" ref="K113" ca="1">INDIRECT("'"&amp;$A113&amp;"'!H8")</f>
        <v>0</v>
      </c>
      <c r="L113" s="30">
        <f t="array" aca="1" ref="L113" ca="1">INDIRECT("'"&amp;$A113&amp;"'!I8")</f>
        <v>0</v>
      </c>
      <c r="M113" s="30">
        <f t="array" aca="1" ref="M113" ca="1">INDIRECT("'"&amp;$A113&amp;"'!J8")</f>
        <v>0</v>
      </c>
      <c r="N113" s="30">
        <f t="array" aca="1" ref="N113" ca="1">INDIRECT("'"&amp;$A113&amp;"'!K8")</f>
        <v>0</v>
      </c>
      <c r="O113" s="30">
        <f t="array" aca="1" ref="O113" ca="1">INDIRECT("'"&amp;$A113&amp;"'!L8")</f>
        <v>0</v>
      </c>
      <c r="P113" s="30">
        <f t="array" aca="1" ref="P113" ca="1">INDIRECT("'"&amp;$A113&amp;"'!M8")</f>
        <v>0</v>
      </c>
      <c r="Q113" s="30">
        <f t="array" aca="1" ref="Q113" ca="1">INDIRECT("'"&amp;$A113&amp;"'!N8")</f>
        <v>0</v>
      </c>
      <c r="R113" s="30">
        <f t="array" aca="1" ref="R113" ca="1">INDIRECT("'"&amp;$A113&amp;"'!O8")</f>
        <v>0</v>
      </c>
      <c r="S113" s="30">
        <f t="array" aca="1" ref="S113" ca="1">INDIRECT("'"&amp;$A113&amp;"'!P8")</f>
        <v>0</v>
      </c>
      <c r="T113" s="30">
        <f t="array" aca="1" ref="T113" ca="1">INDIRECT("'"&amp;$A113&amp;"'!Q8")</f>
        <v>0</v>
      </c>
      <c r="U113" s="30">
        <f t="array" aca="1" ref="U113" ca="1">INDIRECT("'"&amp;$A113&amp;"'!R8")</f>
        <v>0</v>
      </c>
      <c r="V113" s="30">
        <f t="array" aca="1" ref="V113" ca="1">INDIRECT("'"&amp;$A113&amp;"'!S8")</f>
        <v>0</v>
      </c>
      <c r="W113" s="30">
        <f t="array" aca="1" ref="W113" ca="1">INDIRECT("'"&amp;$A113&amp;"'!T8")</f>
        <v>0</v>
      </c>
      <c r="X113" s="30">
        <f t="array" aca="1" ref="X113" ca="1">INDIRECT("'"&amp;$A113&amp;"'!U8")</f>
        <v>0</v>
      </c>
      <c r="Y113" s="30">
        <f t="array" aca="1" ref="Y113" ca="1">INDIRECT("'"&amp;$A113&amp;"'!V8")</f>
        <v>0</v>
      </c>
      <c r="Z113" s="30">
        <f t="array" aca="1" ref="Z113" ca="1">INDIRECT("'"&amp;$A113&amp;"'!W8")</f>
        <v>0</v>
      </c>
      <c r="AA113" s="30">
        <f t="array" aca="1" ref="AA113" ca="1">INDIRECT("'"&amp;$A113&amp;"'!X8")</f>
        <v>0</v>
      </c>
      <c r="AB113" s="30">
        <f t="array" aca="1" ref="AB113" ca="1">INDIRECT("'"&amp;$A113&amp;"'!Y8")</f>
        <v>0</v>
      </c>
      <c r="AC113" s="30">
        <f t="array" aca="1" ref="AC113" ca="1">INDIRECT("'"&amp;$A113&amp;"'!Z8")</f>
        <v>0</v>
      </c>
      <c r="AD113" s="31">
        <f t="array" aca="1" ref="AD113" ca="1">INDIRECT("'"&amp;$A113&amp;"'!AA8")</f>
        <v>0</v>
      </c>
      <c r="AE113" s="81">
        <f t="array" aca="1" ref="AE113" ca="1">INDIRECT("'"&amp;$A114&amp;"'!J2")</f>
        <v>0</v>
      </c>
      <c r="AF113" s="53" t="str">
        <f t="array" aca="1" ref="AF113" ca="1">INDIRECT("'"&amp;$A114&amp;"'!AD1")</f>
        <v/>
      </c>
    </row>
    <row r="114" spans="1:32">
      <c r="A114" s="58">
        <v>38</v>
      </c>
      <c r="B114" s="106"/>
      <c r="C114" s="67" t="str">
        <f t="array" aca="1" ref="C114" ca="1">CONCATENATE("粮 ",INDIRECT("'"&amp;$A114&amp;"'!D4"))</f>
        <v>粮 66000</v>
      </c>
      <c r="D114" s="55" t="s">
        <v>7</v>
      </c>
      <c r="E114" s="82">
        <f t="array" aca="1" ref="E114" ca="1">INDIRECT("'"&amp;$A114&amp;"'!I3")</f>
        <v>18</v>
      </c>
      <c r="F114" s="52">
        <f t="array" aca="1" ref="F114" ca="1">INDIRECT("'"&amp;$A114&amp;"'!C11")</f>
        <v>0</v>
      </c>
      <c r="G114" s="3">
        <f t="array" aca="1" ref="G114" ca="1">INDIRECT("'"&amp;$A114&amp;"'!D11")</f>
        <v>0</v>
      </c>
      <c r="H114" s="3">
        <f t="array" aca="1" ref="H114" ca="1">INDIRECT("'"&amp;$A114&amp;"'!E11")</f>
        <v>0</v>
      </c>
      <c r="I114" s="3">
        <f t="array" aca="1" ref="I114" ca="1">INDIRECT("'"&amp;$A114&amp;"'!F11")</f>
        <v>0</v>
      </c>
      <c r="J114" s="3">
        <f t="array" aca="1" ref="J114" ca="1">INDIRECT("'"&amp;$A114&amp;"'!G11")</f>
        <v>0</v>
      </c>
      <c r="K114" s="3">
        <f t="array" aca="1" ref="K114" ca="1">INDIRECT("'"&amp;$A114&amp;"'!H11")</f>
        <v>0</v>
      </c>
      <c r="L114" s="3">
        <f t="array" aca="1" ref="L114" ca="1">INDIRECT("'"&amp;$A114&amp;"'!I11")</f>
        <v>0</v>
      </c>
      <c r="M114" s="3">
        <f t="array" aca="1" ref="M114" ca="1">INDIRECT("'"&amp;$A114&amp;"'!J11")</f>
        <v>0</v>
      </c>
      <c r="N114" s="3">
        <f t="array" aca="1" ref="N114" ca="1">INDIRECT("'"&amp;$A114&amp;"'!K11")</f>
        <v>0</v>
      </c>
      <c r="O114" s="3">
        <f t="array" aca="1" ref="O114" ca="1">INDIRECT("'"&amp;$A114&amp;"'!L11")</f>
        <v>0</v>
      </c>
      <c r="P114" s="3">
        <f t="array" aca="1" ref="P114" ca="1">INDIRECT("'"&amp;$A114&amp;"'!M11")</f>
        <v>0</v>
      </c>
      <c r="Q114" s="3">
        <f t="array" aca="1" ref="Q114" ca="1">INDIRECT("'"&amp;$A114&amp;"'!N11")</f>
        <v>0</v>
      </c>
      <c r="R114" s="3">
        <f t="array" aca="1" ref="R114" ca="1">INDIRECT("'"&amp;$A114&amp;"'!O11")</f>
        <v>0</v>
      </c>
      <c r="S114" s="3">
        <f t="array" aca="1" ref="S114" ca="1">INDIRECT("'"&amp;$A114&amp;"'!P11")</f>
        <v>0</v>
      </c>
      <c r="T114" s="3">
        <f t="array" aca="1" ref="T114" ca="1">INDIRECT("'"&amp;$A114&amp;"'!Q11")</f>
        <v>0</v>
      </c>
      <c r="U114" s="3">
        <f t="array" aca="1" ref="U114" ca="1">INDIRECT("'"&amp;$A114&amp;"'!R11")</f>
        <v>0</v>
      </c>
      <c r="V114" s="3">
        <f t="array" aca="1" ref="V114" ca="1">INDIRECT("'"&amp;$A114&amp;"'!S11")</f>
        <v>0</v>
      </c>
      <c r="W114" s="3">
        <f t="array" aca="1" ref="W114" ca="1">INDIRECT("'"&amp;$A114&amp;"'!T11")</f>
        <v>0</v>
      </c>
      <c r="X114" s="3">
        <f t="array" aca="1" ref="X114" ca="1">INDIRECT("'"&amp;$A114&amp;"'!U11")</f>
        <v>0</v>
      </c>
      <c r="Y114" s="3">
        <f t="array" aca="1" ref="Y114" ca="1">INDIRECT("'"&amp;$A114&amp;"'!V11")</f>
        <v>0</v>
      </c>
      <c r="Z114" s="3">
        <f t="array" aca="1" ref="Z114" ca="1">INDIRECT("'"&amp;$A114&amp;"'!W11")</f>
        <v>0</v>
      </c>
      <c r="AA114" s="3">
        <f t="array" aca="1" ref="AA114" ca="1">INDIRECT("'"&amp;$A114&amp;"'!X11")</f>
        <v>0</v>
      </c>
      <c r="AB114" s="3">
        <f t="array" aca="1" ref="AB114" ca="1">INDIRECT("'"&amp;$A114&amp;"'!Y11")</f>
        <v>0</v>
      </c>
      <c r="AC114" s="3">
        <f t="array" aca="1" ref="AC114" ca="1">INDIRECT("'"&amp;$A114&amp;"'!Z11")</f>
        <v>0</v>
      </c>
      <c r="AD114" s="32">
        <f t="array" aca="1" ref="AD114" ca="1">INDIRECT("'"&amp;$A114&amp;"'!AA11")</f>
        <v>0</v>
      </c>
      <c r="AE114" s="82">
        <f t="array" aca="1" ref="AE114" ca="1">INDIRECT("'"&amp;$A114&amp;"'!J3")</f>
        <v>0</v>
      </c>
      <c r="AF114" s="53" t="str">
        <f t="array" aca="1" ref="AF114" ca="1">INDIRECT("'"&amp;$A114&amp;"'!AC1")</f>
        <v/>
      </c>
    </row>
    <row r="115" spans="1:32" ht="15.75" customHeight="1" thickBot="1">
      <c r="A115" s="58">
        <v>38</v>
      </c>
      <c r="B115" s="107"/>
      <c r="C115" s="77" t="str">
        <f t="array" aca="1" ref="C115" ca="1">CONCATENATE("分 ",INDIRECT("'"&amp;$A114&amp;"'!D6"))</f>
        <v>分 0</v>
      </c>
      <c r="D115" s="56" t="s">
        <v>8</v>
      </c>
      <c r="E115" s="83">
        <f t="array" aca="1" ref="E115" ca="1">INDIRECT("'"&amp;$A114&amp;"'!I4")</f>
        <v>18</v>
      </c>
      <c r="F115" s="52">
        <f t="array" aca="1" ref="F115" ca="1">INDIRECT("'"&amp;$A115&amp;"'!C14")</f>
        <v>0</v>
      </c>
      <c r="G115" s="3">
        <f t="array" aca="1" ref="G115" ca="1">INDIRECT("'"&amp;$A115&amp;"'!D14")</f>
        <v>0</v>
      </c>
      <c r="H115" s="3">
        <f t="array" aca="1" ref="H115" ca="1">INDIRECT("'"&amp;$A115&amp;"'!E14")</f>
        <v>0</v>
      </c>
      <c r="I115" s="3">
        <f t="array" aca="1" ref="I115" ca="1">INDIRECT("'"&amp;$A115&amp;"'!F14")</f>
        <v>0</v>
      </c>
      <c r="J115" s="3">
        <f t="array" aca="1" ref="J115" ca="1">INDIRECT("'"&amp;$A115&amp;"'!G14")</f>
        <v>0</v>
      </c>
      <c r="K115" s="3">
        <f t="array" aca="1" ref="K115" ca="1">INDIRECT("'"&amp;$A115&amp;"'!H14")</f>
        <v>0</v>
      </c>
      <c r="L115" s="3">
        <f t="array" aca="1" ref="L115" ca="1">INDIRECT("'"&amp;$A115&amp;"'!I14")</f>
        <v>0</v>
      </c>
      <c r="M115" s="3">
        <f t="array" aca="1" ref="M115" ca="1">INDIRECT("'"&amp;$A115&amp;"'!J14")</f>
        <v>0</v>
      </c>
      <c r="N115" s="3">
        <f t="array" aca="1" ref="N115" ca="1">INDIRECT("'"&amp;$A115&amp;"'!K14")</f>
        <v>0</v>
      </c>
      <c r="O115" s="3">
        <f t="array" aca="1" ref="O115" ca="1">INDIRECT("'"&amp;$A115&amp;"'!L14")</f>
        <v>0</v>
      </c>
      <c r="P115" s="3">
        <f t="array" aca="1" ref="P115" ca="1">INDIRECT("'"&amp;$A115&amp;"'!M14")</f>
        <v>0</v>
      </c>
      <c r="Q115" s="3">
        <f t="array" aca="1" ref="Q115" ca="1">INDIRECT("'"&amp;$A115&amp;"'!N14")</f>
        <v>0</v>
      </c>
      <c r="R115" s="3">
        <f t="array" aca="1" ref="R115" ca="1">INDIRECT("'"&amp;$A115&amp;"'!O14")</f>
        <v>0</v>
      </c>
      <c r="S115" s="3">
        <f t="array" aca="1" ref="S115" ca="1">INDIRECT("'"&amp;$A115&amp;"'!P14")</f>
        <v>0</v>
      </c>
      <c r="T115" s="3">
        <f t="array" aca="1" ref="T115" ca="1">INDIRECT("'"&amp;$A115&amp;"'!Q14")</f>
        <v>0</v>
      </c>
      <c r="U115" s="3">
        <f t="array" aca="1" ref="U115" ca="1">INDIRECT("'"&amp;$A115&amp;"'!R14")</f>
        <v>0</v>
      </c>
      <c r="V115" s="3">
        <f t="array" aca="1" ref="V115" ca="1">INDIRECT("'"&amp;$A115&amp;"'!S14")</f>
        <v>0</v>
      </c>
      <c r="W115" s="3">
        <f t="array" aca="1" ref="W115" ca="1">INDIRECT("'"&amp;$A115&amp;"'!T14")</f>
        <v>0</v>
      </c>
      <c r="X115" s="3">
        <f t="array" aca="1" ref="X115" ca="1">INDIRECT("'"&amp;$A115&amp;"'!U14")</f>
        <v>0</v>
      </c>
      <c r="Y115" s="3">
        <f t="array" aca="1" ref="Y115" ca="1">INDIRECT("'"&amp;$A115&amp;"'!V14")</f>
        <v>0</v>
      </c>
      <c r="Z115" s="3">
        <f t="array" aca="1" ref="Z115" ca="1">INDIRECT("'"&amp;$A115&amp;"'!W14")</f>
        <v>0</v>
      </c>
      <c r="AA115" s="3">
        <f t="array" aca="1" ref="AA115" ca="1">INDIRECT("'"&amp;$A115&amp;"'!X14")</f>
        <v>0</v>
      </c>
      <c r="AB115" s="3">
        <f t="array" aca="1" ref="AB115" ca="1">INDIRECT("'"&amp;$A115&amp;"'!Y14")</f>
        <v>0</v>
      </c>
      <c r="AC115" s="3">
        <f t="array" aca="1" ref="AC115" ca="1">INDIRECT("'"&amp;$A115&amp;"'!Z14")</f>
        <v>0</v>
      </c>
      <c r="AD115" s="32">
        <f t="array" aca="1" ref="AD115" ca="1">INDIRECT("'"&amp;$A115&amp;"'!AA14")</f>
        <v>0</v>
      </c>
      <c r="AE115" s="83">
        <f t="array" aca="1" ref="AE115" ca="1">INDIRECT("'"&amp;$A114&amp;"'!J4")</f>
        <v>0</v>
      </c>
      <c r="AF115" s="53"/>
    </row>
    <row r="116" spans="1:32">
      <c r="A116" s="58">
        <v>39</v>
      </c>
      <c r="B116" s="105">
        <f>INDEX(data!$I$2:$I$91,MATCH(A116*1,data!$G$2:$G$91,0))</f>
        <v>46223</v>
      </c>
      <c r="C116" s="66" t="str">
        <f>HYPERLINK("#'" &amp; A116 &amp; "'!A1", "编辑")</f>
        <v>编辑</v>
      </c>
      <c r="D116" s="54" t="s">
        <v>6</v>
      </c>
      <c r="E116" s="81">
        <f t="array" aca="1" ref="E116" ca="1">INDIRECT("'"&amp;$A117&amp;"'!I2")</f>
        <v>18</v>
      </c>
      <c r="F116" s="29">
        <f t="array" aca="1" ref="F116" ca="1">INDIRECT("'"&amp;$A116&amp;"'!C8")</f>
        <v>0</v>
      </c>
      <c r="G116" s="30">
        <f t="array" aca="1" ref="G116" ca="1">INDIRECT("'"&amp;$A116&amp;"'!D8")</f>
        <v>0</v>
      </c>
      <c r="H116" s="30">
        <f t="array" aca="1" ref="H116" ca="1">INDIRECT("'"&amp;$A116&amp;"'!E8")</f>
        <v>0</v>
      </c>
      <c r="I116" s="30">
        <f t="array" aca="1" ref="I116" ca="1">INDIRECT("'"&amp;$A116&amp;"'!F8")</f>
        <v>0</v>
      </c>
      <c r="J116" s="30">
        <f t="array" aca="1" ref="J116" ca="1">INDIRECT("'"&amp;$A116&amp;"'!G8")</f>
        <v>0</v>
      </c>
      <c r="K116" s="30">
        <f t="array" aca="1" ref="K116" ca="1">INDIRECT("'"&amp;$A116&amp;"'!H8")</f>
        <v>0</v>
      </c>
      <c r="L116" s="30">
        <f t="array" aca="1" ref="L116" ca="1">INDIRECT("'"&amp;$A116&amp;"'!I8")</f>
        <v>0</v>
      </c>
      <c r="M116" s="30">
        <f t="array" aca="1" ref="M116" ca="1">INDIRECT("'"&amp;$A116&amp;"'!J8")</f>
        <v>0</v>
      </c>
      <c r="N116" s="30">
        <f t="array" aca="1" ref="N116" ca="1">INDIRECT("'"&amp;$A116&amp;"'!K8")</f>
        <v>0</v>
      </c>
      <c r="O116" s="30">
        <f t="array" aca="1" ref="O116" ca="1">INDIRECT("'"&amp;$A116&amp;"'!L8")</f>
        <v>0</v>
      </c>
      <c r="P116" s="30">
        <f t="array" aca="1" ref="P116" ca="1">INDIRECT("'"&amp;$A116&amp;"'!M8")</f>
        <v>0</v>
      </c>
      <c r="Q116" s="30">
        <f t="array" aca="1" ref="Q116" ca="1">INDIRECT("'"&amp;$A116&amp;"'!N8")</f>
        <v>0</v>
      </c>
      <c r="R116" s="30">
        <f t="array" aca="1" ref="R116" ca="1">INDIRECT("'"&amp;$A116&amp;"'!O8")</f>
        <v>0</v>
      </c>
      <c r="S116" s="30">
        <f t="array" aca="1" ref="S116" ca="1">INDIRECT("'"&amp;$A116&amp;"'!P8")</f>
        <v>0</v>
      </c>
      <c r="T116" s="30">
        <f t="array" aca="1" ref="T116" ca="1">INDIRECT("'"&amp;$A116&amp;"'!Q8")</f>
        <v>0</v>
      </c>
      <c r="U116" s="30">
        <f t="array" aca="1" ref="U116" ca="1">INDIRECT("'"&amp;$A116&amp;"'!R8")</f>
        <v>0</v>
      </c>
      <c r="V116" s="30">
        <f t="array" aca="1" ref="V116" ca="1">INDIRECT("'"&amp;$A116&amp;"'!S8")</f>
        <v>0</v>
      </c>
      <c r="W116" s="30">
        <f t="array" aca="1" ref="W116" ca="1">INDIRECT("'"&amp;$A116&amp;"'!T8")</f>
        <v>0</v>
      </c>
      <c r="X116" s="30">
        <f t="array" aca="1" ref="X116" ca="1">INDIRECT("'"&amp;$A116&amp;"'!U8")</f>
        <v>0</v>
      </c>
      <c r="Y116" s="30">
        <f t="array" aca="1" ref="Y116" ca="1">INDIRECT("'"&amp;$A116&amp;"'!V8")</f>
        <v>0</v>
      </c>
      <c r="Z116" s="30">
        <f t="array" aca="1" ref="Z116" ca="1">INDIRECT("'"&amp;$A116&amp;"'!W8")</f>
        <v>0</v>
      </c>
      <c r="AA116" s="30">
        <f t="array" aca="1" ref="AA116" ca="1">INDIRECT("'"&amp;$A116&amp;"'!X8")</f>
        <v>0</v>
      </c>
      <c r="AB116" s="30">
        <f t="array" aca="1" ref="AB116" ca="1">INDIRECT("'"&amp;$A116&amp;"'!Y8")</f>
        <v>0</v>
      </c>
      <c r="AC116" s="30">
        <f t="array" aca="1" ref="AC116" ca="1">INDIRECT("'"&amp;$A116&amp;"'!Z8")</f>
        <v>0</v>
      </c>
      <c r="AD116" s="31">
        <f t="array" aca="1" ref="AD116" ca="1">INDIRECT("'"&amp;$A116&amp;"'!AA8")</f>
        <v>0</v>
      </c>
      <c r="AE116" s="81">
        <f t="array" aca="1" ref="AE116" ca="1">INDIRECT("'"&amp;$A117&amp;"'!J2")</f>
        <v>0</v>
      </c>
      <c r="AF116" s="53" t="str">
        <f t="array" aca="1" ref="AF116" ca="1">INDIRECT("'"&amp;$A117&amp;"'!AD1")</f>
        <v/>
      </c>
    </row>
    <row r="117" spans="1:32">
      <c r="A117" s="58">
        <v>39</v>
      </c>
      <c r="B117" s="106"/>
      <c r="C117" s="67" t="str">
        <f t="array" aca="1" ref="C117" ca="1">CONCATENATE("粮 ",INDIRECT("'"&amp;$A117&amp;"'!D4"))</f>
        <v>粮 67600</v>
      </c>
      <c r="D117" s="55" t="s">
        <v>7</v>
      </c>
      <c r="E117" s="82">
        <f t="array" aca="1" ref="E117" ca="1">INDIRECT("'"&amp;$A117&amp;"'!I3")</f>
        <v>18</v>
      </c>
      <c r="F117" s="52">
        <f t="array" aca="1" ref="F117" ca="1">INDIRECT("'"&amp;$A117&amp;"'!C11")</f>
        <v>0</v>
      </c>
      <c r="G117" s="3">
        <f t="array" aca="1" ref="G117" ca="1">INDIRECT("'"&amp;$A117&amp;"'!D11")</f>
        <v>0</v>
      </c>
      <c r="H117" s="3">
        <f t="array" aca="1" ref="H117" ca="1">INDIRECT("'"&amp;$A117&amp;"'!E11")</f>
        <v>0</v>
      </c>
      <c r="I117" s="3">
        <f t="array" aca="1" ref="I117" ca="1">INDIRECT("'"&amp;$A117&amp;"'!F11")</f>
        <v>0</v>
      </c>
      <c r="J117" s="3">
        <f t="array" aca="1" ref="J117" ca="1">INDIRECT("'"&amp;$A117&amp;"'!G11")</f>
        <v>0</v>
      </c>
      <c r="K117" s="3">
        <f t="array" aca="1" ref="K117" ca="1">INDIRECT("'"&amp;$A117&amp;"'!H11")</f>
        <v>0</v>
      </c>
      <c r="L117" s="3">
        <f t="array" aca="1" ref="L117" ca="1">INDIRECT("'"&amp;$A117&amp;"'!I11")</f>
        <v>0</v>
      </c>
      <c r="M117" s="3">
        <f t="array" aca="1" ref="M117" ca="1">INDIRECT("'"&amp;$A117&amp;"'!J11")</f>
        <v>0</v>
      </c>
      <c r="N117" s="3">
        <f t="array" aca="1" ref="N117" ca="1">INDIRECT("'"&amp;$A117&amp;"'!K11")</f>
        <v>0</v>
      </c>
      <c r="O117" s="3">
        <f t="array" aca="1" ref="O117" ca="1">INDIRECT("'"&amp;$A117&amp;"'!L11")</f>
        <v>0</v>
      </c>
      <c r="P117" s="3">
        <f t="array" aca="1" ref="P117" ca="1">INDIRECT("'"&amp;$A117&amp;"'!M11")</f>
        <v>0</v>
      </c>
      <c r="Q117" s="3">
        <f t="array" aca="1" ref="Q117" ca="1">INDIRECT("'"&amp;$A117&amp;"'!N11")</f>
        <v>0</v>
      </c>
      <c r="R117" s="3">
        <f t="array" aca="1" ref="R117" ca="1">INDIRECT("'"&amp;$A117&amp;"'!O11")</f>
        <v>0</v>
      </c>
      <c r="S117" s="3">
        <f t="array" aca="1" ref="S117" ca="1">INDIRECT("'"&amp;$A117&amp;"'!P11")</f>
        <v>0</v>
      </c>
      <c r="T117" s="3">
        <f t="array" aca="1" ref="T117" ca="1">INDIRECT("'"&amp;$A117&amp;"'!Q11")</f>
        <v>0</v>
      </c>
      <c r="U117" s="3">
        <f t="array" aca="1" ref="U117" ca="1">INDIRECT("'"&amp;$A117&amp;"'!R11")</f>
        <v>0</v>
      </c>
      <c r="V117" s="3">
        <f t="array" aca="1" ref="V117" ca="1">INDIRECT("'"&amp;$A117&amp;"'!S11")</f>
        <v>0</v>
      </c>
      <c r="W117" s="3">
        <f t="array" aca="1" ref="W117" ca="1">INDIRECT("'"&amp;$A117&amp;"'!T11")</f>
        <v>0</v>
      </c>
      <c r="X117" s="3">
        <f t="array" aca="1" ref="X117" ca="1">INDIRECT("'"&amp;$A117&amp;"'!U11")</f>
        <v>0</v>
      </c>
      <c r="Y117" s="3">
        <f t="array" aca="1" ref="Y117" ca="1">INDIRECT("'"&amp;$A117&amp;"'!V11")</f>
        <v>0</v>
      </c>
      <c r="Z117" s="3">
        <f t="array" aca="1" ref="Z117" ca="1">INDIRECT("'"&amp;$A117&amp;"'!W11")</f>
        <v>0</v>
      </c>
      <c r="AA117" s="3">
        <f t="array" aca="1" ref="AA117" ca="1">INDIRECT("'"&amp;$A117&amp;"'!X11")</f>
        <v>0</v>
      </c>
      <c r="AB117" s="3">
        <f t="array" aca="1" ref="AB117" ca="1">INDIRECT("'"&amp;$A117&amp;"'!Y11")</f>
        <v>0</v>
      </c>
      <c r="AC117" s="3">
        <f t="array" aca="1" ref="AC117" ca="1">INDIRECT("'"&amp;$A117&amp;"'!Z11")</f>
        <v>0</v>
      </c>
      <c r="AD117" s="32">
        <f t="array" aca="1" ref="AD117" ca="1">INDIRECT("'"&amp;$A117&amp;"'!AA11")</f>
        <v>0</v>
      </c>
      <c r="AE117" s="82">
        <f t="array" aca="1" ref="AE117" ca="1">INDIRECT("'"&amp;$A117&amp;"'!J3")</f>
        <v>0</v>
      </c>
      <c r="AF117" s="53" t="str">
        <f t="array" aca="1" ref="AF117" ca="1">INDIRECT("'"&amp;$A117&amp;"'!AC1")</f>
        <v/>
      </c>
    </row>
    <row r="118" spans="1:32" ht="15.75" customHeight="1" thickBot="1">
      <c r="A118" s="58">
        <v>39</v>
      </c>
      <c r="B118" s="107"/>
      <c r="C118" s="77" t="str">
        <f t="array" aca="1" ref="C118" ca="1">CONCATENATE("分 ",INDIRECT("'"&amp;$A117&amp;"'!D6"))</f>
        <v>分 0</v>
      </c>
      <c r="D118" s="56" t="s">
        <v>8</v>
      </c>
      <c r="E118" s="83">
        <f t="array" aca="1" ref="E118" ca="1">INDIRECT("'"&amp;$A117&amp;"'!I4")</f>
        <v>18</v>
      </c>
      <c r="F118" s="52">
        <f t="array" aca="1" ref="F118" ca="1">INDIRECT("'"&amp;$A118&amp;"'!C14")</f>
        <v>0</v>
      </c>
      <c r="G118" s="3">
        <f t="array" aca="1" ref="G118" ca="1">INDIRECT("'"&amp;$A118&amp;"'!D14")</f>
        <v>0</v>
      </c>
      <c r="H118" s="3">
        <f t="array" aca="1" ref="H118" ca="1">INDIRECT("'"&amp;$A118&amp;"'!E14")</f>
        <v>0</v>
      </c>
      <c r="I118" s="3">
        <f t="array" aca="1" ref="I118" ca="1">INDIRECT("'"&amp;$A118&amp;"'!F14")</f>
        <v>0</v>
      </c>
      <c r="J118" s="3">
        <f t="array" aca="1" ref="J118" ca="1">INDIRECT("'"&amp;$A118&amp;"'!G14")</f>
        <v>0</v>
      </c>
      <c r="K118" s="3">
        <f t="array" aca="1" ref="K118" ca="1">INDIRECT("'"&amp;$A118&amp;"'!H14")</f>
        <v>0</v>
      </c>
      <c r="L118" s="3">
        <f t="array" aca="1" ref="L118" ca="1">INDIRECT("'"&amp;$A118&amp;"'!I14")</f>
        <v>0</v>
      </c>
      <c r="M118" s="3">
        <f t="array" aca="1" ref="M118" ca="1">INDIRECT("'"&amp;$A118&amp;"'!J14")</f>
        <v>0</v>
      </c>
      <c r="N118" s="3">
        <f t="array" aca="1" ref="N118" ca="1">INDIRECT("'"&amp;$A118&amp;"'!K14")</f>
        <v>0</v>
      </c>
      <c r="O118" s="3">
        <f t="array" aca="1" ref="O118" ca="1">INDIRECT("'"&amp;$A118&amp;"'!L14")</f>
        <v>0</v>
      </c>
      <c r="P118" s="3">
        <f t="array" aca="1" ref="P118" ca="1">INDIRECT("'"&amp;$A118&amp;"'!M14")</f>
        <v>0</v>
      </c>
      <c r="Q118" s="3">
        <f t="array" aca="1" ref="Q118" ca="1">INDIRECT("'"&amp;$A118&amp;"'!N14")</f>
        <v>0</v>
      </c>
      <c r="R118" s="3">
        <f t="array" aca="1" ref="R118" ca="1">INDIRECT("'"&amp;$A118&amp;"'!O14")</f>
        <v>0</v>
      </c>
      <c r="S118" s="3">
        <f t="array" aca="1" ref="S118" ca="1">INDIRECT("'"&amp;$A118&amp;"'!P14")</f>
        <v>0</v>
      </c>
      <c r="T118" s="3">
        <f t="array" aca="1" ref="T118" ca="1">INDIRECT("'"&amp;$A118&amp;"'!Q14")</f>
        <v>0</v>
      </c>
      <c r="U118" s="3">
        <f t="array" aca="1" ref="U118" ca="1">INDIRECT("'"&amp;$A118&amp;"'!R14")</f>
        <v>0</v>
      </c>
      <c r="V118" s="3">
        <f t="array" aca="1" ref="V118" ca="1">INDIRECT("'"&amp;$A118&amp;"'!S14")</f>
        <v>0</v>
      </c>
      <c r="W118" s="3">
        <f t="array" aca="1" ref="W118" ca="1">INDIRECT("'"&amp;$A118&amp;"'!T14")</f>
        <v>0</v>
      </c>
      <c r="X118" s="3">
        <f t="array" aca="1" ref="X118" ca="1">INDIRECT("'"&amp;$A118&amp;"'!U14")</f>
        <v>0</v>
      </c>
      <c r="Y118" s="3">
        <f t="array" aca="1" ref="Y118" ca="1">INDIRECT("'"&amp;$A118&amp;"'!V14")</f>
        <v>0</v>
      </c>
      <c r="Z118" s="3">
        <f t="array" aca="1" ref="Z118" ca="1">INDIRECT("'"&amp;$A118&amp;"'!W14")</f>
        <v>0</v>
      </c>
      <c r="AA118" s="3">
        <f t="array" aca="1" ref="AA118" ca="1">INDIRECT("'"&amp;$A118&amp;"'!X14")</f>
        <v>0</v>
      </c>
      <c r="AB118" s="3">
        <f t="array" aca="1" ref="AB118" ca="1">INDIRECT("'"&amp;$A118&amp;"'!Y14")</f>
        <v>0</v>
      </c>
      <c r="AC118" s="3">
        <f t="array" aca="1" ref="AC118" ca="1">INDIRECT("'"&amp;$A118&amp;"'!Z14")</f>
        <v>0</v>
      </c>
      <c r="AD118" s="32">
        <f t="array" aca="1" ref="AD118" ca="1">INDIRECT("'"&amp;$A118&amp;"'!AA14")</f>
        <v>0</v>
      </c>
      <c r="AE118" s="83">
        <f t="array" aca="1" ref="AE118" ca="1">INDIRECT("'"&amp;$A117&amp;"'!J4")</f>
        <v>0</v>
      </c>
      <c r="AF118" s="53"/>
    </row>
    <row r="119" spans="1:32">
      <c r="A119" s="58">
        <v>40</v>
      </c>
      <c r="B119" s="105">
        <f>INDEX(data!$I$2:$I$91,MATCH(A119*1,data!$G$2:$G$91,0))</f>
        <v>46224</v>
      </c>
      <c r="C119" s="66" t="str">
        <f>HYPERLINK("#'" &amp; A119 &amp; "'!A1", "编辑")</f>
        <v>编辑</v>
      </c>
      <c r="D119" s="54" t="s">
        <v>6</v>
      </c>
      <c r="E119" s="81">
        <f t="array" aca="1" ref="E119" ca="1">INDIRECT("'"&amp;$A120&amp;"'!I2")</f>
        <v>18</v>
      </c>
      <c r="F119" s="29">
        <f t="array" aca="1" ref="F119" ca="1">INDIRECT("'"&amp;$A119&amp;"'!C8")</f>
        <v>0</v>
      </c>
      <c r="G119" s="30">
        <f t="array" aca="1" ref="G119" ca="1">INDIRECT("'"&amp;$A119&amp;"'!D8")</f>
        <v>0</v>
      </c>
      <c r="H119" s="30">
        <f t="array" aca="1" ref="H119" ca="1">INDIRECT("'"&amp;$A119&amp;"'!E8")</f>
        <v>0</v>
      </c>
      <c r="I119" s="30">
        <f t="array" aca="1" ref="I119" ca="1">INDIRECT("'"&amp;$A119&amp;"'!F8")</f>
        <v>0</v>
      </c>
      <c r="J119" s="30">
        <f t="array" aca="1" ref="J119" ca="1">INDIRECT("'"&amp;$A119&amp;"'!G8")</f>
        <v>0</v>
      </c>
      <c r="K119" s="30">
        <f t="array" aca="1" ref="K119" ca="1">INDIRECT("'"&amp;$A119&amp;"'!H8")</f>
        <v>0</v>
      </c>
      <c r="L119" s="30">
        <f t="array" aca="1" ref="L119" ca="1">INDIRECT("'"&amp;$A119&amp;"'!I8")</f>
        <v>0</v>
      </c>
      <c r="M119" s="30">
        <f t="array" aca="1" ref="M119" ca="1">INDIRECT("'"&amp;$A119&amp;"'!J8")</f>
        <v>0</v>
      </c>
      <c r="N119" s="30">
        <f t="array" aca="1" ref="N119" ca="1">INDIRECT("'"&amp;$A119&amp;"'!K8")</f>
        <v>0</v>
      </c>
      <c r="O119" s="30">
        <f t="array" aca="1" ref="O119" ca="1">INDIRECT("'"&amp;$A119&amp;"'!L8")</f>
        <v>0</v>
      </c>
      <c r="P119" s="30">
        <f t="array" aca="1" ref="P119" ca="1">INDIRECT("'"&amp;$A119&amp;"'!M8")</f>
        <v>0</v>
      </c>
      <c r="Q119" s="30">
        <f t="array" aca="1" ref="Q119" ca="1">INDIRECT("'"&amp;$A119&amp;"'!N8")</f>
        <v>0</v>
      </c>
      <c r="R119" s="30">
        <f t="array" aca="1" ref="R119" ca="1">INDIRECT("'"&amp;$A119&amp;"'!O8")</f>
        <v>0</v>
      </c>
      <c r="S119" s="30">
        <f t="array" aca="1" ref="S119" ca="1">INDIRECT("'"&amp;$A119&amp;"'!P8")</f>
        <v>0</v>
      </c>
      <c r="T119" s="30">
        <f t="array" aca="1" ref="T119" ca="1">INDIRECT("'"&amp;$A119&amp;"'!Q8")</f>
        <v>0</v>
      </c>
      <c r="U119" s="30">
        <f t="array" aca="1" ref="U119" ca="1">INDIRECT("'"&amp;$A119&amp;"'!R8")</f>
        <v>0</v>
      </c>
      <c r="V119" s="30">
        <f t="array" aca="1" ref="V119" ca="1">INDIRECT("'"&amp;$A119&amp;"'!S8")</f>
        <v>0</v>
      </c>
      <c r="W119" s="30">
        <f t="array" aca="1" ref="W119" ca="1">INDIRECT("'"&amp;$A119&amp;"'!T8")</f>
        <v>0</v>
      </c>
      <c r="X119" s="30">
        <f t="array" aca="1" ref="X119" ca="1">INDIRECT("'"&amp;$A119&amp;"'!U8")</f>
        <v>0</v>
      </c>
      <c r="Y119" s="30">
        <f t="array" aca="1" ref="Y119" ca="1">INDIRECT("'"&amp;$A119&amp;"'!V8")</f>
        <v>0</v>
      </c>
      <c r="Z119" s="30">
        <f t="array" aca="1" ref="Z119" ca="1">INDIRECT("'"&amp;$A119&amp;"'!W8")</f>
        <v>0</v>
      </c>
      <c r="AA119" s="30">
        <f t="array" aca="1" ref="AA119" ca="1">INDIRECT("'"&amp;$A119&amp;"'!X8")</f>
        <v>0</v>
      </c>
      <c r="AB119" s="30">
        <f t="array" aca="1" ref="AB119" ca="1">INDIRECT("'"&amp;$A119&amp;"'!Y8")</f>
        <v>0</v>
      </c>
      <c r="AC119" s="30">
        <f t="array" aca="1" ref="AC119" ca="1">INDIRECT("'"&amp;$A119&amp;"'!Z8")</f>
        <v>0</v>
      </c>
      <c r="AD119" s="31">
        <f t="array" aca="1" ref="AD119" ca="1">INDIRECT("'"&amp;$A119&amp;"'!AA8")</f>
        <v>0</v>
      </c>
      <c r="AE119" s="81">
        <f t="array" aca="1" ref="AE119" ca="1">INDIRECT("'"&amp;$A120&amp;"'!J2")</f>
        <v>0</v>
      </c>
      <c r="AF119" s="53" t="str">
        <f t="array" aca="1" ref="AF119" ca="1">INDIRECT("'"&amp;$A120&amp;"'!AD1")</f>
        <v/>
      </c>
    </row>
    <row r="120" spans="1:32">
      <c r="A120" s="58">
        <v>40</v>
      </c>
      <c r="B120" s="106"/>
      <c r="C120" s="67" t="str">
        <f t="array" aca="1" ref="C120" ca="1">CONCATENATE("粮 ",INDIRECT("'"&amp;$A120&amp;"'!D4"))</f>
        <v>粮 69200</v>
      </c>
      <c r="D120" s="55" t="s">
        <v>7</v>
      </c>
      <c r="E120" s="82">
        <f t="array" aca="1" ref="E120" ca="1">INDIRECT("'"&amp;$A120&amp;"'!I3")</f>
        <v>18</v>
      </c>
      <c r="F120" s="52">
        <f t="array" aca="1" ref="F120" ca="1">INDIRECT("'"&amp;$A120&amp;"'!C11")</f>
        <v>0</v>
      </c>
      <c r="G120" s="3">
        <f t="array" aca="1" ref="G120" ca="1">INDIRECT("'"&amp;$A120&amp;"'!D11")</f>
        <v>0</v>
      </c>
      <c r="H120" s="3">
        <f t="array" aca="1" ref="H120" ca="1">INDIRECT("'"&amp;$A120&amp;"'!E11")</f>
        <v>0</v>
      </c>
      <c r="I120" s="3">
        <f t="array" aca="1" ref="I120" ca="1">INDIRECT("'"&amp;$A120&amp;"'!F11")</f>
        <v>0</v>
      </c>
      <c r="J120" s="3">
        <f t="array" aca="1" ref="J120" ca="1">INDIRECT("'"&amp;$A120&amp;"'!G11")</f>
        <v>0</v>
      </c>
      <c r="K120" s="3">
        <f t="array" aca="1" ref="K120" ca="1">INDIRECT("'"&amp;$A120&amp;"'!H11")</f>
        <v>0</v>
      </c>
      <c r="L120" s="3">
        <f t="array" aca="1" ref="L120" ca="1">INDIRECT("'"&amp;$A120&amp;"'!I11")</f>
        <v>0</v>
      </c>
      <c r="M120" s="3">
        <f t="array" aca="1" ref="M120" ca="1">INDIRECT("'"&amp;$A120&amp;"'!J11")</f>
        <v>0</v>
      </c>
      <c r="N120" s="3">
        <f t="array" aca="1" ref="N120" ca="1">INDIRECT("'"&amp;$A120&amp;"'!K11")</f>
        <v>0</v>
      </c>
      <c r="O120" s="3">
        <f t="array" aca="1" ref="O120" ca="1">INDIRECT("'"&amp;$A120&amp;"'!L11")</f>
        <v>0</v>
      </c>
      <c r="P120" s="3">
        <f t="array" aca="1" ref="P120" ca="1">INDIRECT("'"&amp;$A120&amp;"'!M11")</f>
        <v>0</v>
      </c>
      <c r="Q120" s="3">
        <f t="array" aca="1" ref="Q120" ca="1">INDIRECT("'"&amp;$A120&amp;"'!N11")</f>
        <v>0</v>
      </c>
      <c r="R120" s="3">
        <f t="array" aca="1" ref="R120" ca="1">INDIRECT("'"&amp;$A120&amp;"'!O11")</f>
        <v>0</v>
      </c>
      <c r="S120" s="3">
        <f t="array" aca="1" ref="S120" ca="1">INDIRECT("'"&amp;$A120&amp;"'!P11")</f>
        <v>0</v>
      </c>
      <c r="T120" s="3">
        <f t="array" aca="1" ref="T120" ca="1">INDIRECT("'"&amp;$A120&amp;"'!Q11")</f>
        <v>0</v>
      </c>
      <c r="U120" s="3">
        <f t="array" aca="1" ref="U120" ca="1">INDIRECT("'"&amp;$A120&amp;"'!R11")</f>
        <v>0</v>
      </c>
      <c r="V120" s="3">
        <f t="array" aca="1" ref="V120" ca="1">INDIRECT("'"&amp;$A120&amp;"'!S11")</f>
        <v>0</v>
      </c>
      <c r="W120" s="3">
        <f t="array" aca="1" ref="W120" ca="1">INDIRECT("'"&amp;$A120&amp;"'!T11")</f>
        <v>0</v>
      </c>
      <c r="X120" s="3">
        <f t="array" aca="1" ref="X120" ca="1">INDIRECT("'"&amp;$A120&amp;"'!U11")</f>
        <v>0</v>
      </c>
      <c r="Y120" s="3">
        <f t="array" aca="1" ref="Y120" ca="1">INDIRECT("'"&amp;$A120&amp;"'!V11")</f>
        <v>0</v>
      </c>
      <c r="Z120" s="3">
        <f t="array" aca="1" ref="Z120" ca="1">INDIRECT("'"&amp;$A120&amp;"'!W11")</f>
        <v>0</v>
      </c>
      <c r="AA120" s="3">
        <f t="array" aca="1" ref="AA120" ca="1">INDIRECT("'"&amp;$A120&amp;"'!X11")</f>
        <v>0</v>
      </c>
      <c r="AB120" s="3">
        <f t="array" aca="1" ref="AB120" ca="1">INDIRECT("'"&amp;$A120&amp;"'!Y11")</f>
        <v>0</v>
      </c>
      <c r="AC120" s="3">
        <f t="array" aca="1" ref="AC120" ca="1">INDIRECT("'"&amp;$A120&amp;"'!Z11")</f>
        <v>0</v>
      </c>
      <c r="AD120" s="32">
        <f t="array" aca="1" ref="AD120" ca="1">INDIRECT("'"&amp;$A120&amp;"'!AA11")</f>
        <v>0</v>
      </c>
      <c r="AE120" s="82">
        <f t="array" aca="1" ref="AE120" ca="1">INDIRECT("'"&amp;$A120&amp;"'!J3")</f>
        <v>0</v>
      </c>
      <c r="AF120" s="53" t="str">
        <f t="array" aca="1" ref="AF120" ca="1">INDIRECT("'"&amp;$A120&amp;"'!AC1")</f>
        <v/>
      </c>
    </row>
    <row r="121" spans="1:32" ht="15.75" customHeight="1" thickBot="1">
      <c r="A121" s="58">
        <v>40</v>
      </c>
      <c r="B121" s="107"/>
      <c r="C121" s="77" t="str">
        <f t="array" aca="1" ref="C121" ca="1">CONCATENATE("分 ",INDIRECT("'"&amp;$A120&amp;"'!D6"))</f>
        <v>分 0</v>
      </c>
      <c r="D121" s="56" t="s">
        <v>8</v>
      </c>
      <c r="E121" s="83">
        <f t="array" aca="1" ref="E121" ca="1">INDIRECT("'"&amp;$A120&amp;"'!I4")</f>
        <v>18</v>
      </c>
      <c r="F121" s="52">
        <f t="array" aca="1" ref="F121" ca="1">INDIRECT("'"&amp;$A121&amp;"'!C14")</f>
        <v>0</v>
      </c>
      <c r="G121" s="3">
        <f t="array" aca="1" ref="G121" ca="1">INDIRECT("'"&amp;$A121&amp;"'!D14")</f>
        <v>0</v>
      </c>
      <c r="H121" s="3">
        <f t="array" aca="1" ref="H121" ca="1">INDIRECT("'"&amp;$A121&amp;"'!E14")</f>
        <v>0</v>
      </c>
      <c r="I121" s="3">
        <f t="array" aca="1" ref="I121" ca="1">INDIRECT("'"&amp;$A121&amp;"'!F14")</f>
        <v>0</v>
      </c>
      <c r="J121" s="3">
        <f t="array" aca="1" ref="J121" ca="1">INDIRECT("'"&amp;$A121&amp;"'!G14")</f>
        <v>0</v>
      </c>
      <c r="K121" s="3">
        <f t="array" aca="1" ref="K121" ca="1">INDIRECT("'"&amp;$A121&amp;"'!H14")</f>
        <v>0</v>
      </c>
      <c r="L121" s="3">
        <f t="array" aca="1" ref="L121" ca="1">INDIRECT("'"&amp;$A121&amp;"'!I14")</f>
        <v>0</v>
      </c>
      <c r="M121" s="3">
        <f t="array" aca="1" ref="M121" ca="1">INDIRECT("'"&amp;$A121&amp;"'!J14")</f>
        <v>0</v>
      </c>
      <c r="N121" s="3">
        <f t="array" aca="1" ref="N121" ca="1">INDIRECT("'"&amp;$A121&amp;"'!K14")</f>
        <v>0</v>
      </c>
      <c r="O121" s="3">
        <f t="array" aca="1" ref="O121" ca="1">INDIRECT("'"&amp;$A121&amp;"'!L14")</f>
        <v>0</v>
      </c>
      <c r="P121" s="3">
        <f t="array" aca="1" ref="P121" ca="1">INDIRECT("'"&amp;$A121&amp;"'!M14")</f>
        <v>0</v>
      </c>
      <c r="Q121" s="3">
        <f t="array" aca="1" ref="Q121" ca="1">INDIRECT("'"&amp;$A121&amp;"'!N14")</f>
        <v>0</v>
      </c>
      <c r="R121" s="3">
        <f t="array" aca="1" ref="R121" ca="1">INDIRECT("'"&amp;$A121&amp;"'!O14")</f>
        <v>0</v>
      </c>
      <c r="S121" s="3">
        <f t="array" aca="1" ref="S121" ca="1">INDIRECT("'"&amp;$A121&amp;"'!P14")</f>
        <v>0</v>
      </c>
      <c r="T121" s="3">
        <f t="array" aca="1" ref="T121" ca="1">INDIRECT("'"&amp;$A121&amp;"'!Q14")</f>
        <v>0</v>
      </c>
      <c r="U121" s="3">
        <f t="array" aca="1" ref="U121" ca="1">INDIRECT("'"&amp;$A121&amp;"'!R14")</f>
        <v>0</v>
      </c>
      <c r="V121" s="3">
        <f t="array" aca="1" ref="V121" ca="1">INDIRECT("'"&amp;$A121&amp;"'!S14")</f>
        <v>0</v>
      </c>
      <c r="W121" s="3">
        <f t="array" aca="1" ref="W121" ca="1">INDIRECT("'"&amp;$A121&amp;"'!T14")</f>
        <v>0</v>
      </c>
      <c r="X121" s="3">
        <f t="array" aca="1" ref="X121" ca="1">INDIRECT("'"&amp;$A121&amp;"'!U14")</f>
        <v>0</v>
      </c>
      <c r="Y121" s="3">
        <f t="array" aca="1" ref="Y121" ca="1">INDIRECT("'"&amp;$A121&amp;"'!V14")</f>
        <v>0</v>
      </c>
      <c r="Z121" s="3">
        <f t="array" aca="1" ref="Z121" ca="1">INDIRECT("'"&amp;$A121&amp;"'!W14")</f>
        <v>0</v>
      </c>
      <c r="AA121" s="3">
        <f t="array" aca="1" ref="AA121" ca="1">INDIRECT("'"&amp;$A121&amp;"'!X14")</f>
        <v>0</v>
      </c>
      <c r="AB121" s="3">
        <f t="array" aca="1" ref="AB121" ca="1">INDIRECT("'"&amp;$A121&amp;"'!Y14")</f>
        <v>0</v>
      </c>
      <c r="AC121" s="3">
        <f t="array" aca="1" ref="AC121" ca="1">INDIRECT("'"&amp;$A121&amp;"'!Z14")</f>
        <v>0</v>
      </c>
      <c r="AD121" s="32">
        <f t="array" aca="1" ref="AD121" ca="1">INDIRECT("'"&amp;$A121&amp;"'!AA14")</f>
        <v>0</v>
      </c>
      <c r="AE121" s="83">
        <f t="array" aca="1" ref="AE121" ca="1">INDIRECT("'"&amp;$A120&amp;"'!J4")</f>
        <v>0</v>
      </c>
      <c r="AF121" s="53"/>
    </row>
    <row r="122" spans="1:32">
      <c r="A122" s="58">
        <v>41</v>
      </c>
      <c r="B122" s="105">
        <f>INDEX(data!$I$2:$I$91,MATCH(A122*1,data!$G$2:$G$91,0))</f>
        <v>46225</v>
      </c>
      <c r="C122" s="66" t="str">
        <f>HYPERLINK("#'" &amp; A122 &amp; "'!A1", "编辑")</f>
        <v>编辑</v>
      </c>
      <c r="D122" s="54" t="s">
        <v>6</v>
      </c>
      <c r="E122" s="81">
        <f t="array" aca="1" ref="E122" ca="1">INDIRECT("'"&amp;$A123&amp;"'!I2")</f>
        <v>18</v>
      </c>
      <c r="F122" s="29">
        <f t="array" aca="1" ref="F122" ca="1">INDIRECT("'"&amp;$A122&amp;"'!C8")</f>
        <v>0</v>
      </c>
      <c r="G122" s="30">
        <f t="array" aca="1" ref="G122" ca="1">INDIRECT("'"&amp;$A122&amp;"'!D8")</f>
        <v>0</v>
      </c>
      <c r="H122" s="30">
        <f t="array" aca="1" ref="H122" ca="1">INDIRECT("'"&amp;$A122&amp;"'!E8")</f>
        <v>0</v>
      </c>
      <c r="I122" s="30">
        <f t="array" aca="1" ref="I122" ca="1">INDIRECT("'"&amp;$A122&amp;"'!F8")</f>
        <v>0</v>
      </c>
      <c r="J122" s="30">
        <f t="array" aca="1" ref="J122" ca="1">INDIRECT("'"&amp;$A122&amp;"'!G8")</f>
        <v>0</v>
      </c>
      <c r="K122" s="30">
        <f t="array" aca="1" ref="K122" ca="1">INDIRECT("'"&amp;$A122&amp;"'!H8")</f>
        <v>0</v>
      </c>
      <c r="L122" s="30">
        <f t="array" aca="1" ref="L122" ca="1">INDIRECT("'"&amp;$A122&amp;"'!I8")</f>
        <v>0</v>
      </c>
      <c r="M122" s="30">
        <f t="array" aca="1" ref="M122" ca="1">INDIRECT("'"&amp;$A122&amp;"'!J8")</f>
        <v>0</v>
      </c>
      <c r="N122" s="30">
        <f t="array" aca="1" ref="N122" ca="1">INDIRECT("'"&amp;$A122&amp;"'!K8")</f>
        <v>0</v>
      </c>
      <c r="O122" s="30">
        <f t="array" aca="1" ref="O122" ca="1">INDIRECT("'"&amp;$A122&amp;"'!L8")</f>
        <v>0</v>
      </c>
      <c r="P122" s="30">
        <f t="array" aca="1" ref="P122" ca="1">INDIRECT("'"&amp;$A122&amp;"'!M8")</f>
        <v>0</v>
      </c>
      <c r="Q122" s="30">
        <f t="array" aca="1" ref="Q122" ca="1">INDIRECT("'"&amp;$A122&amp;"'!N8")</f>
        <v>0</v>
      </c>
      <c r="R122" s="30">
        <f t="array" aca="1" ref="R122" ca="1">INDIRECT("'"&amp;$A122&amp;"'!O8")</f>
        <v>0</v>
      </c>
      <c r="S122" s="30">
        <f t="array" aca="1" ref="S122" ca="1">INDIRECT("'"&amp;$A122&amp;"'!P8")</f>
        <v>0</v>
      </c>
      <c r="T122" s="30">
        <f t="array" aca="1" ref="T122" ca="1">INDIRECT("'"&amp;$A122&amp;"'!Q8")</f>
        <v>0</v>
      </c>
      <c r="U122" s="30">
        <f t="array" aca="1" ref="U122" ca="1">INDIRECT("'"&amp;$A122&amp;"'!R8")</f>
        <v>0</v>
      </c>
      <c r="V122" s="30">
        <f t="array" aca="1" ref="V122" ca="1">INDIRECT("'"&amp;$A122&amp;"'!S8")</f>
        <v>0</v>
      </c>
      <c r="W122" s="30">
        <f t="array" aca="1" ref="W122" ca="1">INDIRECT("'"&amp;$A122&amp;"'!T8")</f>
        <v>0</v>
      </c>
      <c r="X122" s="30">
        <f t="array" aca="1" ref="X122" ca="1">INDIRECT("'"&amp;$A122&amp;"'!U8")</f>
        <v>0</v>
      </c>
      <c r="Y122" s="30">
        <f t="array" aca="1" ref="Y122" ca="1">INDIRECT("'"&amp;$A122&amp;"'!V8")</f>
        <v>0</v>
      </c>
      <c r="Z122" s="30">
        <f t="array" aca="1" ref="Z122" ca="1">INDIRECT("'"&amp;$A122&amp;"'!W8")</f>
        <v>0</v>
      </c>
      <c r="AA122" s="30">
        <f t="array" aca="1" ref="AA122" ca="1">INDIRECT("'"&amp;$A122&amp;"'!X8")</f>
        <v>0</v>
      </c>
      <c r="AB122" s="30">
        <f t="array" aca="1" ref="AB122" ca="1">INDIRECT("'"&amp;$A122&amp;"'!Y8")</f>
        <v>0</v>
      </c>
      <c r="AC122" s="30">
        <f t="array" aca="1" ref="AC122" ca="1">INDIRECT("'"&amp;$A122&amp;"'!Z8")</f>
        <v>0</v>
      </c>
      <c r="AD122" s="31">
        <f t="array" aca="1" ref="AD122" ca="1">INDIRECT("'"&amp;$A122&amp;"'!AA8")</f>
        <v>0</v>
      </c>
      <c r="AE122" s="81">
        <f t="array" aca="1" ref="AE122" ca="1">INDIRECT("'"&amp;$A123&amp;"'!J2")</f>
        <v>0</v>
      </c>
      <c r="AF122" s="53" t="str">
        <f t="array" aca="1" ref="AF122" ca="1">INDIRECT("'"&amp;$A123&amp;"'!AD1")</f>
        <v/>
      </c>
    </row>
    <row r="123" spans="1:32">
      <c r="A123" s="58">
        <v>41</v>
      </c>
      <c r="B123" s="106"/>
      <c r="C123" s="67" t="str">
        <f t="array" aca="1" ref="C123" ca="1">CONCATENATE("粮 ",INDIRECT("'"&amp;$A123&amp;"'!D4"))</f>
        <v>粮 70800</v>
      </c>
      <c r="D123" s="55" t="s">
        <v>7</v>
      </c>
      <c r="E123" s="82">
        <f t="array" aca="1" ref="E123" ca="1">INDIRECT("'"&amp;$A123&amp;"'!I3")</f>
        <v>18</v>
      </c>
      <c r="F123" s="52">
        <f t="array" aca="1" ref="F123" ca="1">INDIRECT("'"&amp;$A123&amp;"'!C11")</f>
        <v>0</v>
      </c>
      <c r="G123" s="3">
        <f t="array" aca="1" ref="G123" ca="1">INDIRECT("'"&amp;$A123&amp;"'!D11")</f>
        <v>0</v>
      </c>
      <c r="H123" s="3">
        <f t="array" aca="1" ref="H123" ca="1">INDIRECT("'"&amp;$A123&amp;"'!E11")</f>
        <v>0</v>
      </c>
      <c r="I123" s="3">
        <f t="array" aca="1" ref="I123" ca="1">INDIRECT("'"&amp;$A123&amp;"'!F11")</f>
        <v>0</v>
      </c>
      <c r="J123" s="3">
        <f t="array" aca="1" ref="J123" ca="1">INDIRECT("'"&amp;$A123&amp;"'!G11")</f>
        <v>0</v>
      </c>
      <c r="K123" s="3">
        <f t="array" aca="1" ref="K123" ca="1">INDIRECT("'"&amp;$A123&amp;"'!H11")</f>
        <v>0</v>
      </c>
      <c r="L123" s="3">
        <f t="array" aca="1" ref="L123" ca="1">INDIRECT("'"&amp;$A123&amp;"'!I11")</f>
        <v>0</v>
      </c>
      <c r="M123" s="3">
        <f t="array" aca="1" ref="M123" ca="1">INDIRECT("'"&amp;$A123&amp;"'!J11")</f>
        <v>0</v>
      </c>
      <c r="N123" s="3">
        <f t="array" aca="1" ref="N123" ca="1">INDIRECT("'"&amp;$A123&amp;"'!K11")</f>
        <v>0</v>
      </c>
      <c r="O123" s="3">
        <f t="array" aca="1" ref="O123" ca="1">INDIRECT("'"&amp;$A123&amp;"'!L11")</f>
        <v>0</v>
      </c>
      <c r="P123" s="3">
        <f t="array" aca="1" ref="P123" ca="1">INDIRECT("'"&amp;$A123&amp;"'!M11")</f>
        <v>0</v>
      </c>
      <c r="Q123" s="3">
        <f t="array" aca="1" ref="Q123" ca="1">INDIRECT("'"&amp;$A123&amp;"'!N11")</f>
        <v>0</v>
      </c>
      <c r="R123" s="3">
        <f t="array" aca="1" ref="R123" ca="1">INDIRECT("'"&amp;$A123&amp;"'!O11")</f>
        <v>0</v>
      </c>
      <c r="S123" s="3">
        <f t="array" aca="1" ref="S123" ca="1">INDIRECT("'"&amp;$A123&amp;"'!P11")</f>
        <v>0</v>
      </c>
      <c r="T123" s="3">
        <f t="array" aca="1" ref="T123" ca="1">INDIRECT("'"&amp;$A123&amp;"'!Q11")</f>
        <v>0</v>
      </c>
      <c r="U123" s="3">
        <f t="array" aca="1" ref="U123" ca="1">INDIRECT("'"&amp;$A123&amp;"'!R11")</f>
        <v>0</v>
      </c>
      <c r="V123" s="3">
        <f t="array" aca="1" ref="V123" ca="1">INDIRECT("'"&amp;$A123&amp;"'!S11")</f>
        <v>0</v>
      </c>
      <c r="W123" s="3">
        <f t="array" aca="1" ref="W123" ca="1">INDIRECT("'"&amp;$A123&amp;"'!T11")</f>
        <v>0</v>
      </c>
      <c r="X123" s="3">
        <f t="array" aca="1" ref="X123" ca="1">INDIRECT("'"&amp;$A123&amp;"'!U11")</f>
        <v>0</v>
      </c>
      <c r="Y123" s="3">
        <f t="array" aca="1" ref="Y123" ca="1">INDIRECT("'"&amp;$A123&amp;"'!V11")</f>
        <v>0</v>
      </c>
      <c r="Z123" s="3">
        <f t="array" aca="1" ref="Z123" ca="1">INDIRECT("'"&amp;$A123&amp;"'!W11")</f>
        <v>0</v>
      </c>
      <c r="AA123" s="3">
        <f t="array" aca="1" ref="AA123" ca="1">INDIRECT("'"&amp;$A123&amp;"'!X11")</f>
        <v>0</v>
      </c>
      <c r="AB123" s="3">
        <f t="array" aca="1" ref="AB123" ca="1">INDIRECT("'"&amp;$A123&amp;"'!Y11")</f>
        <v>0</v>
      </c>
      <c r="AC123" s="3">
        <f t="array" aca="1" ref="AC123" ca="1">INDIRECT("'"&amp;$A123&amp;"'!Z11")</f>
        <v>0</v>
      </c>
      <c r="AD123" s="32">
        <f t="array" aca="1" ref="AD123" ca="1">INDIRECT("'"&amp;$A123&amp;"'!AA11")</f>
        <v>0</v>
      </c>
      <c r="AE123" s="82">
        <f t="array" aca="1" ref="AE123" ca="1">INDIRECT("'"&amp;$A123&amp;"'!J3")</f>
        <v>0</v>
      </c>
      <c r="AF123" s="53" t="str">
        <f t="array" aca="1" ref="AF123" ca="1">INDIRECT("'"&amp;$A123&amp;"'!AC1")</f>
        <v/>
      </c>
    </row>
    <row r="124" spans="1:32" ht="15.75" customHeight="1" thickBot="1">
      <c r="A124" s="58">
        <v>41</v>
      </c>
      <c r="B124" s="107"/>
      <c r="C124" s="77" t="str">
        <f t="array" aca="1" ref="C124" ca="1">CONCATENATE("分 ",INDIRECT("'"&amp;$A123&amp;"'!D6"))</f>
        <v>分 0</v>
      </c>
      <c r="D124" s="56" t="s">
        <v>8</v>
      </c>
      <c r="E124" s="83">
        <f t="array" aca="1" ref="E124" ca="1">INDIRECT("'"&amp;$A123&amp;"'!I4")</f>
        <v>18</v>
      </c>
      <c r="F124" s="52">
        <f t="array" aca="1" ref="F124" ca="1">INDIRECT("'"&amp;$A124&amp;"'!C14")</f>
        <v>0</v>
      </c>
      <c r="G124" s="3">
        <f t="array" aca="1" ref="G124" ca="1">INDIRECT("'"&amp;$A124&amp;"'!D14")</f>
        <v>0</v>
      </c>
      <c r="H124" s="3">
        <f t="array" aca="1" ref="H124" ca="1">INDIRECT("'"&amp;$A124&amp;"'!E14")</f>
        <v>0</v>
      </c>
      <c r="I124" s="3">
        <f t="array" aca="1" ref="I124" ca="1">INDIRECT("'"&amp;$A124&amp;"'!F14")</f>
        <v>0</v>
      </c>
      <c r="J124" s="3">
        <f t="array" aca="1" ref="J124" ca="1">INDIRECT("'"&amp;$A124&amp;"'!G14")</f>
        <v>0</v>
      </c>
      <c r="K124" s="3">
        <f t="array" aca="1" ref="K124" ca="1">INDIRECT("'"&amp;$A124&amp;"'!H14")</f>
        <v>0</v>
      </c>
      <c r="L124" s="3">
        <f t="array" aca="1" ref="L124" ca="1">INDIRECT("'"&amp;$A124&amp;"'!I14")</f>
        <v>0</v>
      </c>
      <c r="M124" s="3">
        <f t="array" aca="1" ref="M124" ca="1">INDIRECT("'"&amp;$A124&amp;"'!J14")</f>
        <v>0</v>
      </c>
      <c r="N124" s="3">
        <f t="array" aca="1" ref="N124" ca="1">INDIRECT("'"&amp;$A124&amp;"'!K14")</f>
        <v>0</v>
      </c>
      <c r="O124" s="3">
        <f t="array" aca="1" ref="O124" ca="1">INDIRECT("'"&amp;$A124&amp;"'!L14")</f>
        <v>0</v>
      </c>
      <c r="P124" s="3">
        <f t="array" aca="1" ref="P124" ca="1">INDIRECT("'"&amp;$A124&amp;"'!M14")</f>
        <v>0</v>
      </c>
      <c r="Q124" s="3">
        <f t="array" aca="1" ref="Q124" ca="1">INDIRECT("'"&amp;$A124&amp;"'!N14")</f>
        <v>0</v>
      </c>
      <c r="R124" s="3">
        <f t="array" aca="1" ref="R124" ca="1">INDIRECT("'"&amp;$A124&amp;"'!O14")</f>
        <v>0</v>
      </c>
      <c r="S124" s="3">
        <f t="array" aca="1" ref="S124" ca="1">INDIRECT("'"&amp;$A124&amp;"'!P14")</f>
        <v>0</v>
      </c>
      <c r="T124" s="3">
        <f t="array" aca="1" ref="T124" ca="1">INDIRECT("'"&amp;$A124&amp;"'!Q14")</f>
        <v>0</v>
      </c>
      <c r="U124" s="3">
        <f t="array" aca="1" ref="U124" ca="1">INDIRECT("'"&amp;$A124&amp;"'!R14")</f>
        <v>0</v>
      </c>
      <c r="V124" s="3">
        <f t="array" aca="1" ref="V124" ca="1">INDIRECT("'"&amp;$A124&amp;"'!S14")</f>
        <v>0</v>
      </c>
      <c r="W124" s="3">
        <f t="array" aca="1" ref="W124" ca="1">INDIRECT("'"&amp;$A124&amp;"'!T14")</f>
        <v>0</v>
      </c>
      <c r="X124" s="3">
        <f t="array" aca="1" ref="X124" ca="1">INDIRECT("'"&amp;$A124&amp;"'!U14")</f>
        <v>0</v>
      </c>
      <c r="Y124" s="3">
        <f t="array" aca="1" ref="Y124" ca="1">INDIRECT("'"&amp;$A124&amp;"'!V14")</f>
        <v>0</v>
      </c>
      <c r="Z124" s="3">
        <f t="array" aca="1" ref="Z124" ca="1">INDIRECT("'"&amp;$A124&amp;"'!W14")</f>
        <v>0</v>
      </c>
      <c r="AA124" s="3">
        <f t="array" aca="1" ref="AA124" ca="1">INDIRECT("'"&amp;$A124&amp;"'!X14")</f>
        <v>0</v>
      </c>
      <c r="AB124" s="3">
        <f t="array" aca="1" ref="AB124" ca="1">INDIRECT("'"&amp;$A124&amp;"'!Y14")</f>
        <v>0</v>
      </c>
      <c r="AC124" s="3">
        <f t="array" aca="1" ref="AC124" ca="1">INDIRECT("'"&amp;$A124&amp;"'!Z14")</f>
        <v>0</v>
      </c>
      <c r="AD124" s="32">
        <f t="array" aca="1" ref="AD124" ca="1">INDIRECT("'"&amp;$A124&amp;"'!AA14")</f>
        <v>0</v>
      </c>
      <c r="AE124" s="83">
        <f t="array" aca="1" ref="AE124" ca="1">INDIRECT("'"&amp;$A123&amp;"'!J4")</f>
        <v>0</v>
      </c>
      <c r="AF124" s="53"/>
    </row>
    <row r="125" spans="1:32">
      <c r="A125" s="58">
        <v>42</v>
      </c>
      <c r="B125" s="105">
        <f>INDEX(data!$I$2:$I$91,MATCH(A125*1,data!$G$2:$G$91,0))</f>
        <v>46226</v>
      </c>
      <c r="C125" s="66" t="str">
        <f>HYPERLINK("#'" &amp; A125 &amp; "'!A1", "编辑")</f>
        <v>编辑</v>
      </c>
      <c r="D125" s="54" t="s">
        <v>6</v>
      </c>
      <c r="E125" s="81">
        <f t="array" aca="1" ref="E125" ca="1">INDIRECT("'"&amp;$A126&amp;"'!I2")</f>
        <v>18</v>
      </c>
      <c r="F125" s="29">
        <f t="array" aca="1" ref="F125" ca="1">INDIRECT("'"&amp;$A125&amp;"'!C8")</f>
        <v>0</v>
      </c>
      <c r="G125" s="30">
        <f t="array" aca="1" ref="G125" ca="1">INDIRECT("'"&amp;$A125&amp;"'!D8")</f>
        <v>0</v>
      </c>
      <c r="H125" s="30">
        <f t="array" aca="1" ref="H125" ca="1">INDIRECT("'"&amp;$A125&amp;"'!E8")</f>
        <v>0</v>
      </c>
      <c r="I125" s="30">
        <f t="array" aca="1" ref="I125" ca="1">INDIRECT("'"&amp;$A125&amp;"'!F8")</f>
        <v>0</v>
      </c>
      <c r="J125" s="30">
        <f t="array" aca="1" ref="J125" ca="1">INDIRECT("'"&amp;$A125&amp;"'!G8")</f>
        <v>0</v>
      </c>
      <c r="K125" s="30">
        <f t="array" aca="1" ref="K125" ca="1">INDIRECT("'"&amp;$A125&amp;"'!H8")</f>
        <v>0</v>
      </c>
      <c r="L125" s="30">
        <f t="array" aca="1" ref="L125" ca="1">INDIRECT("'"&amp;$A125&amp;"'!I8")</f>
        <v>0</v>
      </c>
      <c r="M125" s="30">
        <f t="array" aca="1" ref="M125" ca="1">INDIRECT("'"&amp;$A125&amp;"'!J8")</f>
        <v>0</v>
      </c>
      <c r="N125" s="30">
        <f t="array" aca="1" ref="N125" ca="1">INDIRECT("'"&amp;$A125&amp;"'!K8")</f>
        <v>0</v>
      </c>
      <c r="O125" s="30">
        <f t="array" aca="1" ref="O125" ca="1">INDIRECT("'"&amp;$A125&amp;"'!L8")</f>
        <v>0</v>
      </c>
      <c r="P125" s="30">
        <f t="array" aca="1" ref="P125" ca="1">INDIRECT("'"&amp;$A125&amp;"'!M8")</f>
        <v>0</v>
      </c>
      <c r="Q125" s="30">
        <f t="array" aca="1" ref="Q125" ca="1">INDIRECT("'"&amp;$A125&amp;"'!N8")</f>
        <v>0</v>
      </c>
      <c r="R125" s="30">
        <f t="array" aca="1" ref="R125" ca="1">INDIRECT("'"&amp;$A125&amp;"'!O8")</f>
        <v>0</v>
      </c>
      <c r="S125" s="30">
        <f t="array" aca="1" ref="S125" ca="1">INDIRECT("'"&amp;$A125&amp;"'!P8")</f>
        <v>0</v>
      </c>
      <c r="T125" s="30">
        <f t="array" aca="1" ref="T125" ca="1">INDIRECT("'"&amp;$A125&amp;"'!Q8")</f>
        <v>0</v>
      </c>
      <c r="U125" s="30">
        <f t="array" aca="1" ref="U125" ca="1">INDIRECT("'"&amp;$A125&amp;"'!R8")</f>
        <v>0</v>
      </c>
      <c r="V125" s="30">
        <f t="array" aca="1" ref="V125" ca="1">INDIRECT("'"&amp;$A125&amp;"'!S8")</f>
        <v>0</v>
      </c>
      <c r="W125" s="30">
        <f t="array" aca="1" ref="W125" ca="1">INDIRECT("'"&amp;$A125&amp;"'!T8")</f>
        <v>0</v>
      </c>
      <c r="X125" s="30">
        <f t="array" aca="1" ref="X125" ca="1">INDIRECT("'"&amp;$A125&amp;"'!U8")</f>
        <v>0</v>
      </c>
      <c r="Y125" s="30">
        <f t="array" aca="1" ref="Y125" ca="1">INDIRECT("'"&amp;$A125&amp;"'!V8")</f>
        <v>0</v>
      </c>
      <c r="Z125" s="30">
        <f t="array" aca="1" ref="Z125" ca="1">INDIRECT("'"&amp;$A125&amp;"'!W8")</f>
        <v>0</v>
      </c>
      <c r="AA125" s="30">
        <f t="array" aca="1" ref="AA125" ca="1">INDIRECT("'"&amp;$A125&amp;"'!X8")</f>
        <v>0</v>
      </c>
      <c r="AB125" s="30">
        <f t="array" aca="1" ref="AB125" ca="1">INDIRECT("'"&amp;$A125&amp;"'!Y8")</f>
        <v>0</v>
      </c>
      <c r="AC125" s="30">
        <f t="array" aca="1" ref="AC125" ca="1">INDIRECT("'"&amp;$A125&amp;"'!Z8")</f>
        <v>0</v>
      </c>
      <c r="AD125" s="31">
        <f t="array" aca="1" ref="AD125" ca="1">INDIRECT("'"&amp;$A125&amp;"'!AA8")</f>
        <v>0</v>
      </c>
      <c r="AE125" s="81">
        <f t="array" aca="1" ref="AE125" ca="1">INDIRECT("'"&amp;$A126&amp;"'!J2")</f>
        <v>0</v>
      </c>
      <c r="AF125" s="53" t="str">
        <f t="array" aca="1" ref="AF125" ca="1">INDIRECT("'"&amp;$A126&amp;"'!AD1")</f>
        <v/>
      </c>
    </row>
    <row r="126" spans="1:32">
      <c r="A126" s="58">
        <v>42</v>
      </c>
      <c r="B126" s="106"/>
      <c r="C126" s="67" t="str">
        <f t="array" aca="1" ref="C126" ca="1">CONCATENATE("粮 ",INDIRECT("'"&amp;$A126&amp;"'!D4"))</f>
        <v>粮 72400</v>
      </c>
      <c r="D126" s="55" t="s">
        <v>7</v>
      </c>
      <c r="E126" s="82">
        <f t="array" aca="1" ref="E126" ca="1">INDIRECT("'"&amp;$A126&amp;"'!I3")</f>
        <v>18</v>
      </c>
      <c r="F126" s="52">
        <f t="array" aca="1" ref="F126" ca="1">INDIRECT("'"&amp;$A126&amp;"'!C11")</f>
        <v>0</v>
      </c>
      <c r="G126" s="3">
        <f t="array" aca="1" ref="G126" ca="1">INDIRECT("'"&amp;$A126&amp;"'!D11")</f>
        <v>0</v>
      </c>
      <c r="H126" s="3">
        <f t="array" aca="1" ref="H126" ca="1">INDIRECT("'"&amp;$A126&amp;"'!E11")</f>
        <v>0</v>
      </c>
      <c r="I126" s="3">
        <f t="array" aca="1" ref="I126" ca="1">INDIRECT("'"&amp;$A126&amp;"'!F11")</f>
        <v>0</v>
      </c>
      <c r="J126" s="3">
        <f t="array" aca="1" ref="J126" ca="1">INDIRECT("'"&amp;$A126&amp;"'!G11")</f>
        <v>0</v>
      </c>
      <c r="K126" s="3">
        <f t="array" aca="1" ref="K126" ca="1">INDIRECT("'"&amp;$A126&amp;"'!H11")</f>
        <v>0</v>
      </c>
      <c r="L126" s="3">
        <f t="array" aca="1" ref="L126" ca="1">INDIRECT("'"&amp;$A126&amp;"'!I11")</f>
        <v>0</v>
      </c>
      <c r="M126" s="3">
        <f t="array" aca="1" ref="M126" ca="1">INDIRECT("'"&amp;$A126&amp;"'!J11")</f>
        <v>0</v>
      </c>
      <c r="N126" s="3">
        <f t="array" aca="1" ref="N126" ca="1">INDIRECT("'"&amp;$A126&amp;"'!K11")</f>
        <v>0</v>
      </c>
      <c r="O126" s="3">
        <f t="array" aca="1" ref="O126" ca="1">INDIRECT("'"&amp;$A126&amp;"'!L11")</f>
        <v>0</v>
      </c>
      <c r="P126" s="3">
        <f t="array" aca="1" ref="P126" ca="1">INDIRECT("'"&amp;$A126&amp;"'!M11")</f>
        <v>0</v>
      </c>
      <c r="Q126" s="3">
        <f t="array" aca="1" ref="Q126" ca="1">INDIRECT("'"&amp;$A126&amp;"'!N11")</f>
        <v>0</v>
      </c>
      <c r="R126" s="3">
        <f t="array" aca="1" ref="R126" ca="1">INDIRECT("'"&amp;$A126&amp;"'!O11")</f>
        <v>0</v>
      </c>
      <c r="S126" s="3">
        <f t="array" aca="1" ref="S126" ca="1">INDIRECT("'"&amp;$A126&amp;"'!P11")</f>
        <v>0</v>
      </c>
      <c r="T126" s="3">
        <f t="array" aca="1" ref="T126" ca="1">INDIRECT("'"&amp;$A126&amp;"'!Q11")</f>
        <v>0</v>
      </c>
      <c r="U126" s="3">
        <f t="array" aca="1" ref="U126" ca="1">INDIRECT("'"&amp;$A126&amp;"'!R11")</f>
        <v>0</v>
      </c>
      <c r="V126" s="3">
        <f t="array" aca="1" ref="V126" ca="1">INDIRECT("'"&amp;$A126&amp;"'!S11")</f>
        <v>0</v>
      </c>
      <c r="W126" s="3">
        <f t="array" aca="1" ref="W126" ca="1">INDIRECT("'"&amp;$A126&amp;"'!T11")</f>
        <v>0</v>
      </c>
      <c r="X126" s="3">
        <f t="array" aca="1" ref="X126" ca="1">INDIRECT("'"&amp;$A126&amp;"'!U11")</f>
        <v>0</v>
      </c>
      <c r="Y126" s="3">
        <f t="array" aca="1" ref="Y126" ca="1">INDIRECT("'"&amp;$A126&amp;"'!V11")</f>
        <v>0</v>
      </c>
      <c r="Z126" s="3">
        <f t="array" aca="1" ref="Z126" ca="1">INDIRECT("'"&amp;$A126&amp;"'!W11")</f>
        <v>0</v>
      </c>
      <c r="AA126" s="3">
        <f t="array" aca="1" ref="AA126" ca="1">INDIRECT("'"&amp;$A126&amp;"'!X11")</f>
        <v>0</v>
      </c>
      <c r="AB126" s="3">
        <f t="array" aca="1" ref="AB126" ca="1">INDIRECT("'"&amp;$A126&amp;"'!Y11")</f>
        <v>0</v>
      </c>
      <c r="AC126" s="3">
        <f t="array" aca="1" ref="AC126" ca="1">INDIRECT("'"&amp;$A126&amp;"'!Z11")</f>
        <v>0</v>
      </c>
      <c r="AD126" s="32">
        <f t="array" aca="1" ref="AD126" ca="1">INDIRECT("'"&amp;$A126&amp;"'!AA11")</f>
        <v>0</v>
      </c>
      <c r="AE126" s="82">
        <f t="array" aca="1" ref="AE126" ca="1">INDIRECT("'"&amp;$A126&amp;"'!J3")</f>
        <v>0</v>
      </c>
      <c r="AF126" s="53" t="str">
        <f t="array" aca="1" ref="AF126" ca="1">INDIRECT("'"&amp;$A126&amp;"'!AC1")</f>
        <v/>
      </c>
    </row>
    <row r="127" spans="1:32" ht="15.75" customHeight="1" thickBot="1">
      <c r="A127" s="58">
        <v>42</v>
      </c>
      <c r="B127" s="107"/>
      <c r="C127" s="77" t="str">
        <f t="array" aca="1" ref="C127" ca="1">CONCATENATE("分 ",INDIRECT("'"&amp;$A126&amp;"'!D6"))</f>
        <v>分 0</v>
      </c>
      <c r="D127" s="56" t="s">
        <v>8</v>
      </c>
      <c r="E127" s="83">
        <f t="array" aca="1" ref="E127" ca="1">INDIRECT("'"&amp;$A126&amp;"'!I4")</f>
        <v>18</v>
      </c>
      <c r="F127" s="52">
        <f t="array" aca="1" ref="F127" ca="1">INDIRECT("'"&amp;$A127&amp;"'!C14")</f>
        <v>0</v>
      </c>
      <c r="G127" s="3">
        <f t="array" aca="1" ref="G127" ca="1">INDIRECT("'"&amp;$A127&amp;"'!D14")</f>
        <v>0</v>
      </c>
      <c r="H127" s="3">
        <f t="array" aca="1" ref="H127" ca="1">INDIRECT("'"&amp;$A127&amp;"'!E14")</f>
        <v>0</v>
      </c>
      <c r="I127" s="3">
        <f t="array" aca="1" ref="I127" ca="1">INDIRECT("'"&amp;$A127&amp;"'!F14")</f>
        <v>0</v>
      </c>
      <c r="J127" s="3">
        <f t="array" aca="1" ref="J127" ca="1">INDIRECT("'"&amp;$A127&amp;"'!G14")</f>
        <v>0</v>
      </c>
      <c r="K127" s="3">
        <f t="array" aca="1" ref="K127" ca="1">INDIRECT("'"&amp;$A127&amp;"'!H14")</f>
        <v>0</v>
      </c>
      <c r="L127" s="3">
        <f t="array" aca="1" ref="L127" ca="1">INDIRECT("'"&amp;$A127&amp;"'!I14")</f>
        <v>0</v>
      </c>
      <c r="M127" s="3">
        <f t="array" aca="1" ref="M127" ca="1">INDIRECT("'"&amp;$A127&amp;"'!J14")</f>
        <v>0</v>
      </c>
      <c r="N127" s="3">
        <f t="array" aca="1" ref="N127" ca="1">INDIRECT("'"&amp;$A127&amp;"'!K14")</f>
        <v>0</v>
      </c>
      <c r="O127" s="3">
        <f t="array" aca="1" ref="O127" ca="1">INDIRECT("'"&amp;$A127&amp;"'!L14")</f>
        <v>0</v>
      </c>
      <c r="P127" s="3">
        <f t="array" aca="1" ref="P127" ca="1">INDIRECT("'"&amp;$A127&amp;"'!M14")</f>
        <v>0</v>
      </c>
      <c r="Q127" s="3">
        <f t="array" aca="1" ref="Q127" ca="1">INDIRECT("'"&amp;$A127&amp;"'!N14")</f>
        <v>0</v>
      </c>
      <c r="R127" s="3">
        <f t="array" aca="1" ref="R127" ca="1">INDIRECT("'"&amp;$A127&amp;"'!O14")</f>
        <v>0</v>
      </c>
      <c r="S127" s="3">
        <f t="array" aca="1" ref="S127" ca="1">INDIRECT("'"&amp;$A127&amp;"'!P14")</f>
        <v>0</v>
      </c>
      <c r="T127" s="3">
        <f t="array" aca="1" ref="T127" ca="1">INDIRECT("'"&amp;$A127&amp;"'!Q14")</f>
        <v>0</v>
      </c>
      <c r="U127" s="3">
        <f t="array" aca="1" ref="U127" ca="1">INDIRECT("'"&amp;$A127&amp;"'!R14")</f>
        <v>0</v>
      </c>
      <c r="V127" s="3">
        <f t="array" aca="1" ref="V127" ca="1">INDIRECT("'"&amp;$A127&amp;"'!S14")</f>
        <v>0</v>
      </c>
      <c r="W127" s="3">
        <f t="array" aca="1" ref="W127" ca="1">INDIRECT("'"&amp;$A127&amp;"'!T14")</f>
        <v>0</v>
      </c>
      <c r="X127" s="3">
        <f t="array" aca="1" ref="X127" ca="1">INDIRECT("'"&amp;$A127&amp;"'!U14")</f>
        <v>0</v>
      </c>
      <c r="Y127" s="3">
        <f t="array" aca="1" ref="Y127" ca="1">INDIRECT("'"&amp;$A127&amp;"'!V14")</f>
        <v>0</v>
      </c>
      <c r="Z127" s="3">
        <f t="array" aca="1" ref="Z127" ca="1">INDIRECT("'"&amp;$A127&amp;"'!W14")</f>
        <v>0</v>
      </c>
      <c r="AA127" s="3">
        <f t="array" aca="1" ref="AA127" ca="1">INDIRECT("'"&amp;$A127&amp;"'!X14")</f>
        <v>0</v>
      </c>
      <c r="AB127" s="3">
        <f t="array" aca="1" ref="AB127" ca="1">INDIRECT("'"&amp;$A127&amp;"'!Y14")</f>
        <v>0</v>
      </c>
      <c r="AC127" s="3">
        <f t="array" aca="1" ref="AC127" ca="1">INDIRECT("'"&amp;$A127&amp;"'!Z14")</f>
        <v>0</v>
      </c>
      <c r="AD127" s="32">
        <f t="array" aca="1" ref="AD127" ca="1">INDIRECT("'"&amp;$A127&amp;"'!AA14")</f>
        <v>0</v>
      </c>
      <c r="AE127" s="83">
        <f t="array" aca="1" ref="AE127" ca="1">INDIRECT("'"&amp;$A126&amp;"'!J4")</f>
        <v>0</v>
      </c>
      <c r="AF127" s="53"/>
    </row>
    <row r="128" spans="1:32">
      <c r="A128" s="58">
        <v>43</v>
      </c>
      <c r="B128" s="105">
        <f>INDEX(data!$I$2:$I$91,MATCH(A128*1,data!$G$2:$G$91,0))</f>
        <v>46227</v>
      </c>
      <c r="C128" s="66" t="str">
        <f>HYPERLINK("#'" &amp; A128 &amp; "'!A1", "编辑")</f>
        <v>编辑</v>
      </c>
      <c r="D128" s="54" t="s">
        <v>6</v>
      </c>
      <c r="E128" s="81">
        <f t="array" aca="1" ref="E128" ca="1">INDIRECT("'"&amp;$A129&amp;"'!I2")</f>
        <v>18</v>
      </c>
      <c r="F128" s="29">
        <f t="array" aca="1" ref="F128" ca="1">INDIRECT("'"&amp;$A128&amp;"'!C8")</f>
        <v>0</v>
      </c>
      <c r="G128" s="30">
        <f t="array" aca="1" ref="G128" ca="1">INDIRECT("'"&amp;$A128&amp;"'!D8")</f>
        <v>0</v>
      </c>
      <c r="H128" s="30">
        <f t="array" aca="1" ref="H128" ca="1">INDIRECT("'"&amp;$A128&amp;"'!E8")</f>
        <v>0</v>
      </c>
      <c r="I128" s="30">
        <f t="array" aca="1" ref="I128" ca="1">INDIRECT("'"&amp;$A128&amp;"'!F8")</f>
        <v>0</v>
      </c>
      <c r="J128" s="30">
        <f t="array" aca="1" ref="J128" ca="1">INDIRECT("'"&amp;$A128&amp;"'!G8")</f>
        <v>0</v>
      </c>
      <c r="K128" s="30">
        <f t="array" aca="1" ref="K128" ca="1">INDIRECT("'"&amp;$A128&amp;"'!H8")</f>
        <v>0</v>
      </c>
      <c r="L128" s="30">
        <f t="array" aca="1" ref="L128" ca="1">INDIRECT("'"&amp;$A128&amp;"'!I8")</f>
        <v>0</v>
      </c>
      <c r="M128" s="30">
        <f t="array" aca="1" ref="M128" ca="1">INDIRECT("'"&amp;$A128&amp;"'!J8")</f>
        <v>0</v>
      </c>
      <c r="N128" s="30">
        <f t="array" aca="1" ref="N128" ca="1">INDIRECT("'"&amp;$A128&amp;"'!K8")</f>
        <v>0</v>
      </c>
      <c r="O128" s="30">
        <f t="array" aca="1" ref="O128" ca="1">INDIRECT("'"&amp;$A128&amp;"'!L8")</f>
        <v>0</v>
      </c>
      <c r="P128" s="30">
        <f t="array" aca="1" ref="P128" ca="1">INDIRECT("'"&amp;$A128&amp;"'!M8")</f>
        <v>0</v>
      </c>
      <c r="Q128" s="30">
        <f t="array" aca="1" ref="Q128" ca="1">INDIRECT("'"&amp;$A128&amp;"'!N8")</f>
        <v>0</v>
      </c>
      <c r="R128" s="30">
        <f t="array" aca="1" ref="R128" ca="1">INDIRECT("'"&amp;$A128&amp;"'!O8")</f>
        <v>0</v>
      </c>
      <c r="S128" s="30">
        <f t="array" aca="1" ref="S128" ca="1">INDIRECT("'"&amp;$A128&amp;"'!P8")</f>
        <v>0</v>
      </c>
      <c r="T128" s="30">
        <f t="array" aca="1" ref="T128" ca="1">INDIRECT("'"&amp;$A128&amp;"'!Q8")</f>
        <v>0</v>
      </c>
      <c r="U128" s="30">
        <f t="array" aca="1" ref="U128" ca="1">INDIRECT("'"&amp;$A128&amp;"'!R8")</f>
        <v>0</v>
      </c>
      <c r="V128" s="30">
        <f t="array" aca="1" ref="V128" ca="1">INDIRECT("'"&amp;$A128&amp;"'!S8")</f>
        <v>0</v>
      </c>
      <c r="W128" s="30">
        <f t="array" aca="1" ref="W128" ca="1">INDIRECT("'"&amp;$A128&amp;"'!T8")</f>
        <v>0</v>
      </c>
      <c r="X128" s="30">
        <f t="array" aca="1" ref="X128" ca="1">INDIRECT("'"&amp;$A128&amp;"'!U8")</f>
        <v>0</v>
      </c>
      <c r="Y128" s="30">
        <f t="array" aca="1" ref="Y128" ca="1">INDIRECT("'"&amp;$A128&amp;"'!V8")</f>
        <v>0</v>
      </c>
      <c r="Z128" s="30">
        <f t="array" aca="1" ref="Z128" ca="1">INDIRECT("'"&amp;$A128&amp;"'!W8")</f>
        <v>0</v>
      </c>
      <c r="AA128" s="30">
        <f t="array" aca="1" ref="AA128" ca="1">INDIRECT("'"&amp;$A128&amp;"'!X8")</f>
        <v>0</v>
      </c>
      <c r="AB128" s="30">
        <f t="array" aca="1" ref="AB128" ca="1">INDIRECT("'"&amp;$A128&amp;"'!Y8")</f>
        <v>0</v>
      </c>
      <c r="AC128" s="30">
        <f t="array" aca="1" ref="AC128" ca="1">INDIRECT("'"&amp;$A128&amp;"'!Z8")</f>
        <v>0</v>
      </c>
      <c r="AD128" s="31">
        <f t="array" aca="1" ref="AD128" ca="1">INDIRECT("'"&amp;$A128&amp;"'!AA8")</f>
        <v>0</v>
      </c>
      <c r="AE128" s="81">
        <f t="array" aca="1" ref="AE128" ca="1">INDIRECT("'"&amp;$A129&amp;"'!J2")</f>
        <v>0</v>
      </c>
      <c r="AF128" s="53" t="str">
        <f t="array" aca="1" ref="AF128" ca="1">INDIRECT("'"&amp;$A129&amp;"'!AD1")</f>
        <v/>
      </c>
    </row>
    <row r="129" spans="1:32">
      <c r="A129" s="58">
        <v>43</v>
      </c>
      <c r="B129" s="106"/>
      <c r="C129" s="67" t="str">
        <f t="array" aca="1" ref="C129" ca="1">CONCATENATE("粮 ",INDIRECT("'"&amp;$A129&amp;"'!D4"))</f>
        <v>粮 74000</v>
      </c>
      <c r="D129" s="55" t="s">
        <v>7</v>
      </c>
      <c r="E129" s="82">
        <f t="array" aca="1" ref="E129" ca="1">INDIRECT("'"&amp;$A129&amp;"'!I3")</f>
        <v>18</v>
      </c>
      <c r="F129" s="52">
        <f t="array" aca="1" ref="F129" ca="1">INDIRECT("'"&amp;$A129&amp;"'!C11")</f>
        <v>0</v>
      </c>
      <c r="G129" s="3">
        <f t="array" aca="1" ref="G129" ca="1">INDIRECT("'"&amp;$A129&amp;"'!D11")</f>
        <v>0</v>
      </c>
      <c r="H129" s="3">
        <f t="array" aca="1" ref="H129" ca="1">INDIRECT("'"&amp;$A129&amp;"'!E11")</f>
        <v>0</v>
      </c>
      <c r="I129" s="3">
        <f t="array" aca="1" ref="I129" ca="1">INDIRECT("'"&amp;$A129&amp;"'!F11")</f>
        <v>0</v>
      </c>
      <c r="J129" s="3">
        <f t="array" aca="1" ref="J129" ca="1">INDIRECT("'"&amp;$A129&amp;"'!G11")</f>
        <v>0</v>
      </c>
      <c r="K129" s="3">
        <f t="array" aca="1" ref="K129" ca="1">INDIRECT("'"&amp;$A129&amp;"'!H11")</f>
        <v>0</v>
      </c>
      <c r="L129" s="3">
        <f t="array" aca="1" ref="L129" ca="1">INDIRECT("'"&amp;$A129&amp;"'!I11")</f>
        <v>0</v>
      </c>
      <c r="M129" s="3">
        <f t="array" aca="1" ref="M129" ca="1">INDIRECT("'"&amp;$A129&amp;"'!J11")</f>
        <v>0</v>
      </c>
      <c r="N129" s="3">
        <f t="array" aca="1" ref="N129" ca="1">INDIRECT("'"&amp;$A129&amp;"'!K11")</f>
        <v>0</v>
      </c>
      <c r="O129" s="3">
        <f t="array" aca="1" ref="O129" ca="1">INDIRECT("'"&amp;$A129&amp;"'!L11")</f>
        <v>0</v>
      </c>
      <c r="P129" s="3">
        <f t="array" aca="1" ref="P129" ca="1">INDIRECT("'"&amp;$A129&amp;"'!M11")</f>
        <v>0</v>
      </c>
      <c r="Q129" s="3">
        <f t="array" aca="1" ref="Q129" ca="1">INDIRECT("'"&amp;$A129&amp;"'!N11")</f>
        <v>0</v>
      </c>
      <c r="R129" s="3">
        <f t="array" aca="1" ref="R129" ca="1">INDIRECT("'"&amp;$A129&amp;"'!O11")</f>
        <v>0</v>
      </c>
      <c r="S129" s="3">
        <f t="array" aca="1" ref="S129" ca="1">INDIRECT("'"&amp;$A129&amp;"'!P11")</f>
        <v>0</v>
      </c>
      <c r="T129" s="3">
        <f t="array" aca="1" ref="T129" ca="1">INDIRECT("'"&amp;$A129&amp;"'!Q11")</f>
        <v>0</v>
      </c>
      <c r="U129" s="3">
        <f t="array" aca="1" ref="U129" ca="1">INDIRECT("'"&amp;$A129&amp;"'!R11")</f>
        <v>0</v>
      </c>
      <c r="V129" s="3">
        <f t="array" aca="1" ref="V129" ca="1">INDIRECT("'"&amp;$A129&amp;"'!S11")</f>
        <v>0</v>
      </c>
      <c r="W129" s="3">
        <f t="array" aca="1" ref="W129" ca="1">INDIRECT("'"&amp;$A129&amp;"'!T11")</f>
        <v>0</v>
      </c>
      <c r="X129" s="3">
        <f t="array" aca="1" ref="X129" ca="1">INDIRECT("'"&amp;$A129&amp;"'!U11")</f>
        <v>0</v>
      </c>
      <c r="Y129" s="3">
        <f t="array" aca="1" ref="Y129" ca="1">INDIRECT("'"&amp;$A129&amp;"'!V11")</f>
        <v>0</v>
      </c>
      <c r="Z129" s="3">
        <f t="array" aca="1" ref="Z129" ca="1">INDIRECT("'"&amp;$A129&amp;"'!W11")</f>
        <v>0</v>
      </c>
      <c r="AA129" s="3">
        <f t="array" aca="1" ref="AA129" ca="1">INDIRECT("'"&amp;$A129&amp;"'!X11")</f>
        <v>0</v>
      </c>
      <c r="AB129" s="3">
        <f t="array" aca="1" ref="AB129" ca="1">INDIRECT("'"&amp;$A129&amp;"'!Y11")</f>
        <v>0</v>
      </c>
      <c r="AC129" s="3">
        <f t="array" aca="1" ref="AC129" ca="1">INDIRECT("'"&amp;$A129&amp;"'!Z11")</f>
        <v>0</v>
      </c>
      <c r="AD129" s="32">
        <f t="array" aca="1" ref="AD129" ca="1">INDIRECT("'"&amp;$A129&amp;"'!AA11")</f>
        <v>0</v>
      </c>
      <c r="AE129" s="82">
        <f t="array" aca="1" ref="AE129" ca="1">INDIRECT("'"&amp;$A129&amp;"'!J3")</f>
        <v>0</v>
      </c>
      <c r="AF129" s="53" t="str">
        <f t="array" aca="1" ref="AF129" ca="1">INDIRECT("'"&amp;$A129&amp;"'!AC1")</f>
        <v/>
      </c>
    </row>
    <row r="130" spans="1:32" ht="15.75" customHeight="1" thickBot="1">
      <c r="A130" s="58">
        <v>43</v>
      </c>
      <c r="B130" s="107"/>
      <c r="C130" s="77" t="str">
        <f t="array" aca="1" ref="C130" ca="1">CONCATENATE("分 ",INDIRECT("'"&amp;$A129&amp;"'!D6"))</f>
        <v>分 0</v>
      </c>
      <c r="D130" s="56" t="s">
        <v>8</v>
      </c>
      <c r="E130" s="83">
        <f t="array" aca="1" ref="E130" ca="1">INDIRECT("'"&amp;$A129&amp;"'!I4")</f>
        <v>18</v>
      </c>
      <c r="F130" s="52">
        <f t="array" aca="1" ref="F130" ca="1">INDIRECT("'"&amp;$A130&amp;"'!C14")</f>
        <v>0</v>
      </c>
      <c r="G130" s="3">
        <f t="array" aca="1" ref="G130" ca="1">INDIRECT("'"&amp;$A130&amp;"'!D14")</f>
        <v>0</v>
      </c>
      <c r="H130" s="3">
        <f t="array" aca="1" ref="H130" ca="1">INDIRECT("'"&amp;$A130&amp;"'!E14")</f>
        <v>0</v>
      </c>
      <c r="I130" s="3">
        <f t="array" aca="1" ref="I130" ca="1">INDIRECT("'"&amp;$A130&amp;"'!F14")</f>
        <v>0</v>
      </c>
      <c r="J130" s="3">
        <f t="array" aca="1" ref="J130" ca="1">INDIRECT("'"&amp;$A130&amp;"'!G14")</f>
        <v>0</v>
      </c>
      <c r="K130" s="3">
        <f t="array" aca="1" ref="K130" ca="1">INDIRECT("'"&amp;$A130&amp;"'!H14")</f>
        <v>0</v>
      </c>
      <c r="L130" s="3">
        <f t="array" aca="1" ref="L130" ca="1">INDIRECT("'"&amp;$A130&amp;"'!I14")</f>
        <v>0</v>
      </c>
      <c r="M130" s="3">
        <f t="array" aca="1" ref="M130" ca="1">INDIRECT("'"&amp;$A130&amp;"'!J14")</f>
        <v>0</v>
      </c>
      <c r="N130" s="3">
        <f t="array" aca="1" ref="N130" ca="1">INDIRECT("'"&amp;$A130&amp;"'!K14")</f>
        <v>0</v>
      </c>
      <c r="O130" s="3">
        <f t="array" aca="1" ref="O130" ca="1">INDIRECT("'"&amp;$A130&amp;"'!L14")</f>
        <v>0</v>
      </c>
      <c r="P130" s="3">
        <f t="array" aca="1" ref="P130" ca="1">INDIRECT("'"&amp;$A130&amp;"'!M14")</f>
        <v>0</v>
      </c>
      <c r="Q130" s="3">
        <f t="array" aca="1" ref="Q130" ca="1">INDIRECT("'"&amp;$A130&amp;"'!N14")</f>
        <v>0</v>
      </c>
      <c r="R130" s="3">
        <f t="array" aca="1" ref="R130" ca="1">INDIRECT("'"&amp;$A130&amp;"'!O14")</f>
        <v>0</v>
      </c>
      <c r="S130" s="3">
        <f t="array" aca="1" ref="S130" ca="1">INDIRECT("'"&amp;$A130&amp;"'!P14")</f>
        <v>0</v>
      </c>
      <c r="T130" s="3">
        <f t="array" aca="1" ref="T130" ca="1">INDIRECT("'"&amp;$A130&amp;"'!Q14")</f>
        <v>0</v>
      </c>
      <c r="U130" s="3">
        <f t="array" aca="1" ref="U130" ca="1">INDIRECT("'"&amp;$A130&amp;"'!R14")</f>
        <v>0</v>
      </c>
      <c r="V130" s="3">
        <f t="array" aca="1" ref="V130" ca="1">INDIRECT("'"&amp;$A130&amp;"'!S14")</f>
        <v>0</v>
      </c>
      <c r="W130" s="3">
        <f t="array" aca="1" ref="W130" ca="1">INDIRECT("'"&amp;$A130&amp;"'!T14")</f>
        <v>0</v>
      </c>
      <c r="X130" s="3">
        <f t="array" aca="1" ref="X130" ca="1">INDIRECT("'"&amp;$A130&amp;"'!U14")</f>
        <v>0</v>
      </c>
      <c r="Y130" s="3">
        <f t="array" aca="1" ref="Y130" ca="1">INDIRECT("'"&amp;$A130&amp;"'!V14")</f>
        <v>0</v>
      </c>
      <c r="Z130" s="3">
        <f t="array" aca="1" ref="Z130" ca="1">INDIRECT("'"&amp;$A130&amp;"'!W14")</f>
        <v>0</v>
      </c>
      <c r="AA130" s="3">
        <f t="array" aca="1" ref="AA130" ca="1">INDIRECT("'"&amp;$A130&amp;"'!X14")</f>
        <v>0</v>
      </c>
      <c r="AB130" s="3">
        <f t="array" aca="1" ref="AB130" ca="1">INDIRECT("'"&amp;$A130&amp;"'!Y14")</f>
        <v>0</v>
      </c>
      <c r="AC130" s="3">
        <f t="array" aca="1" ref="AC130" ca="1">INDIRECT("'"&amp;$A130&amp;"'!Z14")</f>
        <v>0</v>
      </c>
      <c r="AD130" s="32">
        <f t="array" aca="1" ref="AD130" ca="1">INDIRECT("'"&amp;$A130&amp;"'!AA14")</f>
        <v>0</v>
      </c>
      <c r="AE130" s="83">
        <f t="array" aca="1" ref="AE130" ca="1">INDIRECT("'"&amp;$A129&amp;"'!J4")</f>
        <v>0</v>
      </c>
      <c r="AF130" s="53"/>
    </row>
    <row r="131" spans="1:32">
      <c r="A131" s="58">
        <v>44</v>
      </c>
      <c r="B131" s="105">
        <f>INDEX(data!$I$2:$I$91,MATCH(A131*1,data!$G$2:$G$91,0))</f>
        <v>46228</v>
      </c>
      <c r="C131" s="66" t="str">
        <f>HYPERLINK("#'" &amp; A131 &amp; "'!A1", "编辑")</f>
        <v>编辑</v>
      </c>
      <c r="D131" s="54" t="s">
        <v>6</v>
      </c>
      <c r="E131" s="81">
        <f t="array" aca="1" ref="E131" ca="1">INDIRECT("'"&amp;$A132&amp;"'!I2")</f>
        <v>18</v>
      </c>
      <c r="F131" s="29">
        <f t="array" aca="1" ref="F131" ca="1">INDIRECT("'"&amp;$A131&amp;"'!C8")</f>
        <v>0</v>
      </c>
      <c r="G131" s="30">
        <f t="array" aca="1" ref="G131" ca="1">INDIRECT("'"&amp;$A131&amp;"'!D8")</f>
        <v>0</v>
      </c>
      <c r="H131" s="30">
        <f t="array" aca="1" ref="H131" ca="1">INDIRECT("'"&amp;$A131&amp;"'!E8")</f>
        <v>0</v>
      </c>
      <c r="I131" s="30">
        <f t="array" aca="1" ref="I131" ca="1">INDIRECT("'"&amp;$A131&amp;"'!F8")</f>
        <v>0</v>
      </c>
      <c r="J131" s="30">
        <f t="array" aca="1" ref="J131" ca="1">INDIRECT("'"&amp;$A131&amp;"'!G8")</f>
        <v>0</v>
      </c>
      <c r="K131" s="30">
        <f t="array" aca="1" ref="K131" ca="1">INDIRECT("'"&amp;$A131&amp;"'!H8")</f>
        <v>0</v>
      </c>
      <c r="L131" s="30">
        <f t="array" aca="1" ref="L131" ca="1">INDIRECT("'"&amp;$A131&amp;"'!I8")</f>
        <v>0</v>
      </c>
      <c r="M131" s="30">
        <f t="array" aca="1" ref="M131" ca="1">INDIRECT("'"&amp;$A131&amp;"'!J8")</f>
        <v>0</v>
      </c>
      <c r="N131" s="30">
        <f t="array" aca="1" ref="N131" ca="1">INDIRECT("'"&amp;$A131&amp;"'!K8")</f>
        <v>0</v>
      </c>
      <c r="O131" s="30">
        <f t="array" aca="1" ref="O131" ca="1">INDIRECT("'"&amp;$A131&amp;"'!L8")</f>
        <v>0</v>
      </c>
      <c r="P131" s="30">
        <f t="array" aca="1" ref="P131" ca="1">INDIRECT("'"&amp;$A131&amp;"'!M8")</f>
        <v>0</v>
      </c>
      <c r="Q131" s="30">
        <f t="array" aca="1" ref="Q131" ca="1">INDIRECT("'"&amp;$A131&amp;"'!N8")</f>
        <v>0</v>
      </c>
      <c r="R131" s="30">
        <f t="array" aca="1" ref="R131" ca="1">INDIRECT("'"&amp;$A131&amp;"'!O8")</f>
        <v>0</v>
      </c>
      <c r="S131" s="30">
        <f t="array" aca="1" ref="S131" ca="1">INDIRECT("'"&amp;$A131&amp;"'!P8")</f>
        <v>0</v>
      </c>
      <c r="T131" s="30">
        <f t="array" aca="1" ref="T131" ca="1">INDIRECT("'"&amp;$A131&amp;"'!Q8")</f>
        <v>0</v>
      </c>
      <c r="U131" s="30">
        <f t="array" aca="1" ref="U131" ca="1">INDIRECT("'"&amp;$A131&amp;"'!R8")</f>
        <v>0</v>
      </c>
      <c r="V131" s="30">
        <f t="array" aca="1" ref="V131" ca="1">INDIRECT("'"&amp;$A131&amp;"'!S8")</f>
        <v>0</v>
      </c>
      <c r="W131" s="30">
        <f t="array" aca="1" ref="W131" ca="1">INDIRECT("'"&amp;$A131&amp;"'!T8")</f>
        <v>0</v>
      </c>
      <c r="X131" s="30">
        <f t="array" aca="1" ref="X131" ca="1">INDIRECT("'"&amp;$A131&amp;"'!U8")</f>
        <v>0</v>
      </c>
      <c r="Y131" s="30">
        <f t="array" aca="1" ref="Y131" ca="1">INDIRECT("'"&amp;$A131&amp;"'!V8")</f>
        <v>0</v>
      </c>
      <c r="Z131" s="30">
        <f t="array" aca="1" ref="Z131" ca="1">INDIRECT("'"&amp;$A131&amp;"'!W8")</f>
        <v>0</v>
      </c>
      <c r="AA131" s="30">
        <f t="array" aca="1" ref="AA131" ca="1">INDIRECT("'"&amp;$A131&amp;"'!X8")</f>
        <v>0</v>
      </c>
      <c r="AB131" s="30">
        <f t="array" aca="1" ref="AB131" ca="1">INDIRECT("'"&amp;$A131&amp;"'!Y8")</f>
        <v>0</v>
      </c>
      <c r="AC131" s="30">
        <f t="array" aca="1" ref="AC131" ca="1">INDIRECT("'"&amp;$A131&amp;"'!Z8")</f>
        <v>0</v>
      </c>
      <c r="AD131" s="31">
        <f t="array" aca="1" ref="AD131" ca="1">INDIRECT("'"&amp;$A131&amp;"'!AA8")</f>
        <v>0</v>
      </c>
      <c r="AE131" s="81">
        <f t="array" aca="1" ref="AE131" ca="1">INDIRECT("'"&amp;$A132&amp;"'!J2")</f>
        <v>0</v>
      </c>
      <c r="AF131" s="53" t="str">
        <f t="array" aca="1" ref="AF131" ca="1">INDIRECT("'"&amp;$A132&amp;"'!AD1")</f>
        <v/>
      </c>
    </row>
    <row r="132" spans="1:32">
      <c r="A132" s="58">
        <v>44</v>
      </c>
      <c r="B132" s="106"/>
      <c r="C132" s="67" t="str">
        <f t="array" aca="1" ref="C132" ca="1">CONCATENATE("粮 ",INDIRECT("'"&amp;$A132&amp;"'!D4"))</f>
        <v>粮 75600</v>
      </c>
      <c r="D132" s="55" t="s">
        <v>7</v>
      </c>
      <c r="E132" s="82">
        <f t="array" aca="1" ref="E132" ca="1">INDIRECT("'"&amp;$A132&amp;"'!I3")</f>
        <v>18</v>
      </c>
      <c r="F132" s="52">
        <f t="array" aca="1" ref="F132" ca="1">INDIRECT("'"&amp;$A132&amp;"'!C11")</f>
        <v>0</v>
      </c>
      <c r="G132" s="3">
        <f t="array" aca="1" ref="G132" ca="1">INDIRECT("'"&amp;$A132&amp;"'!D11")</f>
        <v>0</v>
      </c>
      <c r="H132" s="3">
        <f t="array" aca="1" ref="H132" ca="1">INDIRECT("'"&amp;$A132&amp;"'!E11")</f>
        <v>0</v>
      </c>
      <c r="I132" s="3">
        <f t="array" aca="1" ref="I132" ca="1">INDIRECT("'"&amp;$A132&amp;"'!F11")</f>
        <v>0</v>
      </c>
      <c r="J132" s="3">
        <f t="array" aca="1" ref="J132" ca="1">INDIRECT("'"&amp;$A132&amp;"'!G11")</f>
        <v>0</v>
      </c>
      <c r="K132" s="3">
        <f t="array" aca="1" ref="K132" ca="1">INDIRECT("'"&amp;$A132&amp;"'!H11")</f>
        <v>0</v>
      </c>
      <c r="L132" s="3">
        <f t="array" aca="1" ref="L132" ca="1">INDIRECT("'"&amp;$A132&amp;"'!I11")</f>
        <v>0</v>
      </c>
      <c r="M132" s="3">
        <f t="array" aca="1" ref="M132" ca="1">INDIRECT("'"&amp;$A132&amp;"'!J11")</f>
        <v>0</v>
      </c>
      <c r="N132" s="3">
        <f t="array" aca="1" ref="N132" ca="1">INDIRECT("'"&amp;$A132&amp;"'!K11")</f>
        <v>0</v>
      </c>
      <c r="O132" s="3">
        <f t="array" aca="1" ref="O132" ca="1">INDIRECT("'"&amp;$A132&amp;"'!L11")</f>
        <v>0</v>
      </c>
      <c r="P132" s="3">
        <f t="array" aca="1" ref="P132" ca="1">INDIRECT("'"&amp;$A132&amp;"'!M11")</f>
        <v>0</v>
      </c>
      <c r="Q132" s="3">
        <f t="array" aca="1" ref="Q132" ca="1">INDIRECT("'"&amp;$A132&amp;"'!N11")</f>
        <v>0</v>
      </c>
      <c r="R132" s="3">
        <f t="array" aca="1" ref="R132" ca="1">INDIRECT("'"&amp;$A132&amp;"'!O11")</f>
        <v>0</v>
      </c>
      <c r="S132" s="3">
        <f t="array" aca="1" ref="S132" ca="1">INDIRECT("'"&amp;$A132&amp;"'!P11")</f>
        <v>0</v>
      </c>
      <c r="T132" s="3">
        <f t="array" aca="1" ref="T132" ca="1">INDIRECT("'"&amp;$A132&amp;"'!Q11")</f>
        <v>0</v>
      </c>
      <c r="U132" s="3">
        <f t="array" aca="1" ref="U132" ca="1">INDIRECT("'"&amp;$A132&amp;"'!R11")</f>
        <v>0</v>
      </c>
      <c r="V132" s="3">
        <f t="array" aca="1" ref="V132" ca="1">INDIRECT("'"&amp;$A132&amp;"'!S11")</f>
        <v>0</v>
      </c>
      <c r="W132" s="3">
        <f t="array" aca="1" ref="W132" ca="1">INDIRECT("'"&amp;$A132&amp;"'!T11")</f>
        <v>0</v>
      </c>
      <c r="X132" s="3">
        <f t="array" aca="1" ref="X132" ca="1">INDIRECT("'"&amp;$A132&amp;"'!U11")</f>
        <v>0</v>
      </c>
      <c r="Y132" s="3">
        <f t="array" aca="1" ref="Y132" ca="1">INDIRECT("'"&amp;$A132&amp;"'!V11")</f>
        <v>0</v>
      </c>
      <c r="Z132" s="3">
        <f t="array" aca="1" ref="Z132" ca="1">INDIRECT("'"&amp;$A132&amp;"'!W11")</f>
        <v>0</v>
      </c>
      <c r="AA132" s="3">
        <f t="array" aca="1" ref="AA132" ca="1">INDIRECT("'"&amp;$A132&amp;"'!X11")</f>
        <v>0</v>
      </c>
      <c r="AB132" s="3">
        <f t="array" aca="1" ref="AB132" ca="1">INDIRECT("'"&amp;$A132&amp;"'!Y11")</f>
        <v>0</v>
      </c>
      <c r="AC132" s="3">
        <f t="array" aca="1" ref="AC132" ca="1">INDIRECT("'"&amp;$A132&amp;"'!Z11")</f>
        <v>0</v>
      </c>
      <c r="AD132" s="32">
        <f t="array" aca="1" ref="AD132" ca="1">INDIRECT("'"&amp;$A132&amp;"'!AA11")</f>
        <v>0</v>
      </c>
      <c r="AE132" s="82">
        <f t="array" aca="1" ref="AE132" ca="1">INDIRECT("'"&amp;$A132&amp;"'!J3")</f>
        <v>0</v>
      </c>
      <c r="AF132" s="53" t="str">
        <f t="array" aca="1" ref="AF132" ca="1">INDIRECT("'"&amp;$A132&amp;"'!AC1")</f>
        <v/>
      </c>
    </row>
    <row r="133" spans="1:32" ht="15.75" customHeight="1" thickBot="1">
      <c r="A133" s="58">
        <v>44</v>
      </c>
      <c r="B133" s="107"/>
      <c r="C133" s="77" t="str">
        <f t="array" aca="1" ref="C133" ca="1">CONCATENATE("分 ",INDIRECT("'"&amp;$A132&amp;"'!D6"))</f>
        <v>分 0</v>
      </c>
      <c r="D133" s="56" t="s">
        <v>8</v>
      </c>
      <c r="E133" s="83">
        <f t="array" aca="1" ref="E133" ca="1">INDIRECT("'"&amp;$A132&amp;"'!I4")</f>
        <v>18</v>
      </c>
      <c r="F133" s="52">
        <f t="array" aca="1" ref="F133" ca="1">INDIRECT("'"&amp;$A133&amp;"'!C14")</f>
        <v>0</v>
      </c>
      <c r="G133" s="3">
        <f t="array" aca="1" ref="G133" ca="1">INDIRECT("'"&amp;$A133&amp;"'!D14")</f>
        <v>0</v>
      </c>
      <c r="H133" s="3">
        <f t="array" aca="1" ref="H133" ca="1">INDIRECT("'"&amp;$A133&amp;"'!E14")</f>
        <v>0</v>
      </c>
      <c r="I133" s="3">
        <f t="array" aca="1" ref="I133" ca="1">INDIRECT("'"&amp;$A133&amp;"'!F14")</f>
        <v>0</v>
      </c>
      <c r="J133" s="3">
        <f t="array" aca="1" ref="J133" ca="1">INDIRECT("'"&amp;$A133&amp;"'!G14")</f>
        <v>0</v>
      </c>
      <c r="K133" s="3">
        <f t="array" aca="1" ref="K133" ca="1">INDIRECT("'"&amp;$A133&amp;"'!H14")</f>
        <v>0</v>
      </c>
      <c r="L133" s="3">
        <f t="array" aca="1" ref="L133" ca="1">INDIRECT("'"&amp;$A133&amp;"'!I14")</f>
        <v>0</v>
      </c>
      <c r="M133" s="3">
        <f t="array" aca="1" ref="M133" ca="1">INDIRECT("'"&amp;$A133&amp;"'!J14")</f>
        <v>0</v>
      </c>
      <c r="N133" s="3">
        <f t="array" aca="1" ref="N133" ca="1">INDIRECT("'"&amp;$A133&amp;"'!K14")</f>
        <v>0</v>
      </c>
      <c r="O133" s="3">
        <f t="array" aca="1" ref="O133" ca="1">INDIRECT("'"&amp;$A133&amp;"'!L14")</f>
        <v>0</v>
      </c>
      <c r="P133" s="3">
        <f t="array" aca="1" ref="P133" ca="1">INDIRECT("'"&amp;$A133&amp;"'!M14")</f>
        <v>0</v>
      </c>
      <c r="Q133" s="3">
        <f t="array" aca="1" ref="Q133" ca="1">INDIRECT("'"&amp;$A133&amp;"'!N14")</f>
        <v>0</v>
      </c>
      <c r="R133" s="3">
        <f t="array" aca="1" ref="R133" ca="1">INDIRECT("'"&amp;$A133&amp;"'!O14")</f>
        <v>0</v>
      </c>
      <c r="S133" s="3">
        <f t="array" aca="1" ref="S133" ca="1">INDIRECT("'"&amp;$A133&amp;"'!P14")</f>
        <v>0</v>
      </c>
      <c r="T133" s="3">
        <f t="array" aca="1" ref="T133" ca="1">INDIRECT("'"&amp;$A133&amp;"'!Q14")</f>
        <v>0</v>
      </c>
      <c r="U133" s="3">
        <f t="array" aca="1" ref="U133" ca="1">INDIRECT("'"&amp;$A133&amp;"'!R14")</f>
        <v>0</v>
      </c>
      <c r="V133" s="3">
        <f t="array" aca="1" ref="V133" ca="1">INDIRECT("'"&amp;$A133&amp;"'!S14")</f>
        <v>0</v>
      </c>
      <c r="W133" s="3">
        <f t="array" aca="1" ref="W133" ca="1">INDIRECT("'"&amp;$A133&amp;"'!T14")</f>
        <v>0</v>
      </c>
      <c r="X133" s="3">
        <f t="array" aca="1" ref="X133" ca="1">INDIRECT("'"&amp;$A133&amp;"'!U14")</f>
        <v>0</v>
      </c>
      <c r="Y133" s="3">
        <f t="array" aca="1" ref="Y133" ca="1">INDIRECT("'"&amp;$A133&amp;"'!V14")</f>
        <v>0</v>
      </c>
      <c r="Z133" s="3">
        <f t="array" aca="1" ref="Z133" ca="1">INDIRECT("'"&amp;$A133&amp;"'!W14")</f>
        <v>0</v>
      </c>
      <c r="AA133" s="3">
        <f t="array" aca="1" ref="AA133" ca="1">INDIRECT("'"&amp;$A133&amp;"'!X14")</f>
        <v>0</v>
      </c>
      <c r="AB133" s="3">
        <f t="array" aca="1" ref="AB133" ca="1">INDIRECT("'"&amp;$A133&amp;"'!Y14")</f>
        <v>0</v>
      </c>
      <c r="AC133" s="3">
        <f t="array" aca="1" ref="AC133" ca="1">INDIRECT("'"&amp;$A133&amp;"'!Z14")</f>
        <v>0</v>
      </c>
      <c r="AD133" s="32">
        <f t="array" aca="1" ref="AD133" ca="1">INDIRECT("'"&amp;$A133&amp;"'!AA14")</f>
        <v>0</v>
      </c>
      <c r="AE133" s="83">
        <f t="array" aca="1" ref="AE133" ca="1">INDIRECT("'"&amp;$A132&amp;"'!J4")</f>
        <v>0</v>
      </c>
      <c r="AF133" s="53"/>
    </row>
    <row r="134" spans="1:32">
      <c r="A134" s="58">
        <v>45</v>
      </c>
      <c r="B134" s="105">
        <f>INDEX(data!$I$2:$I$91,MATCH(A134*1,data!$G$2:$G$91,0))</f>
        <v>46229</v>
      </c>
      <c r="C134" s="66" t="str">
        <f>HYPERLINK("#'" &amp; A134 &amp; "'!A1", "编辑")</f>
        <v>编辑</v>
      </c>
      <c r="D134" s="54" t="s">
        <v>6</v>
      </c>
      <c r="E134" s="81">
        <f t="array" aca="1" ref="E134" ca="1">INDIRECT("'"&amp;$A135&amp;"'!I2")</f>
        <v>18</v>
      </c>
      <c r="F134" s="29">
        <f t="array" aca="1" ref="F134" ca="1">INDIRECT("'"&amp;$A134&amp;"'!C8")</f>
        <v>0</v>
      </c>
      <c r="G134" s="30">
        <f t="array" aca="1" ref="G134" ca="1">INDIRECT("'"&amp;$A134&amp;"'!D8")</f>
        <v>0</v>
      </c>
      <c r="H134" s="30">
        <f t="array" aca="1" ref="H134" ca="1">INDIRECT("'"&amp;$A134&amp;"'!E8")</f>
        <v>0</v>
      </c>
      <c r="I134" s="30">
        <f t="array" aca="1" ref="I134" ca="1">INDIRECT("'"&amp;$A134&amp;"'!F8")</f>
        <v>0</v>
      </c>
      <c r="J134" s="30">
        <f t="array" aca="1" ref="J134" ca="1">INDIRECT("'"&amp;$A134&amp;"'!G8")</f>
        <v>0</v>
      </c>
      <c r="K134" s="30">
        <f t="array" aca="1" ref="K134" ca="1">INDIRECT("'"&amp;$A134&amp;"'!H8")</f>
        <v>0</v>
      </c>
      <c r="L134" s="30">
        <f t="array" aca="1" ref="L134" ca="1">INDIRECT("'"&amp;$A134&amp;"'!I8")</f>
        <v>0</v>
      </c>
      <c r="M134" s="30">
        <f t="array" aca="1" ref="M134" ca="1">INDIRECT("'"&amp;$A134&amp;"'!J8")</f>
        <v>0</v>
      </c>
      <c r="N134" s="30">
        <f t="array" aca="1" ref="N134" ca="1">INDIRECT("'"&amp;$A134&amp;"'!K8")</f>
        <v>0</v>
      </c>
      <c r="O134" s="30">
        <f t="array" aca="1" ref="O134" ca="1">INDIRECT("'"&amp;$A134&amp;"'!L8")</f>
        <v>0</v>
      </c>
      <c r="P134" s="30">
        <f t="array" aca="1" ref="P134" ca="1">INDIRECT("'"&amp;$A134&amp;"'!M8")</f>
        <v>0</v>
      </c>
      <c r="Q134" s="30">
        <f t="array" aca="1" ref="Q134" ca="1">INDIRECT("'"&amp;$A134&amp;"'!N8")</f>
        <v>0</v>
      </c>
      <c r="R134" s="30">
        <f t="array" aca="1" ref="R134" ca="1">INDIRECT("'"&amp;$A134&amp;"'!O8")</f>
        <v>0</v>
      </c>
      <c r="S134" s="30">
        <f t="array" aca="1" ref="S134" ca="1">INDIRECT("'"&amp;$A134&amp;"'!P8")</f>
        <v>0</v>
      </c>
      <c r="T134" s="30">
        <f t="array" aca="1" ref="T134" ca="1">INDIRECT("'"&amp;$A134&amp;"'!Q8")</f>
        <v>0</v>
      </c>
      <c r="U134" s="30">
        <f t="array" aca="1" ref="U134" ca="1">INDIRECT("'"&amp;$A134&amp;"'!R8")</f>
        <v>0</v>
      </c>
      <c r="V134" s="30">
        <f t="array" aca="1" ref="V134" ca="1">INDIRECT("'"&amp;$A134&amp;"'!S8")</f>
        <v>0</v>
      </c>
      <c r="W134" s="30">
        <f t="array" aca="1" ref="W134" ca="1">INDIRECT("'"&amp;$A134&amp;"'!T8")</f>
        <v>0</v>
      </c>
      <c r="X134" s="30">
        <f t="array" aca="1" ref="X134" ca="1">INDIRECT("'"&amp;$A134&amp;"'!U8")</f>
        <v>0</v>
      </c>
      <c r="Y134" s="30">
        <f t="array" aca="1" ref="Y134" ca="1">INDIRECT("'"&amp;$A134&amp;"'!V8")</f>
        <v>0</v>
      </c>
      <c r="Z134" s="30">
        <f t="array" aca="1" ref="Z134" ca="1">INDIRECT("'"&amp;$A134&amp;"'!W8")</f>
        <v>0</v>
      </c>
      <c r="AA134" s="30">
        <f t="array" aca="1" ref="AA134" ca="1">INDIRECT("'"&amp;$A134&amp;"'!X8")</f>
        <v>0</v>
      </c>
      <c r="AB134" s="30">
        <f t="array" aca="1" ref="AB134" ca="1">INDIRECT("'"&amp;$A134&amp;"'!Y8")</f>
        <v>0</v>
      </c>
      <c r="AC134" s="30">
        <f t="array" aca="1" ref="AC134" ca="1">INDIRECT("'"&amp;$A134&amp;"'!Z8")</f>
        <v>0</v>
      </c>
      <c r="AD134" s="31">
        <f t="array" aca="1" ref="AD134" ca="1">INDIRECT("'"&amp;$A134&amp;"'!AA8")</f>
        <v>0</v>
      </c>
      <c r="AE134" s="81">
        <f t="array" aca="1" ref="AE134" ca="1">INDIRECT("'"&amp;$A135&amp;"'!J2")</f>
        <v>0</v>
      </c>
      <c r="AF134" s="53" t="str">
        <f t="array" aca="1" ref="AF134" ca="1">INDIRECT("'"&amp;$A135&amp;"'!AD1")</f>
        <v/>
      </c>
    </row>
    <row r="135" spans="1:32">
      <c r="A135" s="58">
        <v>45</v>
      </c>
      <c r="B135" s="106"/>
      <c r="C135" s="67" t="str">
        <f t="array" aca="1" ref="C135" ca="1">CONCATENATE("粮 ",INDIRECT("'"&amp;$A135&amp;"'!D4"))</f>
        <v>粮 77200</v>
      </c>
      <c r="D135" s="55" t="s">
        <v>7</v>
      </c>
      <c r="E135" s="82">
        <f t="array" aca="1" ref="E135" ca="1">INDIRECT("'"&amp;$A135&amp;"'!I3")</f>
        <v>18</v>
      </c>
      <c r="F135" s="52">
        <f t="array" aca="1" ref="F135" ca="1">INDIRECT("'"&amp;$A135&amp;"'!C11")</f>
        <v>0</v>
      </c>
      <c r="G135" s="3">
        <f t="array" aca="1" ref="G135" ca="1">INDIRECT("'"&amp;$A135&amp;"'!D11")</f>
        <v>0</v>
      </c>
      <c r="H135" s="3">
        <f t="array" aca="1" ref="H135" ca="1">INDIRECT("'"&amp;$A135&amp;"'!E11")</f>
        <v>0</v>
      </c>
      <c r="I135" s="3">
        <f t="array" aca="1" ref="I135" ca="1">INDIRECT("'"&amp;$A135&amp;"'!F11")</f>
        <v>0</v>
      </c>
      <c r="J135" s="3">
        <f t="array" aca="1" ref="J135" ca="1">INDIRECT("'"&amp;$A135&amp;"'!G11")</f>
        <v>0</v>
      </c>
      <c r="K135" s="3">
        <f t="array" aca="1" ref="K135" ca="1">INDIRECT("'"&amp;$A135&amp;"'!H11")</f>
        <v>0</v>
      </c>
      <c r="L135" s="3">
        <f t="array" aca="1" ref="L135" ca="1">INDIRECT("'"&amp;$A135&amp;"'!I11")</f>
        <v>0</v>
      </c>
      <c r="M135" s="3">
        <f t="array" aca="1" ref="M135" ca="1">INDIRECT("'"&amp;$A135&amp;"'!J11")</f>
        <v>0</v>
      </c>
      <c r="N135" s="3">
        <f t="array" aca="1" ref="N135" ca="1">INDIRECT("'"&amp;$A135&amp;"'!K11")</f>
        <v>0</v>
      </c>
      <c r="O135" s="3">
        <f t="array" aca="1" ref="O135" ca="1">INDIRECT("'"&amp;$A135&amp;"'!L11")</f>
        <v>0</v>
      </c>
      <c r="P135" s="3">
        <f t="array" aca="1" ref="P135" ca="1">INDIRECT("'"&amp;$A135&amp;"'!M11")</f>
        <v>0</v>
      </c>
      <c r="Q135" s="3">
        <f t="array" aca="1" ref="Q135" ca="1">INDIRECT("'"&amp;$A135&amp;"'!N11")</f>
        <v>0</v>
      </c>
      <c r="R135" s="3">
        <f t="array" aca="1" ref="R135" ca="1">INDIRECT("'"&amp;$A135&amp;"'!O11")</f>
        <v>0</v>
      </c>
      <c r="S135" s="3">
        <f t="array" aca="1" ref="S135" ca="1">INDIRECT("'"&amp;$A135&amp;"'!P11")</f>
        <v>0</v>
      </c>
      <c r="T135" s="3">
        <f t="array" aca="1" ref="T135" ca="1">INDIRECT("'"&amp;$A135&amp;"'!Q11")</f>
        <v>0</v>
      </c>
      <c r="U135" s="3">
        <f t="array" aca="1" ref="U135" ca="1">INDIRECT("'"&amp;$A135&amp;"'!R11")</f>
        <v>0</v>
      </c>
      <c r="V135" s="3">
        <f t="array" aca="1" ref="V135" ca="1">INDIRECT("'"&amp;$A135&amp;"'!S11")</f>
        <v>0</v>
      </c>
      <c r="W135" s="3">
        <f t="array" aca="1" ref="W135" ca="1">INDIRECT("'"&amp;$A135&amp;"'!T11")</f>
        <v>0</v>
      </c>
      <c r="X135" s="3">
        <f t="array" aca="1" ref="X135" ca="1">INDIRECT("'"&amp;$A135&amp;"'!U11")</f>
        <v>0</v>
      </c>
      <c r="Y135" s="3">
        <f t="array" aca="1" ref="Y135" ca="1">INDIRECT("'"&amp;$A135&amp;"'!V11")</f>
        <v>0</v>
      </c>
      <c r="Z135" s="3">
        <f t="array" aca="1" ref="Z135" ca="1">INDIRECT("'"&amp;$A135&amp;"'!W11")</f>
        <v>0</v>
      </c>
      <c r="AA135" s="3">
        <f t="array" aca="1" ref="AA135" ca="1">INDIRECT("'"&amp;$A135&amp;"'!X11")</f>
        <v>0</v>
      </c>
      <c r="AB135" s="3">
        <f t="array" aca="1" ref="AB135" ca="1">INDIRECT("'"&amp;$A135&amp;"'!Y11")</f>
        <v>0</v>
      </c>
      <c r="AC135" s="3">
        <f t="array" aca="1" ref="AC135" ca="1">INDIRECT("'"&amp;$A135&amp;"'!Z11")</f>
        <v>0</v>
      </c>
      <c r="AD135" s="32">
        <f t="array" aca="1" ref="AD135" ca="1">INDIRECT("'"&amp;$A135&amp;"'!AA11")</f>
        <v>0</v>
      </c>
      <c r="AE135" s="82">
        <f t="array" aca="1" ref="AE135" ca="1">INDIRECT("'"&amp;$A135&amp;"'!J3")</f>
        <v>0</v>
      </c>
      <c r="AF135" s="53" t="str">
        <f t="array" aca="1" ref="AF135" ca="1">INDIRECT("'"&amp;$A135&amp;"'!AC1")</f>
        <v/>
      </c>
    </row>
    <row r="136" spans="1:32" ht="15.75" customHeight="1" thickBot="1">
      <c r="A136" s="58">
        <v>45</v>
      </c>
      <c r="B136" s="107"/>
      <c r="C136" s="77" t="str">
        <f t="array" aca="1" ref="C136" ca="1">CONCATENATE("分 ",INDIRECT("'"&amp;$A135&amp;"'!D6"))</f>
        <v>分 0</v>
      </c>
      <c r="D136" s="56" t="s">
        <v>8</v>
      </c>
      <c r="E136" s="83">
        <f t="array" aca="1" ref="E136" ca="1">INDIRECT("'"&amp;$A135&amp;"'!I4")</f>
        <v>18</v>
      </c>
      <c r="F136" s="52">
        <f t="array" aca="1" ref="F136" ca="1">INDIRECT("'"&amp;$A136&amp;"'!C14")</f>
        <v>0</v>
      </c>
      <c r="G136" s="3">
        <f t="array" aca="1" ref="G136" ca="1">INDIRECT("'"&amp;$A136&amp;"'!D14")</f>
        <v>0</v>
      </c>
      <c r="H136" s="3">
        <f t="array" aca="1" ref="H136" ca="1">INDIRECT("'"&amp;$A136&amp;"'!E14")</f>
        <v>0</v>
      </c>
      <c r="I136" s="3">
        <f t="array" aca="1" ref="I136" ca="1">INDIRECT("'"&amp;$A136&amp;"'!F14")</f>
        <v>0</v>
      </c>
      <c r="J136" s="3">
        <f t="array" aca="1" ref="J136" ca="1">INDIRECT("'"&amp;$A136&amp;"'!G14")</f>
        <v>0</v>
      </c>
      <c r="K136" s="3">
        <f t="array" aca="1" ref="K136" ca="1">INDIRECT("'"&amp;$A136&amp;"'!H14")</f>
        <v>0</v>
      </c>
      <c r="L136" s="3">
        <f t="array" aca="1" ref="L136" ca="1">INDIRECT("'"&amp;$A136&amp;"'!I14")</f>
        <v>0</v>
      </c>
      <c r="M136" s="3">
        <f t="array" aca="1" ref="M136" ca="1">INDIRECT("'"&amp;$A136&amp;"'!J14")</f>
        <v>0</v>
      </c>
      <c r="N136" s="3">
        <f t="array" aca="1" ref="N136" ca="1">INDIRECT("'"&amp;$A136&amp;"'!K14")</f>
        <v>0</v>
      </c>
      <c r="O136" s="3">
        <f t="array" aca="1" ref="O136" ca="1">INDIRECT("'"&amp;$A136&amp;"'!L14")</f>
        <v>0</v>
      </c>
      <c r="P136" s="3">
        <f t="array" aca="1" ref="P136" ca="1">INDIRECT("'"&amp;$A136&amp;"'!M14")</f>
        <v>0</v>
      </c>
      <c r="Q136" s="3">
        <f t="array" aca="1" ref="Q136" ca="1">INDIRECT("'"&amp;$A136&amp;"'!N14")</f>
        <v>0</v>
      </c>
      <c r="R136" s="3">
        <f t="array" aca="1" ref="R136" ca="1">INDIRECT("'"&amp;$A136&amp;"'!O14")</f>
        <v>0</v>
      </c>
      <c r="S136" s="3">
        <f t="array" aca="1" ref="S136" ca="1">INDIRECT("'"&amp;$A136&amp;"'!P14")</f>
        <v>0</v>
      </c>
      <c r="T136" s="3">
        <f t="array" aca="1" ref="T136" ca="1">INDIRECT("'"&amp;$A136&amp;"'!Q14")</f>
        <v>0</v>
      </c>
      <c r="U136" s="3">
        <f t="array" aca="1" ref="U136" ca="1">INDIRECT("'"&amp;$A136&amp;"'!R14")</f>
        <v>0</v>
      </c>
      <c r="V136" s="3">
        <f t="array" aca="1" ref="V136" ca="1">INDIRECT("'"&amp;$A136&amp;"'!S14")</f>
        <v>0</v>
      </c>
      <c r="W136" s="3">
        <f t="array" aca="1" ref="W136" ca="1">INDIRECT("'"&amp;$A136&amp;"'!T14")</f>
        <v>0</v>
      </c>
      <c r="X136" s="3">
        <f t="array" aca="1" ref="X136" ca="1">INDIRECT("'"&amp;$A136&amp;"'!U14")</f>
        <v>0</v>
      </c>
      <c r="Y136" s="3">
        <f t="array" aca="1" ref="Y136" ca="1">INDIRECT("'"&amp;$A136&amp;"'!V14")</f>
        <v>0</v>
      </c>
      <c r="Z136" s="3">
        <f t="array" aca="1" ref="Z136" ca="1">INDIRECT("'"&amp;$A136&amp;"'!W14")</f>
        <v>0</v>
      </c>
      <c r="AA136" s="3">
        <f t="array" aca="1" ref="AA136" ca="1">INDIRECT("'"&amp;$A136&amp;"'!X14")</f>
        <v>0</v>
      </c>
      <c r="AB136" s="3">
        <f t="array" aca="1" ref="AB136" ca="1">INDIRECT("'"&amp;$A136&amp;"'!Y14")</f>
        <v>0</v>
      </c>
      <c r="AC136" s="3">
        <f t="array" aca="1" ref="AC136" ca="1">INDIRECT("'"&amp;$A136&amp;"'!Z14")</f>
        <v>0</v>
      </c>
      <c r="AD136" s="32">
        <f t="array" aca="1" ref="AD136" ca="1">INDIRECT("'"&amp;$A136&amp;"'!AA14")</f>
        <v>0</v>
      </c>
      <c r="AE136" s="83">
        <f t="array" aca="1" ref="AE136" ca="1">INDIRECT("'"&amp;$A135&amp;"'!J4")</f>
        <v>0</v>
      </c>
      <c r="AF136" s="53"/>
    </row>
    <row r="137" spans="1:32">
      <c r="A137" s="58">
        <v>46</v>
      </c>
      <c r="B137" s="105">
        <f>INDEX(data!$I$2:$I$91,MATCH(A137*1,data!$G$2:$G$91,0))</f>
        <v>46230</v>
      </c>
      <c r="C137" s="66" t="str">
        <f>HYPERLINK("#'" &amp; A137 &amp; "'!A1", "编辑")</f>
        <v>编辑</v>
      </c>
      <c r="D137" s="54" t="s">
        <v>6</v>
      </c>
      <c r="E137" s="81">
        <f t="array" aca="1" ref="E137" ca="1">INDIRECT("'"&amp;$A138&amp;"'!I2")</f>
        <v>18</v>
      </c>
      <c r="F137" s="29">
        <f t="array" aca="1" ref="F137" ca="1">INDIRECT("'"&amp;$A137&amp;"'!C8")</f>
        <v>0</v>
      </c>
      <c r="G137" s="30">
        <f t="array" aca="1" ref="G137" ca="1">INDIRECT("'"&amp;$A137&amp;"'!D8")</f>
        <v>0</v>
      </c>
      <c r="H137" s="30">
        <f t="array" aca="1" ref="H137" ca="1">INDIRECT("'"&amp;$A137&amp;"'!E8")</f>
        <v>0</v>
      </c>
      <c r="I137" s="30">
        <f t="array" aca="1" ref="I137" ca="1">INDIRECT("'"&amp;$A137&amp;"'!F8")</f>
        <v>0</v>
      </c>
      <c r="J137" s="30">
        <f t="array" aca="1" ref="J137" ca="1">INDIRECT("'"&amp;$A137&amp;"'!G8")</f>
        <v>0</v>
      </c>
      <c r="K137" s="30">
        <f t="array" aca="1" ref="K137" ca="1">INDIRECT("'"&amp;$A137&amp;"'!H8")</f>
        <v>0</v>
      </c>
      <c r="L137" s="30">
        <f t="array" aca="1" ref="L137" ca="1">INDIRECT("'"&amp;$A137&amp;"'!I8")</f>
        <v>0</v>
      </c>
      <c r="M137" s="30">
        <f t="array" aca="1" ref="M137" ca="1">INDIRECT("'"&amp;$A137&amp;"'!J8")</f>
        <v>0</v>
      </c>
      <c r="N137" s="30">
        <f t="array" aca="1" ref="N137" ca="1">INDIRECT("'"&amp;$A137&amp;"'!K8")</f>
        <v>0</v>
      </c>
      <c r="O137" s="30">
        <f t="array" aca="1" ref="O137" ca="1">INDIRECT("'"&amp;$A137&amp;"'!L8")</f>
        <v>0</v>
      </c>
      <c r="P137" s="30">
        <f t="array" aca="1" ref="P137" ca="1">INDIRECT("'"&amp;$A137&amp;"'!M8")</f>
        <v>0</v>
      </c>
      <c r="Q137" s="30">
        <f t="array" aca="1" ref="Q137" ca="1">INDIRECT("'"&amp;$A137&amp;"'!N8")</f>
        <v>0</v>
      </c>
      <c r="R137" s="30">
        <f t="array" aca="1" ref="R137" ca="1">INDIRECT("'"&amp;$A137&amp;"'!O8")</f>
        <v>0</v>
      </c>
      <c r="S137" s="30">
        <f t="array" aca="1" ref="S137" ca="1">INDIRECT("'"&amp;$A137&amp;"'!P8")</f>
        <v>0</v>
      </c>
      <c r="T137" s="30">
        <f t="array" aca="1" ref="T137" ca="1">INDIRECT("'"&amp;$A137&amp;"'!Q8")</f>
        <v>0</v>
      </c>
      <c r="U137" s="30">
        <f t="array" aca="1" ref="U137" ca="1">INDIRECT("'"&amp;$A137&amp;"'!R8")</f>
        <v>0</v>
      </c>
      <c r="V137" s="30">
        <f t="array" aca="1" ref="V137" ca="1">INDIRECT("'"&amp;$A137&amp;"'!S8")</f>
        <v>0</v>
      </c>
      <c r="W137" s="30">
        <f t="array" aca="1" ref="W137" ca="1">INDIRECT("'"&amp;$A137&amp;"'!T8")</f>
        <v>0</v>
      </c>
      <c r="X137" s="30">
        <f t="array" aca="1" ref="X137" ca="1">INDIRECT("'"&amp;$A137&amp;"'!U8")</f>
        <v>0</v>
      </c>
      <c r="Y137" s="30">
        <f t="array" aca="1" ref="Y137" ca="1">INDIRECT("'"&amp;$A137&amp;"'!V8")</f>
        <v>0</v>
      </c>
      <c r="Z137" s="30">
        <f t="array" aca="1" ref="Z137" ca="1">INDIRECT("'"&amp;$A137&amp;"'!W8")</f>
        <v>0</v>
      </c>
      <c r="AA137" s="30">
        <f t="array" aca="1" ref="AA137" ca="1">INDIRECT("'"&amp;$A137&amp;"'!X8")</f>
        <v>0</v>
      </c>
      <c r="AB137" s="30">
        <f t="array" aca="1" ref="AB137" ca="1">INDIRECT("'"&amp;$A137&amp;"'!Y8")</f>
        <v>0</v>
      </c>
      <c r="AC137" s="30">
        <f t="array" aca="1" ref="AC137" ca="1">INDIRECT("'"&amp;$A137&amp;"'!Z8")</f>
        <v>0</v>
      </c>
      <c r="AD137" s="31">
        <f t="array" aca="1" ref="AD137" ca="1">INDIRECT("'"&amp;$A137&amp;"'!AA8")</f>
        <v>0</v>
      </c>
      <c r="AE137" s="81">
        <f t="array" aca="1" ref="AE137" ca="1">INDIRECT("'"&amp;$A138&amp;"'!J2")</f>
        <v>0</v>
      </c>
      <c r="AF137" s="53" t="str">
        <f t="array" aca="1" ref="AF137" ca="1">INDIRECT("'"&amp;$A138&amp;"'!AD1")</f>
        <v/>
      </c>
    </row>
    <row r="138" spans="1:32">
      <c r="A138" s="58">
        <v>46</v>
      </c>
      <c r="B138" s="106"/>
      <c r="C138" s="67" t="str">
        <f t="array" aca="1" ref="C138" ca="1">CONCATENATE("粮 ",INDIRECT("'"&amp;$A138&amp;"'!D4"))</f>
        <v>粮 78800</v>
      </c>
      <c r="D138" s="55" t="s">
        <v>7</v>
      </c>
      <c r="E138" s="82">
        <f t="array" aca="1" ref="E138" ca="1">INDIRECT("'"&amp;$A138&amp;"'!I3")</f>
        <v>18</v>
      </c>
      <c r="F138" s="52">
        <f t="array" aca="1" ref="F138" ca="1">INDIRECT("'"&amp;$A138&amp;"'!C11")</f>
        <v>0</v>
      </c>
      <c r="G138" s="3">
        <f t="array" aca="1" ref="G138" ca="1">INDIRECT("'"&amp;$A138&amp;"'!D11")</f>
        <v>0</v>
      </c>
      <c r="H138" s="3">
        <f t="array" aca="1" ref="H138" ca="1">INDIRECT("'"&amp;$A138&amp;"'!E11")</f>
        <v>0</v>
      </c>
      <c r="I138" s="3">
        <f t="array" aca="1" ref="I138" ca="1">INDIRECT("'"&amp;$A138&amp;"'!F11")</f>
        <v>0</v>
      </c>
      <c r="J138" s="3">
        <f t="array" aca="1" ref="J138" ca="1">INDIRECT("'"&amp;$A138&amp;"'!G11")</f>
        <v>0</v>
      </c>
      <c r="K138" s="3">
        <f t="array" aca="1" ref="K138" ca="1">INDIRECT("'"&amp;$A138&amp;"'!H11")</f>
        <v>0</v>
      </c>
      <c r="L138" s="3">
        <f t="array" aca="1" ref="L138" ca="1">INDIRECT("'"&amp;$A138&amp;"'!I11")</f>
        <v>0</v>
      </c>
      <c r="M138" s="3">
        <f t="array" aca="1" ref="M138" ca="1">INDIRECT("'"&amp;$A138&amp;"'!J11")</f>
        <v>0</v>
      </c>
      <c r="N138" s="3">
        <f t="array" aca="1" ref="N138" ca="1">INDIRECT("'"&amp;$A138&amp;"'!K11")</f>
        <v>0</v>
      </c>
      <c r="O138" s="3">
        <f t="array" aca="1" ref="O138" ca="1">INDIRECT("'"&amp;$A138&amp;"'!L11")</f>
        <v>0</v>
      </c>
      <c r="P138" s="3">
        <f t="array" aca="1" ref="P138" ca="1">INDIRECT("'"&amp;$A138&amp;"'!M11")</f>
        <v>0</v>
      </c>
      <c r="Q138" s="3">
        <f t="array" aca="1" ref="Q138" ca="1">INDIRECT("'"&amp;$A138&amp;"'!N11")</f>
        <v>0</v>
      </c>
      <c r="R138" s="3">
        <f t="array" aca="1" ref="R138" ca="1">INDIRECT("'"&amp;$A138&amp;"'!O11")</f>
        <v>0</v>
      </c>
      <c r="S138" s="3">
        <f t="array" aca="1" ref="S138" ca="1">INDIRECT("'"&amp;$A138&amp;"'!P11")</f>
        <v>0</v>
      </c>
      <c r="T138" s="3">
        <f t="array" aca="1" ref="T138" ca="1">INDIRECT("'"&amp;$A138&amp;"'!Q11")</f>
        <v>0</v>
      </c>
      <c r="U138" s="3">
        <f t="array" aca="1" ref="U138" ca="1">INDIRECT("'"&amp;$A138&amp;"'!R11")</f>
        <v>0</v>
      </c>
      <c r="V138" s="3">
        <f t="array" aca="1" ref="V138" ca="1">INDIRECT("'"&amp;$A138&amp;"'!S11")</f>
        <v>0</v>
      </c>
      <c r="W138" s="3">
        <f t="array" aca="1" ref="W138" ca="1">INDIRECT("'"&amp;$A138&amp;"'!T11")</f>
        <v>0</v>
      </c>
      <c r="X138" s="3">
        <f t="array" aca="1" ref="X138" ca="1">INDIRECT("'"&amp;$A138&amp;"'!U11")</f>
        <v>0</v>
      </c>
      <c r="Y138" s="3">
        <f t="array" aca="1" ref="Y138" ca="1">INDIRECT("'"&amp;$A138&amp;"'!V11")</f>
        <v>0</v>
      </c>
      <c r="Z138" s="3">
        <f t="array" aca="1" ref="Z138" ca="1">INDIRECT("'"&amp;$A138&amp;"'!W11")</f>
        <v>0</v>
      </c>
      <c r="AA138" s="3">
        <f t="array" aca="1" ref="AA138" ca="1">INDIRECT("'"&amp;$A138&amp;"'!X11")</f>
        <v>0</v>
      </c>
      <c r="AB138" s="3">
        <f t="array" aca="1" ref="AB138" ca="1">INDIRECT("'"&amp;$A138&amp;"'!Y11")</f>
        <v>0</v>
      </c>
      <c r="AC138" s="3">
        <f t="array" aca="1" ref="AC138" ca="1">INDIRECT("'"&amp;$A138&amp;"'!Z11")</f>
        <v>0</v>
      </c>
      <c r="AD138" s="32">
        <f t="array" aca="1" ref="AD138" ca="1">INDIRECT("'"&amp;$A138&amp;"'!AA11")</f>
        <v>0</v>
      </c>
      <c r="AE138" s="82">
        <f t="array" aca="1" ref="AE138" ca="1">INDIRECT("'"&amp;$A138&amp;"'!J3")</f>
        <v>0</v>
      </c>
      <c r="AF138" s="53" t="str">
        <f t="array" aca="1" ref="AF138" ca="1">INDIRECT("'"&amp;$A138&amp;"'!AC1")</f>
        <v/>
      </c>
    </row>
    <row r="139" spans="1:32" ht="15.75" customHeight="1" thickBot="1">
      <c r="A139" s="58">
        <v>46</v>
      </c>
      <c r="B139" s="107"/>
      <c r="C139" s="77" t="str">
        <f t="array" aca="1" ref="C139" ca="1">CONCATENATE("分 ",INDIRECT("'"&amp;$A138&amp;"'!D6"))</f>
        <v>分 0</v>
      </c>
      <c r="D139" s="56" t="s">
        <v>8</v>
      </c>
      <c r="E139" s="83">
        <f t="array" aca="1" ref="E139" ca="1">INDIRECT("'"&amp;$A138&amp;"'!I4")</f>
        <v>18</v>
      </c>
      <c r="F139" s="52">
        <f t="array" aca="1" ref="F139" ca="1">INDIRECT("'"&amp;$A139&amp;"'!C14")</f>
        <v>0</v>
      </c>
      <c r="G139" s="3">
        <f t="array" aca="1" ref="G139" ca="1">INDIRECT("'"&amp;$A139&amp;"'!D14")</f>
        <v>0</v>
      </c>
      <c r="H139" s="3">
        <f t="array" aca="1" ref="H139" ca="1">INDIRECT("'"&amp;$A139&amp;"'!E14")</f>
        <v>0</v>
      </c>
      <c r="I139" s="3">
        <f t="array" aca="1" ref="I139" ca="1">INDIRECT("'"&amp;$A139&amp;"'!F14")</f>
        <v>0</v>
      </c>
      <c r="J139" s="3">
        <f t="array" aca="1" ref="J139" ca="1">INDIRECT("'"&amp;$A139&amp;"'!G14")</f>
        <v>0</v>
      </c>
      <c r="K139" s="3">
        <f t="array" aca="1" ref="K139" ca="1">INDIRECT("'"&amp;$A139&amp;"'!H14")</f>
        <v>0</v>
      </c>
      <c r="L139" s="3">
        <f t="array" aca="1" ref="L139" ca="1">INDIRECT("'"&amp;$A139&amp;"'!I14")</f>
        <v>0</v>
      </c>
      <c r="M139" s="3">
        <f t="array" aca="1" ref="M139" ca="1">INDIRECT("'"&amp;$A139&amp;"'!J14")</f>
        <v>0</v>
      </c>
      <c r="N139" s="3">
        <f t="array" aca="1" ref="N139" ca="1">INDIRECT("'"&amp;$A139&amp;"'!K14")</f>
        <v>0</v>
      </c>
      <c r="O139" s="3">
        <f t="array" aca="1" ref="O139" ca="1">INDIRECT("'"&amp;$A139&amp;"'!L14")</f>
        <v>0</v>
      </c>
      <c r="P139" s="3">
        <f t="array" aca="1" ref="P139" ca="1">INDIRECT("'"&amp;$A139&amp;"'!M14")</f>
        <v>0</v>
      </c>
      <c r="Q139" s="3">
        <f t="array" aca="1" ref="Q139" ca="1">INDIRECT("'"&amp;$A139&amp;"'!N14")</f>
        <v>0</v>
      </c>
      <c r="R139" s="3">
        <f t="array" aca="1" ref="R139" ca="1">INDIRECT("'"&amp;$A139&amp;"'!O14")</f>
        <v>0</v>
      </c>
      <c r="S139" s="3">
        <f t="array" aca="1" ref="S139" ca="1">INDIRECT("'"&amp;$A139&amp;"'!P14")</f>
        <v>0</v>
      </c>
      <c r="T139" s="3">
        <f t="array" aca="1" ref="T139" ca="1">INDIRECT("'"&amp;$A139&amp;"'!Q14")</f>
        <v>0</v>
      </c>
      <c r="U139" s="3">
        <f t="array" aca="1" ref="U139" ca="1">INDIRECT("'"&amp;$A139&amp;"'!R14")</f>
        <v>0</v>
      </c>
      <c r="V139" s="3">
        <f t="array" aca="1" ref="V139" ca="1">INDIRECT("'"&amp;$A139&amp;"'!S14")</f>
        <v>0</v>
      </c>
      <c r="W139" s="3">
        <f t="array" aca="1" ref="W139" ca="1">INDIRECT("'"&amp;$A139&amp;"'!T14")</f>
        <v>0</v>
      </c>
      <c r="X139" s="3">
        <f t="array" aca="1" ref="X139" ca="1">INDIRECT("'"&amp;$A139&amp;"'!U14")</f>
        <v>0</v>
      </c>
      <c r="Y139" s="3">
        <f t="array" aca="1" ref="Y139" ca="1">INDIRECT("'"&amp;$A139&amp;"'!V14")</f>
        <v>0</v>
      </c>
      <c r="Z139" s="3">
        <f t="array" aca="1" ref="Z139" ca="1">INDIRECT("'"&amp;$A139&amp;"'!W14")</f>
        <v>0</v>
      </c>
      <c r="AA139" s="3">
        <f t="array" aca="1" ref="AA139" ca="1">INDIRECT("'"&amp;$A139&amp;"'!X14")</f>
        <v>0</v>
      </c>
      <c r="AB139" s="3">
        <f t="array" aca="1" ref="AB139" ca="1">INDIRECT("'"&amp;$A139&amp;"'!Y14")</f>
        <v>0</v>
      </c>
      <c r="AC139" s="3">
        <f t="array" aca="1" ref="AC139" ca="1">INDIRECT("'"&amp;$A139&amp;"'!Z14")</f>
        <v>0</v>
      </c>
      <c r="AD139" s="32">
        <f t="array" aca="1" ref="AD139" ca="1">INDIRECT("'"&amp;$A139&amp;"'!AA14")</f>
        <v>0</v>
      </c>
      <c r="AE139" s="83">
        <f t="array" aca="1" ref="AE139" ca="1">INDIRECT("'"&amp;$A138&amp;"'!J4")</f>
        <v>0</v>
      </c>
      <c r="AF139" s="53"/>
    </row>
    <row r="140" spans="1:32">
      <c r="A140" s="58">
        <v>47</v>
      </c>
      <c r="B140" s="105">
        <f>INDEX(data!$I$2:$I$91,MATCH(A140*1,data!$G$2:$G$91,0))</f>
        <v>46231</v>
      </c>
      <c r="C140" s="66" t="str">
        <f>HYPERLINK("#'" &amp; A140 &amp; "'!A1", "编辑")</f>
        <v>编辑</v>
      </c>
      <c r="D140" s="54" t="s">
        <v>6</v>
      </c>
      <c r="E140" s="81">
        <f t="array" aca="1" ref="E140" ca="1">INDIRECT("'"&amp;$A141&amp;"'!I2")</f>
        <v>18</v>
      </c>
      <c r="F140" s="29">
        <f t="array" aca="1" ref="F140" ca="1">INDIRECT("'"&amp;$A140&amp;"'!C8")</f>
        <v>0</v>
      </c>
      <c r="G140" s="30">
        <f t="array" aca="1" ref="G140" ca="1">INDIRECT("'"&amp;$A140&amp;"'!D8")</f>
        <v>0</v>
      </c>
      <c r="H140" s="30">
        <f t="array" aca="1" ref="H140" ca="1">INDIRECT("'"&amp;$A140&amp;"'!E8")</f>
        <v>0</v>
      </c>
      <c r="I140" s="30">
        <f t="array" aca="1" ref="I140" ca="1">INDIRECT("'"&amp;$A140&amp;"'!F8")</f>
        <v>0</v>
      </c>
      <c r="J140" s="30">
        <f t="array" aca="1" ref="J140" ca="1">INDIRECT("'"&amp;$A140&amp;"'!G8")</f>
        <v>0</v>
      </c>
      <c r="K140" s="30">
        <f t="array" aca="1" ref="K140" ca="1">INDIRECT("'"&amp;$A140&amp;"'!H8")</f>
        <v>0</v>
      </c>
      <c r="L140" s="30">
        <f t="array" aca="1" ref="L140" ca="1">INDIRECT("'"&amp;$A140&amp;"'!I8")</f>
        <v>0</v>
      </c>
      <c r="M140" s="30">
        <f t="array" aca="1" ref="M140" ca="1">INDIRECT("'"&amp;$A140&amp;"'!J8")</f>
        <v>0</v>
      </c>
      <c r="N140" s="30">
        <f t="array" aca="1" ref="N140" ca="1">INDIRECT("'"&amp;$A140&amp;"'!K8")</f>
        <v>0</v>
      </c>
      <c r="O140" s="30">
        <f t="array" aca="1" ref="O140" ca="1">INDIRECT("'"&amp;$A140&amp;"'!L8")</f>
        <v>0</v>
      </c>
      <c r="P140" s="30">
        <f t="array" aca="1" ref="P140" ca="1">INDIRECT("'"&amp;$A140&amp;"'!M8")</f>
        <v>0</v>
      </c>
      <c r="Q140" s="30">
        <f t="array" aca="1" ref="Q140" ca="1">INDIRECT("'"&amp;$A140&amp;"'!N8")</f>
        <v>0</v>
      </c>
      <c r="R140" s="30">
        <f t="array" aca="1" ref="R140" ca="1">INDIRECT("'"&amp;$A140&amp;"'!O8")</f>
        <v>0</v>
      </c>
      <c r="S140" s="30">
        <f t="array" aca="1" ref="S140" ca="1">INDIRECT("'"&amp;$A140&amp;"'!P8")</f>
        <v>0</v>
      </c>
      <c r="T140" s="30">
        <f t="array" aca="1" ref="T140" ca="1">INDIRECT("'"&amp;$A140&amp;"'!Q8")</f>
        <v>0</v>
      </c>
      <c r="U140" s="30">
        <f t="array" aca="1" ref="U140" ca="1">INDIRECT("'"&amp;$A140&amp;"'!R8")</f>
        <v>0</v>
      </c>
      <c r="V140" s="30">
        <f t="array" aca="1" ref="V140" ca="1">INDIRECT("'"&amp;$A140&amp;"'!S8")</f>
        <v>0</v>
      </c>
      <c r="W140" s="30">
        <f t="array" aca="1" ref="W140" ca="1">INDIRECT("'"&amp;$A140&amp;"'!T8")</f>
        <v>0</v>
      </c>
      <c r="X140" s="30">
        <f t="array" aca="1" ref="X140" ca="1">INDIRECT("'"&amp;$A140&amp;"'!U8")</f>
        <v>0</v>
      </c>
      <c r="Y140" s="30">
        <f t="array" aca="1" ref="Y140" ca="1">INDIRECT("'"&amp;$A140&amp;"'!V8")</f>
        <v>0</v>
      </c>
      <c r="Z140" s="30">
        <f t="array" aca="1" ref="Z140" ca="1">INDIRECT("'"&amp;$A140&amp;"'!W8")</f>
        <v>0</v>
      </c>
      <c r="AA140" s="30">
        <f t="array" aca="1" ref="AA140" ca="1">INDIRECT("'"&amp;$A140&amp;"'!X8")</f>
        <v>0</v>
      </c>
      <c r="AB140" s="30">
        <f t="array" aca="1" ref="AB140" ca="1">INDIRECT("'"&amp;$A140&amp;"'!Y8")</f>
        <v>0</v>
      </c>
      <c r="AC140" s="30">
        <f t="array" aca="1" ref="AC140" ca="1">INDIRECT("'"&amp;$A140&amp;"'!Z8")</f>
        <v>0</v>
      </c>
      <c r="AD140" s="31">
        <f t="array" aca="1" ref="AD140" ca="1">INDIRECT("'"&amp;$A140&amp;"'!AA8")</f>
        <v>0</v>
      </c>
      <c r="AE140" s="81">
        <f t="array" aca="1" ref="AE140" ca="1">INDIRECT("'"&amp;$A141&amp;"'!J2")</f>
        <v>0</v>
      </c>
      <c r="AF140" s="53" t="str">
        <f t="array" aca="1" ref="AF140" ca="1">INDIRECT("'"&amp;$A141&amp;"'!AD1")</f>
        <v/>
      </c>
    </row>
    <row r="141" spans="1:32">
      <c r="A141" s="58">
        <v>47</v>
      </c>
      <c r="B141" s="106"/>
      <c r="C141" s="67" t="str">
        <f t="array" aca="1" ref="C141" ca="1">CONCATENATE("粮 ",INDIRECT("'"&amp;$A141&amp;"'!D4"))</f>
        <v>粮 80400</v>
      </c>
      <c r="D141" s="55" t="s">
        <v>7</v>
      </c>
      <c r="E141" s="82">
        <f t="array" aca="1" ref="E141" ca="1">INDIRECT("'"&amp;$A141&amp;"'!I3")</f>
        <v>18</v>
      </c>
      <c r="F141" s="52">
        <f t="array" aca="1" ref="F141" ca="1">INDIRECT("'"&amp;$A141&amp;"'!C11")</f>
        <v>0</v>
      </c>
      <c r="G141" s="3">
        <f t="array" aca="1" ref="G141" ca="1">INDIRECT("'"&amp;$A141&amp;"'!D11")</f>
        <v>0</v>
      </c>
      <c r="H141" s="3">
        <f t="array" aca="1" ref="H141" ca="1">INDIRECT("'"&amp;$A141&amp;"'!E11")</f>
        <v>0</v>
      </c>
      <c r="I141" s="3">
        <f t="array" aca="1" ref="I141" ca="1">INDIRECT("'"&amp;$A141&amp;"'!F11")</f>
        <v>0</v>
      </c>
      <c r="J141" s="3">
        <f t="array" aca="1" ref="J141" ca="1">INDIRECT("'"&amp;$A141&amp;"'!G11")</f>
        <v>0</v>
      </c>
      <c r="K141" s="3">
        <f t="array" aca="1" ref="K141" ca="1">INDIRECT("'"&amp;$A141&amp;"'!H11")</f>
        <v>0</v>
      </c>
      <c r="L141" s="3">
        <f t="array" aca="1" ref="L141" ca="1">INDIRECT("'"&amp;$A141&amp;"'!I11")</f>
        <v>0</v>
      </c>
      <c r="M141" s="3">
        <f t="array" aca="1" ref="M141" ca="1">INDIRECT("'"&amp;$A141&amp;"'!J11")</f>
        <v>0</v>
      </c>
      <c r="N141" s="3">
        <f t="array" aca="1" ref="N141" ca="1">INDIRECT("'"&amp;$A141&amp;"'!K11")</f>
        <v>0</v>
      </c>
      <c r="O141" s="3">
        <f t="array" aca="1" ref="O141" ca="1">INDIRECT("'"&amp;$A141&amp;"'!L11")</f>
        <v>0</v>
      </c>
      <c r="P141" s="3">
        <f t="array" aca="1" ref="P141" ca="1">INDIRECT("'"&amp;$A141&amp;"'!M11")</f>
        <v>0</v>
      </c>
      <c r="Q141" s="3">
        <f t="array" aca="1" ref="Q141" ca="1">INDIRECT("'"&amp;$A141&amp;"'!N11")</f>
        <v>0</v>
      </c>
      <c r="R141" s="3">
        <f t="array" aca="1" ref="R141" ca="1">INDIRECT("'"&amp;$A141&amp;"'!O11")</f>
        <v>0</v>
      </c>
      <c r="S141" s="3">
        <f t="array" aca="1" ref="S141" ca="1">INDIRECT("'"&amp;$A141&amp;"'!P11")</f>
        <v>0</v>
      </c>
      <c r="T141" s="3">
        <f t="array" aca="1" ref="T141" ca="1">INDIRECT("'"&amp;$A141&amp;"'!Q11")</f>
        <v>0</v>
      </c>
      <c r="U141" s="3">
        <f t="array" aca="1" ref="U141" ca="1">INDIRECT("'"&amp;$A141&amp;"'!R11")</f>
        <v>0</v>
      </c>
      <c r="V141" s="3">
        <f t="array" aca="1" ref="V141" ca="1">INDIRECT("'"&amp;$A141&amp;"'!S11")</f>
        <v>0</v>
      </c>
      <c r="W141" s="3">
        <f t="array" aca="1" ref="W141" ca="1">INDIRECT("'"&amp;$A141&amp;"'!T11")</f>
        <v>0</v>
      </c>
      <c r="X141" s="3">
        <f t="array" aca="1" ref="X141" ca="1">INDIRECT("'"&amp;$A141&amp;"'!U11")</f>
        <v>0</v>
      </c>
      <c r="Y141" s="3">
        <f t="array" aca="1" ref="Y141" ca="1">INDIRECT("'"&amp;$A141&amp;"'!V11")</f>
        <v>0</v>
      </c>
      <c r="Z141" s="3">
        <f t="array" aca="1" ref="Z141" ca="1">INDIRECT("'"&amp;$A141&amp;"'!W11")</f>
        <v>0</v>
      </c>
      <c r="AA141" s="3">
        <f t="array" aca="1" ref="AA141" ca="1">INDIRECT("'"&amp;$A141&amp;"'!X11")</f>
        <v>0</v>
      </c>
      <c r="AB141" s="3">
        <f t="array" aca="1" ref="AB141" ca="1">INDIRECT("'"&amp;$A141&amp;"'!Y11")</f>
        <v>0</v>
      </c>
      <c r="AC141" s="3">
        <f t="array" aca="1" ref="AC141" ca="1">INDIRECT("'"&amp;$A141&amp;"'!Z11")</f>
        <v>0</v>
      </c>
      <c r="AD141" s="32">
        <f t="array" aca="1" ref="AD141" ca="1">INDIRECT("'"&amp;$A141&amp;"'!AA11")</f>
        <v>0</v>
      </c>
      <c r="AE141" s="82">
        <f t="array" aca="1" ref="AE141" ca="1">INDIRECT("'"&amp;$A141&amp;"'!J3")</f>
        <v>0</v>
      </c>
      <c r="AF141" s="53" t="str">
        <f t="array" aca="1" ref="AF141" ca="1">INDIRECT("'"&amp;$A141&amp;"'!AC1")</f>
        <v/>
      </c>
    </row>
    <row r="142" spans="1:32" ht="15.75" customHeight="1" thickBot="1">
      <c r="A142" s="58">
        <v>47</v>
      </c>
      <c r="B142" s="107"/>
      <c r="C142" s="77" t="str">
        <f t="array" aca="1" ref="C142" ca="1">CONCATENATE("分 ",INDIRECT("'"&amp;$A141&amp;"'!D6"))</f>
        <v>分 0</v>
      </c>
      <c r="D142" s="56" t="s">
        <v>8</v>
      </c>
      <c r="E142" s="83">
        <f t="array" aca="1" ref="E142" ca="1">INDIRECT("'"&amp;$A141&amp;"'!I4")</f>
        <v>18</v>
      </c>
      <c r="F142" s="52">
        <f t="array" aca="1" ref="F142" ca="1">INDIRECT("'"&amp;$A142&amp;"'!C14")</f>
        <v>0</v>
      </c>
      <c r="G142" s="3">
        <f t="array" aca="1" ref="G142" ca="1">INDIRECT("'"&amp;$A142&amp;"'!D14")</f>
        <v>0</v>
      </c>
      <c r="H142" s="3">
        <f t="array" aca="1" ref="H142" ca="1">INDIRECT("'"&amp;$A142&amp;"'!E14")</f>
        <v>0</v>
      </c>
      <c r="I142" s="3">
        <f t="array" aca="1" ref="I142" ca="1">INDIRECT("'"&amp;$A142&amp;"'!F14")</f>
        <v>0</v>
      </c>
      <c r="J142" s="3">
        <f t="array" aca="1" ref="J142" ca="1">INDIRECT("'"&amp;$A142&amp;"'!G14")</f>
        <v>0</v>
      </c>
      <c r="K142" s="3">
        <f t="array" aca="1" ref="K142" ca="1">INDIRECT("'"&amp;$A142&amp;"'!H14")</f>
        <v>0</v>
      </c>
      <c r="L142" s="3">
        <f t="array" aca="1" ref="L142" ca="1">INDIRECT("'"&amp;$A142&amp;"'!I14")</f>
        <v>0</v>
      </c>
      <c r="M142" s="3">
        <f t="array" aca="1" ref="M142" ca="1">INDIRECT("'"&amp;$A142&amp;"'!J14")</f>
        <v>0</v>
      </c>
      <c r="N142" s="3">
        <f t="array" aca="1" ref="N142" ca="1">INDIRECT("'"&amp;$A142&amp;"'!K14")</f>
        <v>0</v>
      </c>
      <c r="O142" s="3">
        <f t="array" aca="1" ref="O142" ca="1">INDIRECT("'"&amp;$A142&amp;"'!L14")</f>
        <v>0</v>
      </c>
      <c r="P142" s="3">
        <f t="array" aca="1" ref="P142" ca="1">INDIRECT("'"&amp;$A142&amp;"'!M14")</f>
        <v>0</v>
      </c>
      <c r="Q142" s="3">
        <f t="array" aca="1" ref="Q142" ca="1">INDIRECT("'"&amp;$A142&amp;"'!N14")</f>
        <v>0</v>
      </c>
      <c r="R142" s="3">
        <f t="array" aca="1" ref="R142" ca="1">INDIRECT("'"&amp;$A142&amp;"'!O14")</f>
        <v>0</v>
      </c>
      <c r="S142" s="3">
        <f t="array" aca="1" ref="S142" ca="1">INDIRECT("'"&amp;$A142&amp;"'!P14")</f>
        <v>0</v>
      </c>
      <c r="T142" s="3">
        <f t="array" aca="1" ref="T142" ca="1">INDIRECT("'"&amp;$A142&amp;"'!Q14")</f>
        <v>0</v>
      </c>
      <c r="U142" s="3">
        <f t="array" aca="1" ref="U142" ca="1">INDIRECT("'"&amp;$A142&amp;"'!R14")</f>
        <v>0</v>
      </c>
      <c r="V142" s="3">
        <f t="array" aca="1" ref="V142" ca="1">INDIRECT("'"&amp;$A142&amp;"'!S14")</f>
        <v>0</v>
      </c>
      <c r="W142" s="3">
        <f t="array" aca="1" ref="W142" ca="1">INDIRECT("'"&amp;$A142&amp;"'!T14")</f>
        <v>0</v>
      </c>
      <c r="X142" s="3">
        <f t="array" aca="1" ref="X142" ca="1">INDIRECT("'"&amp;$A142&amp;"'!U14")</f>
        <v>0</v>
      </c>
      <c r="Y142" s="3">
        <f t="array" aca="1" ref="Y142" ca="1">INDIRECT("'"&amp;$A142&amp;"'!V14")</f>
        <v>0</v>
      </c>
      <c r="Z142" s="3">
        <f t="array" aca="1" ref="Z142" ca="1">INDIRECT("'"&amp;$A142&amp;"'!W14")</f>
        <v>0</v>
      </c>
      <c r="AA142" s="3">
        <f t="array" aca="1" ref="AA142" ca="1">INDIRECT("'"&amp;$A142&amp;"'!X14")</f>
        <v>0</v>
      </c>
      <c r="AB142" s="3">
        <f t="array" aca="1" ref="AB142" ca="1">INDIRECT("'"&amp;$A142&amp;"'!Y14")</f>
        <v>0</v>
      </c>
      <c r="AC142" s="3">
        <f t="array" aca="1" ref="AC142" ca="1">INDIRECT("'"&amp;$A142&amp;"'!Z14")</f>
        <v>0</v>
      </c>
      <c r="AD142" s="32">
        <f t="array" aca="1" ref="AD142" ca="1">INDIRECT("'"&amp;$A142&amp;"'!AA14")</f>
        <v>0</v>
      </c>
      <c r="AE142" s="83">
        <f t="array" aca="1" ref="AE142" ca="1">INDIRECT("'"&amp;$A141&amp;"'!J4")</f>
        <v>0</v>
      </c>
      <c r="AF142" s="53"/>
    </row>
    <row r="143" spans="1:32">
      <c r="A143" s="58">
        <v>48</v>
      </c>
      <c r="B143" s="105">
        <f>INDEX(data!$I$2:$I$91,MATCH(A143*1,data!$G$2:$G$91,0))</f>
        <v>46232</v>
      </c>
      <c r="C143" s="66" t="str">
        <f>HYPERLINK("#'" &amp; A143 &amp; "'!A1", "编辑")</f>
        <v>编辑</v>
      </c>
      <c r="D143" s="54" t="s">
        <v>6</v>
      </c>
      <c r="E143" s="81">
        <f t="array" aca="1" ref="E143" ca="1">INDIRECT("'"&amp;$A144&amp;"'!I2")</f>
        <v>18</v>
      </c>
      <c r="F143" s="29">
        <f t="array" aca="1" ref="F143" ca="1">INDIRECT("'"&amp;$A143&amp;"'!C8")</f>
        <v>0</v>
      </c>
      <c r="G143" s="30">
        <f t="array" aca="1" ref="G143" ca="1">INDIRECT("'"&amp;$A143&amp;"'!D8")</f>
        <v>0</v>
      </c>
      <c r="H143" s="30">
        <f t="array" aca="1" ref="H143" ca="1">INDIRECT("'"&amp;$A143&amp;"'!E8")</f>
        <v>0</v>
      </c>
      <c r="I143" s="30">
        <f t="array" aca="1" ref="I143" ca="1">INDIRECT("'"&amp;$A143&amp;"'!F8")</f>
        <v>0</v>
      </c>
      <c r="J143" s="30">
        <f t="array" aca="1" ref="J143" ca="1">INDIRECT("'"&amp;$A143&amp;"'!G8")</f>
        <v>0</v>
      </c>
      <c r="K143" s="30">
        <f t="array" aca="1" ref="K143" ca="1">INDIRECT("'"&amp;$A143&amp;"'!H8")</f>
        <v>0</v>
      </c>
      <c r="L143" s="30">
        <f t="array" aca="1" ref="L143" ca="1">INDIRECT("'"&amp;$A143&amp;"'!I8")</f>
        <v>0</v>
      </c>
      <c r="M143" s="30">
        <f t="array" aca="1" ref="M143" ca="1">INDIRECT("'"&amp;$A143&amp;"'!J8")</f>
        <v>0</v>
      </c>
      <c r="N143" s="30">
        <f t="array" aca="1" ref="N143" ca="1">INDIRECT("'"&amp;$A143&amp;"'!K8")</f>
        <v>0</v>
      </c>
      <c r="O143" s="30">
        <f t="array" aca="1" ref="O143" ca="1">INDIRECT("'"&amp;$A143&amp;"'!L8")</f>
        <v>0</v>
      </c>
      <c r="P143" s="30">
        <f t="array" aca="1" ref="P143" ca="1">INDIRECT("'"&amp;$A143&amp;"'!M8")</f>
        <v>0</v>
      </c>
      <c r="Q143" s="30">
        <f t="array" aca="1" ref="Q143" ca="1">INDIRECT("'"&amp;$A143&amp;"'!N8")</f>
        <v>0</v>
      </c>
      <c r="R143" s="30">
        <f t="array" aca="1" ref="R143" ca="1">INDIRECT("'"&amp;$A143&amp;"'!O8")</f>
        <v>0</v>
      </c>
      <c r="S143" s="30">
        <f t="array" aca="1" ref="S143" ca="1">INDIRECT("'"&amp;$A143&amp;"'!P8")</f>
        <v>0</v>
      </c>
      <c r="T143" s="30">
        <f t="array" aca="1" ref="T143" ca="1">INDIRECT("'"&amp;$A143&amp;"'!Q8")</f>
        <v>0</v>
      </c>
      <c r="U143" s="30">
        <f t="array" aca="1" ref="U143" ca="1">INDIRECT("'"&amp;$A143&amp;"'!R8")</f>
        <v>0</v>
      </c>
      <c r="V143" s="30">
        <f t="array" aca="1" ref="V143" ca="1">INDIRECT("'"&amp;$A143&amp;"'!S8")</f>
        <v>0</v>
      </c>
      <c r="W143" s="30">
        <f t="array" aca="1" ref="W143" ca="1">INDIRECT("'"&amp;$A143&amp;"'!T8")</f>
        <v>0</v>
      </c>
      <c r="X143" s="30">
        <f t="array" aca="1" ref="X143" ca="1">INDIRECT("'"&amp;$A143&amp;"'!U8")</f>
        <v>0</v>
      </c>
      <c r="Y143" s="30">
        <f t="array" aca="1" ref="Y143" ca="1">INDIRECT("'"&amp;$A143&amp;"'!V8")</f>
        <v>0</v>
      </c>
      <c r="Z143" s="30">
        <f t="array" aca="1" ref="Z143" ca="1">INDIRECT("'"&amp;$A143&amp;"'!W8")</f>
        <v>0</v>
      </c>
      <c r="AA143" s="30">
        <f t="array" aca="1" ref="AA143" ca="1">INDIRECT("'"&amp;$A143&amp;"'!X8")</f>
        <v>0</v>
      </c>
      <c r="AB143" s="30">
        <f t="array" aca="1" ref="AB143" ca="1">INDIRECT("'"&amp;$A143&amp;"'!Y8")</f>
        <v>0</v>
      </c>
      <c r="AC143" s="30">
        <f t="array" aca="1" ref="AC143" ca="1">INDIRECT("'"&amp;$A143&amp;"'!Z8")</f>
        <v>0</v>
      </c>
      <c r="AD143" s="31">
        <f t="array" aca="1" ref="AD143" ca="1">INDIRECT("'"&amp;$A143&amp;"'!AA8")</f>
        <v>0</v>
      </c>
      <c r="AE143" s="81">
        <f t="array" aca="1" ref="AE143" ca="1">INDIRECT("'"&amp;$A144&amp;"'!J2")</f>
        <v>0</v>
      </c>
      <c r="AF143" s="53" t="str">
        <f t="array" aca="1" ref="AF143" ca="1">INDIRECT("'"&amp;$A144&amp;"'!AD1")</f>
        <v/>
      </c>
    </row>
    <row r="144" spans="1:32">
      <c r="A144" s="58">
        <v>48</v>
      </c>
      <c r="B144" s="106"/>
      <c r="C144" s="67" t="str">
        <f t="array" aca="1" ref="C144" ca="1">CONCATENATE("粮 ",INDIRECT("'"&amp;$A144&amp;"'!D4"))</f>
        <v>粮 82000</v>
      </c>
      <c r="D144" s="55" t="s">
        <v>7</v>
      </c>
      <c r="E144" s="82">
        <f t="array" aca="1" ref="E144" ca="1">INDIRECT("'"&amp;$A144&amp;"'!I3")</f>
        <v>18</v>
      </c>
      <c r="F144" s="52">
        <f t="array" aca="1" ref="F144" ca="1">INDIRECT("'"&amp;$A144&amp;"'!C11")</f>
        <v>0</v>
      </c>
      <c r="G144" s="3">
        <f t="array" aca="1" ref="G144" ca="1">INDIRECT("'"&amp;$A144&amp;"'!D11")</f>
        <v>0</v>
      </c>
      <c r="H144" s="3">
        <f t="array" aca="1" ref="H144" ca="1">INDIRECT("'"&amp;$A144&amp;"'!E11")</f>
        <v>0</v>
      </c>
      <c r="I144" s="3">
        <f t="array" aca="1" ref="I144" ca="1">INDIRECT("'"&amp;$A144&amp;"'!F11")</f>
        <v>0</v>
      </c>
      <c r="J144" s="3">
        <f t="array" aca="1" ref="J144" ca="1">INDIRECT("'"&amp;$A144&amp;"'!G11")</f>
        <v>0</v>
      </c>
      <c r="K144" s="3">
        <f t="array" aca="1" ref="K144" ca="1">INDIRECT("'"&amp;$A144&amp;"'!H11")</f>
        <v>0</v>
      </c>
      <c r="L144" s="3">
        <f t="array" aca="1" ref="L144" ca="1">INDIRECT("'"&amp;$A144&amp;"'!I11")</f>
        <v>0</v>
      </c>
      <c r="M144" s="3">
        <f t="array" aca="1" ref="M144" ca="1">INDIRECT("'"&amp;$A144&amp;"'!J11")</f>
        <v>0</v>
      </c>
      <c r="N144" s="3">
        <f t="array" aca="1" ref="N144" ca="1">INDIRECT("'"&amp;$A144&amp;"'!K11")</f>
        <v>0</v>
      </c>
      <c r="O144" s="3">
        <f t="array" aca="1" ref="O144" ca="1">INDIRECT("'"&amp;$A144&amp;"'!L11")</f>
        <v>0</v>
      </c>
      <c r="P144" s="3">
        <f t="array" aca="1" ref="P144" ca="1">INDIRECT("'"&amp;$A144&amp;"'!M11")</f>
        <v>0</v>
      </c>
      <c r="Q144" s="3">
        <f t="array" aca="1" ref="Q144" ca="1">INDIRECT("'"&amp;$A144&amp;"'!N11")</f>
        <v>0</v>
      </c>
      <c r="R144" s="3">
        <f t="array" aca="1" ref="R144" ca="1">INDIRECT("'"&amp;$A144&amp;"'!O11")</f>
        <v>0</v>
      </c>
      <c r="S144" s="3">
        <f t="array" aca="1" ref="S144" ca="1">INDIRECT("'"&amp;$A144&amp;"'!P11")</f>
        <v>0</v>
      </c>
      <c r="T144" s="3">
        <f t="array" aca="1" ref="T144" ca="1">INDIRECT("'"&amp;$A144&amp;"'!Q11")</f>
        <v>0</v>
      </c>
      <c r="U144" s="3">
        <f t="array" aca="1" ref="U144" ca="1">INDIRECT("'"&amp;$A144&amp;"'!R11")</f>
        <v>0</v>
      </c>
      <c r="V144" s="3">
        <f t="array" aca="1" ref="V144" ca="1">INDIRECT("'"&amp;$A144&amp;"'!S11")</f>
        <v>0</v>
      </c>
      <c r="W144" s="3">
        <f t="array" aca="1" ref="W144" ca="1">INDIRECT("'"&amp;$A144&amp;"'!T11")</f>
        <v>0</v>
      </c>
      <c r="X144" s="3">
        <f t="array" aca="1" ref="X144" ca="1">INDIRECT("'"&amp;$A144&amp;"'!U11")</f>
        <v>0</v>
      </c>
      <c r="Y144" s="3">
        <f t="array" aca="1" ref="Y144" ca="1">INDIRECT("'"&amp;$A144&amp;"'!V11")</f>
        <v>0</v>
      </c>
      <c r="Z144" s="3">
        <f t="array" aca="1" ref="Z144" ca="1">INDIRECT("'"&amp;$A144&amp;"'!W11")</f>
        <v>0</v>
      </c>
      <c r="AA144" s="3">
        <f t="array" aca="1" ref="AA144" ca="1">INDIRECT("'"&amp;$A144&amp;"'!X11")</f>
        <v>0</v>
      </c>
      <c r="AB144" s="3">
        <f t="array" aca="1" ref="AB144" ca="1">INDIRECT("'"&amp;$A144&amp;"'!Y11")</f>
        <v>0</v>
      </c>
      <c r="AC144" s="3">
        <f t="array" aca="1" ref="AC144" ca="1">INDIRECT("'"&amp;$A144&amp;"'!Z11")</f>
        <v>0</v>
      </c>
      <c r="AD144" s="32">
        <f t="array" aca="1" ref="AD144" ca="1">INDIRECT("'"&amp;$A144&amp;"'!AA11")</f>
        <v>0</v>
      </c>
      <c r="AE144" s="82">
        <f t="array" aca="1" ref="AE144" ca="1">INDIRECT("'"&amp;$A144&amp;"'!J3")</f>
        <v>0</v>
      </c>
      <c r="AF144" s="53" t="str">
        <f t="array" aca="1" ref="AF144" ca="1">INDIRECT("'"&amp;$A144&amp;"'!AC1")</f>
        <v/>
      </c>
    </row>
    <row r="145" spans="1:32" ht="15.75" customHeight="1" thickBot="1">
      <c r="A145" s="58">
        <v>48</v>
      </c>
      <c r="B145" s="107"/>
      <c r="C145" s="77" t="str">
        <f t="array" aca="1" ref="C145" ca="1">CONCATENATE("分 ",INDIRECT("'"&amp;$A144&amp;"'!D6"))</f>
        <v>分 0</v>
      </c>
      <c r="D145" s="56" t="s">
        <v>8</v>
      </c>
      <c r="E145" s="83">
        <f t="array" aca="1" ref="E145" ca="1">INDIRECT("'"&amp;$A144&amp;"'!I4")</f>
        <v>18</v>
      </c>
      <c r="F145" s="52">
        <f t="array" aca="1" ref="F145" ca="1">INDIRECT("'"&amp;$A145&amp;"'!C14")</f>
        <v>0</v>
      </c>
      <c r="G145" s="3">
        <f t="array" aca="1" ref="G145" ca="1">INDIRECT("'"&amp;$A145&amp;"'!D14")</f>
        <v>0</v>
      </c>
      <c r="H145" s="3">
        <f t="array" aca="1" ref="H145" ca="1">INDIRECT("'"&amp;$A145&amp;"'!E14")</f>
        <v>0</v>
      </c>
      <c r="I145" s="3">
        <f t="array" aca="1" ref="I145" ca="1">INDIRECT("'"&amp;$A145&amp;"'!F14")</f>
        <v>0</v>
      </c>
      <c r="J145" s="3">
        <f t="array" aca="1" ref="J145" ca="1">INDIRECT("'"&amp;$A145&amp;"'!G14")</f>
        <v>0</v>
      </c>
      <c r="K145" s="3">
        <f t="array" aca="1" ref="K145" ca="1">INDIRECT("'"&amp;$A145&amp;"'!H14")</f>
        <v>0</v>
      </c>
      <c r="L145" s="3">
        <f t="array" aca="1" ref="L145" ca="1">INDIRECT("'"&amp;$A145&amp;"'!I14")</f>
        <v>0</v>
      </c>
      <c r="M145" s="3">
        <f t="array" aca="1" ref="M145" ca="1">INDIRECT("'"&amp;$A145&amp;"'!J14")</f>
        <v>0</v>
      </c>
      <c r="N145" s="3">
        <f t="array" aca="1" ref="N145" ca="1">INDIRECT("'"&amp;$A145&amp;"'!K14")</f>
        <v>0</v>
      </c>
      <c r="O145" s="3">
        <f t="array" aca="1" ref="O145" ca="1">INDIRECT("'"&amp;$A145&amp;"'!L14")</f>
        <v>0</v>
      </c>
      <c r="P145" s="3">
        <f t="array" aca="1" ref="P145" ca="1">INDIRECT("'"&amp;$A145&amp;"'!M14")</f>
        <v>0</v>
      </c>
      <c r="Q145" s="3">
        <f t="array" aca="1" ref="Q145" ca="1">INDIRECT("'"&amp;$A145&amp;"'!N14")</f>
        <v>0</v>
      </c>
      <c r="R145" s="3">
        <f t="array" aca="1" ref="R145" ca="1">INDIRECT("'"&amp;$A145&amp;"'!O14")</f>
        <v>0</v>
      </c>
      <c r="S145" s="3">
        <f t="array" aca="1" ref="S145" ca="1">INDIRECT("'"&amp;$A145&amp;"'!P14")</f>
        <v>0</v>
      </c>
      <c r="T145" s="3">
        <f t="array" aca="1" ref="T145" ca="1">INDIRECT("'"&amp;$A145&amp;"'!Q14")</f>
        <v>0</v>
      </c>
      <c r="U145" s="3">
        <f t="array" aca="1" ref="U145" ca="1">INDIRECT("'"&amp;$A145&amp;"'!R14")</f>
        <v>0</v>
      </c>
      <c r="V145" s="3">
        <f t="array" aca="1" ref="V145" ca="1">INDIRECT("'"&amp;$A145&amp;"'!S14")</f>
        <v>0</v>
      </c>
      <c r="W145" s="3">
        <f t="array" aca="1" ref="W145" ca="1">INDIRECT("'"&amp;$A145&amp;"'!T14")</f>
        <v>0</v>
      </c>
      <c r="X145" s="3">
        <f t="array" aca="1" ref="X145" ca="1">INDIRECT("'"&amp;$A145&amp;"'!U14")</f>
        <v>0</v>
      </c>
      <c r="Y145" s="3">
        <f t="array" aca="1" ref="Y145" ca="1">INDIRECT("'"&amp;$A145&amp;"'!V14")</f>
        <v>0</v>
      </c>
      <c r="Z145" s="3">
        <f t="array" aca="1" ref="Z145" ca="1">INDIRECT("'"&amp;$A145&amp;"'!W14")</f>
        <v>0</v>
      </c>
      <c r="AA145" s="3">
        <f t="array" aca="1" ref="AA145" ca="1">INDIRECT("'"&amp;$A145&amp;"'!X14")</f>
        <v>0</v>
      </c>
      <c r="AB145" s="3">
        <f t="array" aca="1" ref="AB145" ca="1">INDIRECT("'"&amp;$A145&amp;"'!Y14")</f>
        <v>0</v>
      </c>
      <c r="AC145" s="3">
        <f t="array" aca="1" ref="AC145" ca="1">INDIRECT("'"&amp;$A145&amp;"'!Z14")</f>
        <v>0</v>
      </c>
      <c r="AD145" s="32">
        <f t="array" aca="1" ref="AD145" ca="1">INDIRECT("'"&amp;$A145&amp;"'!AA14")</f>
        <v>0</v>
      </c>
      <c r="AE145" s="83">
        <f t="array" aca="1" ref="AE145" ca="1">INDIRECT("'"&amp;$A144&amp;"'!J4")</f>
        <v>0</v>
      </c>
      <c r="AF145" s="53"/>
    </row>
    <row r="146" spans="1:32">
      <c r="A146" s="58">
        <v>49</v>
      </c>
      <c r="B146" s="105">
        <f>INDEX(data!$I$2:$I$91,MATCH(A146*1,data!$G$2:$G$91,0))</f>
        <v>46233</v>
      </c>
      <c r="C146" s="66" t="str">
        <f>HYPERLINK("#'" &amp; A146 &amp; "'!A1", "编辑")</f>
        <v>编辑</v>
      </c>
      <c r="D146" s="54" t="s">
        <v>6</v>
      </c>
      <c r="E146" s="81">
        <f t="array" aca="1" ref="E146" ca="1">INDIRECT("'"&amp;$A147&amp;"'!I2")</f>
        <v>18</v>
      </c>
      <c r="F146" s="29">
        <f t="array" aca="1" ref="F146" ca="1">INDIRECT("'"&amp;$A146&amp;"'!C8")</f>
        <v>0</v>
      </c>
      <c r="G146" s="30">
        <f t="array" aca="1" ref="G146" ca="1">INDIRECT("'"&amp;$A146&amp;"'!D8")</f>
        <v>0</v>
      </c>
      <c r="H146" s="30">
        <f t="array" aca="1" ref="H146" ca="1">INDIRECT("'"&amp;$A146&amp;"'!E8")</f>
        <v>0</v>
      </c>
      <c r="I146" s="30">
        <f t="array" aca="1" ref="I146" ca="1">INDIRECT("'"&amp;$A146&amp;"'!F8")</f>
        <v>0</v>
      </c>
      <c r="J146" s="30">
        <f t="array" aca="1" ref="J146" ca="1">INDIRECT("'"&amp;$A146&amp;"'!G8")</f>
        <v>0</v>
      </c>
      <c r="K146" s="30">
        <f t="array" aca="1" ref="K146" ca="1">INDIRECT("'"&amp;$A146&amp;"'!H8")</f>
        <v>0</v>
      </c>
      <c r="L146" s="30">
        <f t="array" aca="1" ref="L146" ca="1">INDIRECT("'"&amp;$A146&amp;"'!I8")</f>
        <v>0</v>
      </c>
      <c r="M146" s="30">
        <f t="array" aca="1" ref="M146" ca="1">INDIRECT("'"&amp;$A146&amp;"'!J8")</f>
        <v>0</v>
      </c>
      <c r="N146" s="30">
        <f t="array" aca="1" ref="N146" ca="1">INDIRECT("'"&amp;$A146&amp;"'!K8")</f>
        <v>0</v>
      </c>
      <c r="O146" s="30">
        <f t="array" aca="1" ref="O146" ca="1">INDIRECT("'"&amp;$A146&amp;"'!L8")</f>
        <v>0</v>
      </c>
      <c r="P146" s="30">
        <f t="array" aca="1" ref="P146" ca="1">INDIRECT("'"&amp;$A146&amp;"'!M8")</f>
        <v>0</v>
      </c>
      <c r="Q146" s="30">
        <f t="array" aca="1" ref="Q146" ca="1">INDIRECT("'"&amp;$A146&amp;"'!N8")</f>
        <v>0</v>
      </c>
      <c r="R146" s="30">
        <f t="array" aca="1" ref="R146" ca="1">INDIRECT("'"&amp;$A146&amp;"'!O8")</f>
        <v>0</v>
      </c>
      <c r="S146" s="30">
        <f t="array" aca="1" ref="S146" ca="1">INDIRECT("'"&amp;$A146&amp;"'!P8")</f>
        <v>0</v>
      </c>
      <c r="T146" s="30">
        <f t="array" aca="1" ref="T146" ca="1">INDIRECT("'"&amp;$A146&amp;"'!Q8")</f>
        <v>0</v>
      </c>
      <c r="U146" s="30">
        <f t="array" aca="1" ref="U146" ca="1">INDIRECT("'"&amp;$A146&amp;"'!R8")</f>
        <v>0</v>
      </c>
      <c r="V146" s="30">
        <f t="array" aca="1" ref="V146" ca="1">INDIRECT("'"&amp;$A146&amp;"'!S8")</f>
        <v>0</v>
      </c>
      <c r="W146" s="30">
        <f t="array" aca="1" ref="W146" ca="1">INDIRECT("'"&amp;$A146&amp;"'!T8")</f>
        <v>0</v>
      </c>
      <c r="X146" s="30">
        <f t="array" aca="1" ref="X146" ca="1">INDIRECT("'"&amp;$A146&amp;"'!U8")</f>
        <v>0</v>
      </c>
      <c r="Y146" s="30">
        <f t="array" aca="1" ref="Y146" ca="1">INDIRECT("'"&amp;$A146&amp;"'!V8")</f>
        <v>0</v>
      </c>
      <c r="Z146" s="30">
        <f t="array" aca="1" ref="Z146" ca="1">INDIRECT("'"&amp;$A146&amp;"'!W8")</f>
        <v>0</v>
      </c>
      <c r="AA146" s="30">
        <f t="array" aca="1" ref="AA146" ca="1">INDIRECT("'"&amp;$A146&amp;"'!X8")</f>
        <v>0</v>
      </c>
      <c r="AB146" s="30">
        <f t="array" aca="1" ref="AB146" ca="1">INDIRECT("'"&amp;$A146&amp;"'!Y8")</f>
        <v>0</v>
      </c>
      <c r="AC146" s="30">
        <f t="array" aca="1" ref="AC146" ca="1">INDIRECT("'"&amp;$A146&amp;"'!Z8")</f>
        <v>0</v>
      </c>
      <c r="AD146" s="31">
        <f t="array" aca="1" ref="AD146" ca="1">INDIRECT("'"&amp;$A146&amp;"'!AA8")</f>
        <v>0</v>
      </c>
      <c r="AE146" s="81">
        <f t="array" aca="1" ref="AE146" ca="1">INDIRECT("'"&amp;$A147&amp;"'!J2")</f>
        <v>0</v>
      </c>
      <c r="AF146" s="53" t="str">
        <f t="array" aca="1" ref="AF146" ca="1">INDIRECT("'"&amp;$A147&amp;"'!AD1")</f>
        <v/>
      </c>
    </row>
    <row r="147" spans="1:32">
      <c r="A147" s="58">
        <v>49</v>
      </c>
      <c r="B147" s="106"/>
      <c r="C147" s="67" t="str">
        <f t="array" aca="1" ref="C147" ca="1">CONCATENATE("粮 ",INDIRECT("'"&amp;$A147&amp;"'!D4"))</f>
        <v>粮 83600</v>
      </c>
      <c r="D147" s="55" t="s">
        <v>7</v>
      </c>
      <c r="E147" s="82">
        <f t="array" aca="1" ref="E147" ca="1">INDIRECT("'"&amp;$A147&amp;"'!I3")</f>
        <v>18</v>
      </c>
      <c r="F147" s="52">
        <f t="array" aca="1" ref="F147" ca="1">INDIRECT("'"&amp;$A147&amp;"'!C11")</f>
        <v>0</v>
      </c>
      <c r="G147" s="3">
        <f t="array" aca="1" ref="G147" ca="1">INDIRECT("'"&amp;$A147&amp;"'!D11")</f>
        <v>0</v>
      </c>
      <c r="H147" s="3">
        <f t="array" aca="1" ref="H147" ca="1">INDIRECT("'"&amp;$A147&amp;"'!E11")</f>
        <v>0</v>
      </c>
      <c r="I147" s="3">
        <f t="array" aca="1" ref="I147" ca="1">INDIRECT("'"&amp;$A147&amp;"'!F11")</f>
        <v>0</v>
      </c>
      <c r="J147" s="3">
        <f t="array" aca="1" ref="J147" ca="1">INDIRECT("'"&amp;$A147&amp;"'!G11")</f>
        <v>0</v>
      </c>
      <c r="K147" s="3">
        <f t="array" aca="1" ref="K147" ca="1">INDIRECT("'"&amp;$A147&amp;"'!H11")</f>
        <v>0</v>
      </c>
      <c r="L147" s="3">
        <f t="array" aca="1" ref="L147" ca="1">INDIRECT("'"&amp;$A147&amp;"'!I11")</f>
        <v>0</v>
      </c>
      <c r="M147" s="3">
        <f t="array" aca="1" ref="M147" ca="1">INDIRECT("'"&amp;$A147&amp;"'!J11")</f>
        <v>0</v>
      </c>
      <c r="N147" s="3">
        <f t="array" aca="1" ref="N147" ca="1">INDIRECT("'"&amp;$A147&amp;"'!K11")</f>
        <v>0</v>
      </c>
      <c r="O147" s="3">
        <f t="array" aca="1" ref="O147" ca="1">INDIRECT("'"&amp;$A147&amp;"'!L11")</f>
        <v>0</v>
      </c>
      <c r="P147" s="3">
        <f t="array" aca="1" ref="P147" ca="1">INDIRECT("'"&amp;$A147&amp;"'!M11")</f>
        <v>0</v>
      </c>
      <c r="Q147" s="3">
        <f t="array" aca="1" ref="Q147" ca="1">INDIRECT("'"&amp;$A147&amp;"'!N11")</f>
        <v>0</v>
      </c>
      <c r="R147" s="3">
        <f t="array" aca="1" ref="R147" ca="1">INDIRECT("'"&amp;$A147&amp;"'!O11")</f>
        <v>0</v>
      </c>
      <c r="S147" s="3">
        <f t="array" aca="1" ref="S147" ca="1">INDIRECT("'"&amp;$A147&amp;"'!P11")</f>
        <v>0</v>
      </c>
      <c r="T147" s="3">
        <f t="array" aca="1" ref="T147" ca="1">INDIRECT("'"&amp;$A147&amp;"'!Q11")</f>
        <v>0</v>
      </c>
      <c r="U147" s="3">
        <f t="array" aca="1" ref="U147" ca="1">INDIRECT("'"&amp;$A147&amp;"'!R11")</f>
        <v>0</v>
      </c>
      <c r="V147" s="3">
        <f t="array" aca="1" ref="V147" ca="1">INDIRECT("'"&amp;$A147&amp;"'!S11")</f>
        <v>0</v>
      </c>
      <c r="W147" s="3">
        <f t="array" aca="1" ref="W147" ca="1">INDIRECT("'"&amp;$A147&amp;"'!T11")</f>
        <v>0</v>
      </c>
      <c r="X147" s="3">
        <f t="array" aca="1" ref="X147" ca="1">INDIRECT("'"&amp;$A147&amp;"'!U11")</f>
        <v>0</v>
      </c>
      <c r="Y147" s="3">
        <f t="array" aca="1" ref="Y147" ca="1">INDIRECT("'"&amp;$A147&amp;"'!V11")</f>
        <v>0</v>
      </c>
      <c r="Z147" s="3">
        <f t="array" aca="1" ref="Z147" ca="1">INDIRECT("'"&amp;$A147&amp;"'!W11")</f>
        <v>0</v>
      </c>
      <c r="AA147" s="3">
        <f t="array" aca="1" ref="AA147" ca="1">INDIRECT("'"&amp;$A147&amp;"'!X11")</f>
        <v>0</v>
      </c>
      <c r="AB147" s="3">
        <f t="array" aca="1" ref="AB147" ca="1">INDIRECT("'"&amp;$A147&amp;"'!Y11")</f>
        <v>0</v>
      </c>
      <c r="AC147" s="3">
        <f t="array" aca="1" ref="AC147" ca="1">INDIRECT("'"&amp;$A147&amp;"'!Z11")</f>
        <v>0</v>
      </c>
      <c r="AD147" s="32">
        <f t="array" aca="1" ref="AD147" ca="1">INDIRECT("'"&amp;$A147&amp;"'!AA11")</f>
        <v>0</v>
      </c>
      <c r="AE147" s="82">
        <f t="array" aca="1" ref="AE147" ca="1">INDIRECT("'"&amp;$A147&amp;"'!J3")</f>
        <v>0</v>
      </c>
      <c r="AF147" s="53" t="str">
        <f t="array" aca="1" ref="AF147" ca="1">INDIRECT("'"&amp;$A147&amp;"'!AC1")</f>
        <v/>
      </c>
    </row>
    <row r="148" spans="1:32" ht="15.75" customHeight="1" thickBot="1">
      <c r="A148" s="58">
        <v>49</v>
      </c>
      <c r="B148" s="107"/>
      <c r="C148" s="77" t="str">
        <f t="array" aca="1" ref="C148" ca="1">CONCATENATE("分 ",INDIRECT("'"&amp;$A147&amp;"'!D6"))</f>
        <v>分 0</v>
      </c>
      <c r="D148" s="56" t="s">
        <v>8</v>
      </c>
      <c r="E148" s="83">
        <f t="array" aca="1" ref="E148" ca="1">INDIRECT("'"&amp;$A147&amp;"'!I4")</f>
        <v>18</v>
      </c>
      <c r="F148" s="52">
        <f t="array" aca="1" ref="F148" ca="1">INDIRECT("'"&amp;$A148&amp;"'!C14")</f>
        <v>0</v>
      </c>
      <c r="G148" s="3">
        <f t="array" aca="1" ref="G148" ca="1">INDIRECT("'"&amp;$A148&amp;"'!D14")</f>
        <v>0</v>
      </c>
      <c r="H148" s="3">
        <f t="array" aca="1" ref="H148" ca="1">INDIRECT("'"&amp;$A148&amp;"'!E14")</f>
        <v>0</v>
      </c>
      <c r="I148" s="3">
        <f t="array" aca="1" ref="I148" ca="1">INDIRECT("'"&amp;$A148&amp;"'!F14")</f>
        <v>0</v>
      </c>
      <c r="J148" s="3">
        <f t="array" aca="1" ref="J148" ca="1">INDIRECT("'"&amp;$A148&amp;"'!G14")</f>
        <v>0</v>
      </c>
      <c r="K148" s="3">
        <f t="array" aca="1" ref="K148" ca="1">INDIRECT("'"&amp;$A148&amp;"'!H14")</f>
        <v>0</v>
      </c>
      <c r="L148" s="3">
        <f t="array" aca="1" ref="L148" ca="1">INDIRECT("'"&amp;$A148&amp;"'!I14")</f>
        <v>0</v>
      </c>
      <c r="M148" s="3">
        <f t="array" aca="1" ref="M148" ca="1">INDIRECT("'"&amp;$A148&amp;"'!J14")</f>
        <v>0</v>
      </c>
      <c r="N148" s="3">
        <f t="array" aca="1" ref="N148" ca="1">INDIRECT("'"&amp;$A148&amp;"'!K14")</f>
        <v>0</v>
      </c>
      <c r="O148" s="3">
        <f t="array" aca="1" ref="O148" ca="1">INDIRECT("'"&amp;$A148&amp;"'!L14")</f>
        <v>0</v>
      </c>
      <c r="P148" s="3">
        <f t="array" aca="1" ref="P148" ca="1">INDIRECT("'"&amp;$A148&amp;"'!M14")</f>
        <v>0</v>
      </c>
      <c r="Q148" s="3">
        <f t="array" aca="1" ref="Q148" ca="1">INDIRECT("'"&amp;$A148&amp;"'!N14")</f>
        <v>0</v>
      </c>
      <c r="R148" s="3">
        <f t="array" aca="1" ref="R148" ca="1">INDIRECT("'"&amp;$A148&amp;"'!O14")</f>
        <v>0</v>
      </c>
      <c r="S148" s="3">
        <f t="array" aca="1" ref="S148" ca="1">INDIRECT("'"&amp;$A148&amp;"'!P14")</f>
        <v>0</v>
      </c>
      <c r="T148" s="3">
        <f t="array" aca="1" ref="T148" ca="1">INDIRECT("'"&amp;$A148&amp;"'!Q14")</f>
        <v>0</v>
      </c>
      <c r="U148" s="3">
        <f t="array" aca="1" ref="U148" ca="1">INDIRECT("'"&amp;$A148&amp;"'!R14")</f>
        <v>0</v>
      </c>
      <c r="V148" s="3">
        <f t="array" aca="1" ref="V148" ca="1">INDIRECT("'"&amp;$A148&amp;"'!S14")</f>
        <v>0</v>
      </c>
      <c r="W148" s="3">
        <f t="array" aca="1" ref="W148" ca="1">INDIRECT("'"&amp;$A148&amp;"'!T14")</f>
        <v>0</v>
      </c>
      <c r="X148" s="3">
        <f t="array" aca="1" ref="X148" ca="1">INDIRECT("'"&amp;$A148&amp;"'!U14")</f>
        <v>0</v>
      </c>
      <c r="Y148" s="3">
        <f t="array" aca="1" ref="Y148" ca="1">INDIRECT("'"&amp;$A148&amp;"'!V14")</f>
        <v>0</v>
      </c>
      <c r="Z148" s="3">
        <f t="array" aca="1" ref="Z148" ca="1">INDIRECT("'"&amp;$A148&amp;"'!W14")</f>
        <v>0</v>
      </c>
      <c r="AA148" s="3">
        <f t="array" aca="1" ref="AA148" ca="1">INDIRECT("'"&amp;$A148&amp;"'!X14")</f>
        <v>0</v>
      </c>
      <c r="AB148" s="3">
        <f t="array" aca="1" ref="AB148" ca="1">INDIRECT("'"&amp;$A148&amp;"'!Y14")</f>
        <v>0</v>
      </c>
      <c r="AC148" s="3">
        <f t="array" aca="1" ref="AC148" ca="1">INDIRECT("'"&amp;$A148&amp;"'!Z14")</f>
        <v>0</v>
      </c>
      <c r="AD148" s="32">
        <f t="array" aca="1" ref="AD148" ca="1">INDIRECT("'"&amp;$A148&amp;"'!AA14")</f>
        <v>0</v>
      </c>
      <c r="AE148" s="83">
        <f t="array" aca="1" ref="AE148" ca="1">INDIRECT("'"&amp;$A147&amp;"'!J4")</f>
        <v>0</v>
      </c>
      <c r="AF148" s="53"/>
    </row>
    <row r="149" spans="1:32">
      <c r="A149" s="58">
        <v>50</v>
      </c>
      <c r="B149" s="105">
        <f>INDEX(data!$I$2:$I$91,MATCH(A149*1,data!$G$2:$G$91,0))</f>
        <v>46234</v>
      </c>
      <c r="C149" s="66" t="str">
        <f>HYPERLINK("#'" &amp; A149 &amp; "'!A1", "编辑")</f>
        <v>编辑</v>
      </c>
      <c r="D149" s="54" t="s">
        <v>6</v>
      </c>
      <c r="E149" s="81">
        <f t="array" aca="1" ref="E149" ca="1">INDIRECT("'"&amp;$A150&amp;"'!I2")</f>
        <v>18</v>
      </c>
      <c r="F149" s="29">
        <f t="array" aca="1" ref="F149" ca="1">INDIRECT("'"&amp;$A149&amp;"'!C8")</f>
        <v>0</v>
      </c>
      <c r="G149" s="30">
        <f t="array" aca="1" ref="G149" ca="1">INDIRECT("'"&amp;$A149&amp;"'!D8")</f>
        <v>0</v>
      </c>
      <c r="H149" s="30">
        <f t="array" aca="1" ref="H149" ca="1">INDIRECT("'"&amp;$A149&amp;"'!E8")</f>
        <v>0</v>
      </c>
      <c r="I149" s="30">
        <f t="array" aca="1" ref="I149" ca="1">INDIRECT("'"&amp;$A149&amp;"'!F8")</f>
        <v>0</v>
      </c>
      <c r="J149" s="30">
        <f t="array" aca="1" ref="J149" ca="1">INDIRECT("'"&amp;$A149&amp;"'!G8")</f>
        <v>0</v>
      </c>
      <c r="K149" s="30">
        <f t="array" aca="1" ref="K149" ca="1">INDIRECT("'"&amp;$A149&amp;"'!H8")</f>
        <v>0</v>
      </c>
      <c r="L149" s="30">
        <f t="array" aca="1" ref="L149" ca="1">INDIRECT("'"&amp;$A149&amp;"'!I8")</f>
        <v>0</v>
      </c>
      <c r="M149" s="30">
        <f t="array" aca="1" ref="M149" ca="1">INDIRECT("'"&amp;$A149&amp;"'!J8")</f>
        <v>0</v>
      </c>
      <c r="N149" s="30">
        <f t="array" aca="1" ref="N149" ca="1">INDIRECT("'"&amp;$A149&amp;"'!K8")</f>
        <v>0</v>
      </c>
      <c r="O149" s="30">
        <f t="array" aca="1" ref="O149" ca="1">INDIRECT("'"&amp;$A149&amp;"'!L8")</f>
        <v>0</v>
      </c>
      <c r="P149" s="30">
        <f t="array" aca="1" ref="P149" ca="1">INDIRECT("'"&amp;$A149&amp;"'!M8")</f>
        <v>0</v>
      </c>
      <c r="Q149" s="30">
        <f t="array" aca="1" ref="Q149" ca="1">INDIRECT("'"&amp;$A149&amp;"'!N8")</f>
        <v>0</v>
      </c>
      <c r="R149" s="30">
        <f t="array" aca="1" ref="R149" ca="1">INDIRECT("'"&amp;$A149&amp;"'!O8")</f>
        <v>0</v>
      </c>
      <c r="S149" s="30">
        <f t="array" aca="1" ref="S149" ca="1">INDIRECT("'"&amp;$A149&amp;"'!P8")</f>
        <v>0</v>
      </c>
      <c r="T149" s="30">
        <f t="array" aca="1" ref="T149" ca="1">INDIRECT("'"&amp;$A149&amp;"'!Q8")</f>
        <v>0</v>
      </c>
      <c r="U149" s="30">
        <f t="array" aca="1" ref="U149" ca="1">INDIRECT("'"&amp;$A149&amp;"'!R8")</f>
        <v>0</v>
      </c>
      <c r="V149" s="30">
        <f t="array" aca="1" ref="V149" ca="1">INDIRECT("'"&amp;$A149&amp;"'!S8")</f>
        <v>0</v>
      </c>
      <c r="W149" s="30">
        <f t="array" aca="1" ref="W149" ca="1">INDIRECT("'"&amp;$A149&amp;"'!T8")</f>
        <v>0</v>
      </c>
      <c r="X149" s="30">
        <f t="array" aca="1" ref="X149" ca="1">INDIRECT("'"&amp;$A149&amp;"'!U8")</f>
        <v>0</v>
      </c>
      <c r="Y149" s="30">
        <f t="array" aca="1" ref="Y149" ca="1">INDIRECT("'"&amp;$A149&amp;"'!V8")</f>
        <v>0</v>
      </c>
      <c r="Z149" s="30">
        <f t="array" aca="1" ref="Z149" ca="1">INDIRECT("'"&amp;$A149&amp;"'!W8")</f>
        <v>0</v>
      </c>
      <c r="AA149" s="30">
        <f t="array" aca="1" ref="AA149" ca="1">INDIRECT("'"&amp;$A149&amp;"'!X8")</f>
        <v>0</v>
      </c>
      <c r="AB149" s="30">
        <f t="array" aca="1" ref="AB149" ca="1">INDIRECT("'"&amp;$A149&amp;"'!Y8")</f>
        <v>0</v>
      </c>
      <c r="AC149" s="30">
        <f t="array" aca="1" ref="AC149" ca="1">INDIRECT("'"&amp;$A149&amp;"'!Z8")</f>
        <v>0</v>
      </c>
      <c r="AD149" s="31">
        <f t="array" aca="1" ref="AD149" ca="1">INDIRECT("'"&amp;$A149&amp;"'!AA8")</f>
        <v>0</v>
      </c>
      <c r="AE149" s="81">
        <f t="array" aca="1" ref="AE149" ca="1">INDIRECT("'"&amp;$A150&amp;"'!J2")</f>
        <v>0</v>
      </c>
      <c r="AF149" s="53" t="str">
        <f t="array" aca="1" ref="AF149" ca="1">INDIRECT("'"&amp;$A150&amp;"'!AD1")</f>
        <v/>
      </c>
    </row>
    <row r="150" spans="1:32">
      <c r="A150" s="58">
        <v>50</v>
      </c>
      <c r="B150" s="106"/>
      <c r="C150" s="67" t="str">
        <f t="array" aca="1" ref="C150" ca="1">CONCATENATE("粮 ",INDIRECT("'"&amp;$A150&amp;"'!D4"))</f>
        <v>粮 85200</v>
      </c>
      <c r="D150" s="55" t="s">
        <v>7</v>
      </c>
      <c r="E150" s="82">
        <f t="array" aca="1" ref="E150" ca="1">INDIRECT("'"&amp;$A150&amp;"'!I3")</f>
        <v>18</v>
      </c>
      <c r="F150" s="52">
        <f t="array" aca="1" ref="F150" ca="1">INDIRECT("'"&amp;$A150&amp;"'!C11")</f>
        <v>0</v>
      </c>
      <c r="G150" s="3">
        <f t="array" aca="1" ref="G150" ca="1">INDIRECT("'"&amp;$A150&amp;"'!D11")</f>
        <v>0</v>
      </c>
      <c r="H150" s="3">
        <f t="array" aca="1" ref="H150" ca="1">INDIRECT("'"&amp;$A150&amp;"'!E11")</f>
        <v>0</v>
      </c>
      <c r="I150" s="3">
        <f t="array" aca="1" ref="I150" ca="1">INDIRECT("'"&amp;$A150&amp;"'!F11")</f>
        <v>0</v>
      </c>
      <c r="J150" s="3">
        <f t="array" aca="1" ref="J150" ca="1">INDIRECT("'"&amp;$A150&amp;"'!G11")</f>
        <v>0</v>
      </c>
      <c r="K150" s="3">
        <f t="array" aca="1" ref="K150" ca="1">INDIRECT("'"&amp;$A150&amp;"'!H11")</f>
        <v>0</v>
      </c>
      <c r="L150" s="3">
        <f t="array" aca="1" ref="L150" ca="1">INDIRECT("'"&amp;$A150&amp;"'!I11")</f>
        <v>0</v>
      </c>
      <c r="M150" s="3">
        <f t="array" aca="1" ref="M150" ca="1">INDIRECT("'"&amp;$A150&amp;"'!J11")</f>
        <v>0</v>
      </c>
      <c r="N150" s="3">
        <f t="array" aca="1" ref="N150" ca="1">INDIRECT("'"&amp;$A150&amp;"'!K11")</f>
        <v>0</v>
      </c>
      <c r="O150" s="3">
        <f t="array" aca="1" ref="O150" ca="1">INDIRECT("'"&amp;$A150&amp;"'!L11")</f>
        <v>0</v>
      </c>
      <c r="P150" s="3">
        <f t="array" aca="1" ref="P150" ca="1">INDIRECT("'"&amp;$A150&amp;"'!M11")</f>
        <v>0</v>
      </c>
      <c r="Q150" s="3">
        <f t="array" aca="1" ref="Q150" ca="1">INDIRECT("'"&amp;$A150&amp;"'!N11")</f>
        <v>0</v>
      </c>
      <c r="R150" s="3">
        <f t="array" aca="1" ref="R150" ca="1">INDIRECT("'"&amp;$A150&amp;"'!O11")</f>
        <v>0</v>
      </c>
      <c r="S150" s="3">
        <f t="array" aca="1" ref="S150" ca="1">INDIRECT("'"&amp;$A150&amp;"'!P11")</f>
        <v>0</v>
      </c>
      <c r="T150" s="3">
        <f t="array" aca="1" ref="T150" ca="1">INDIRECT("'"&amp;$A150&amp;"'!Q11")</f>
        <v>0</v>
      </c>
      <c r="U150" s="3">
        <f t="array" aca="1" ref="U150" ca="1">INDIRECT("'"&amp;$A150&amp;"'!R11")</f>
        <v>0</v>
      </c>
      <c r="V150" s="3">
        <f t="array" aca="1" ref="V150" ca="1">INDIRECT("'"&amp;$A150&amp;"'!S11")</f>
        <v>0</v>
      </c>
      <c r="W150" s="3">
        <f t="array" aca="1" ref="W150" ca="1">INDIRECT("'"&amp;$A150&amp;"'!T11")</f>
        <v>0</v>
      </c>
      <c r="X150" s="3">
        <f t="array" aca="1" ref="X150" ca="1">INDIRECT("'"&amp;$A150&amp;"'!U11")</f>
        <v>0</v>
      </c>
      <c r="Y150" s="3">
        <f t="array" aca="1" ref="Y150" ca="1">INDIRECT("'"&amp;$A150&amp;"'!V11")</f>
        <v>0</v>
      </c>
      <c r="Z150" s="3">
        <f t="array" aca="1" ref="Z150" ca="1">INDIRECT("'"&amp;$A150&amp;"'!W11")</f>
        <v>0</v>
      </c>
      <c r="AA150" s="3">
        <f t="array" aca="1" ref="AA150" ca="1">INDIRECT("'"&amp;$A150&amp;"'!X11")</f>
        <v>0</v>
      </c>
      <c r="AB150" s="3">
        <f t="array" aca="1" ref="AB150" ca="1">INDIRECT("'"&amp;$A150&amp;"'!Y11")</f>
        <v>0</v>
      </c>
      <c r="AC150" s="3">
        <f t="array" aca="1" ref="AC150" ca="1">INDIRECT("'"&amp;$A150&amp;"'!Z11")</f>
        <v>0</v>
      </c>
      <c r="AD150" s="32">
        <f t="array" aca="1" ref="AD150" ca="1">INDIRECT("'"&amp;$A150&amp;"'!AA11")</f>
        <v>0</v>
      </c>
      <c r="AE150" s="82">
        <f t="array" aca="1" ref="AE150" ca="1">INDIRECT("'"&amp;$A150&amp;"'!J3")</f>
        <v>0</v>
      </c>
      <c r="AF150" s="53" t="str">
        <f t="array" aca="1" ref="AF150" ca="1">INDIRECT("'"&amp;$A150&amp;"'!AC1")</f>
        <v/>
      </c>
    </row>
    <row r="151" spans="1:32" ht="15.75" customHeight="1" thickBot="1">
      <c r="A151" s="58">
        <v>50</v>
      </c>
      <c r="B151" s="107"/>
      <c r="C151" s="77" t="str">
        <f t="array" aca="1" ref="C151" ca="1">CONCATENATE("分 ",INDIRECT("'"&amp;$A150&amp;"'!D6"))</f>
        <v>分 0</v>
      </c>
      <c r="D151" s="56" t="s">
        <v>8</v>
      </c>
      <c r="E151" s="83">
        <f t="array" aca="1" ref="E151" ca="1">INDIRECT("'"&amp;$A150&amp;"'!I4")</f>
        <v>18</v>
      </c>
      <c r="F151" s="52">
        <f t="array" aca="1" ref="F151" ca="1">INDIRECT("'"&amp;$A151&amp;"'!C14")</f>
        <v>0</v>
      </c>
      <c r="G151" s="3">
        <f t="array" aca="1" ref="G151" ca="1">INDIRECT("'"&amp;$A151&amp;"'!D14")</f>
        <v>0</v>
      </c>
      <c r="H151" s="3">
        <f t="array" aca="1" ref="H151" ca="1">INDIRECT("'"&amp;$A151&amp;"'!E14")</f>
        <v>0</v>
      </c>
      <c r="I151" s="3">
        <f t="array" aca="1" ref="I151" ca="1">INDIRECT("'"&amp;$A151&amp;"'!F14")</f>
        <v>0</v>
      </c>
      <c r="J151" s="3">
        <f t="array" aca="1" ref="J151" ca="1">INDIRECT("'"&amp;$A151&amp;"'!G14")</f>
        <v>0</v>
      </c>
      <c r="K151" s="3">
        <f t="array" aca="1" ref="K151" ca="1">INDIRECT("'"&amp;$A151&amp;"'!H14")</f>
        <v>0</v>
      </c>
      <c r="L151" s="3">
        <f t="array" aca="1" ref="L151" ca="1">INDIRECT("'"&amp;$A151&amp;"'!I14")</f>
        <v>0</v>
      </c>
      <c r="M151" s="3">
        <f t="array" aca="1" ref="M151" ca="1">INDIRECT("'"&amp;$A151&amp;"'!J14")</f>
        <v>0</v>
      </c>
      <c r="N151" s="3">
        <f t="array" aca="1" ref="N151" ca="1">INDIRECT("'"&amp;$A151&amp;"'!K14")</f>
        <v>0</v>
      </c>
      <c r="O151" s="3">
        <f t="array" aca="1" ref="O151" ca="1">INDIRECT("'"&amp;$A151&amp;"'!L14")</f>
        <v>0</v>
      </c>
      <c r="P151" s="3">
        <f t="array" aca="1" ref="P151" ca="1">INDIRECT("'"&amp;$A151&amp;"'!M14")</f>
        <v>0</v>
      </c>
      <c r="Q151" s="3">
        <f t="array" aca="1" ref="Q151" ca="1">INDIRECT("'"&amp;$A151&amp;"'!N14")</f>
        <v>0</v>
      </c>
      <c r="R151" s="3">
        <f t="array" aca="1" ref="R151" ca="1">INDIRECT("'"&amp;$A151&amp;"'!O14")</f>
        <v>0</v>
      </c>
      <c r="S151" s="3">
        <f t="array" aca="1" ref="S151" ca="1">INDIRECT("'"&amp;$A151&amp;"'!P14")</f>
        <v>0</v>
      </c>
      <c r="T151" s="3">
        <f t="array" aca="1" ref="T151" ca="1">INDIRECT("'"&amp;$A151&amp;"'!Q14")</f>
        <v>0</v>
      </c>
      <c r="U151" s="3">
        <f t="array" aca="1" ref="U151" ca="1">INDIRECT("'"&amp;$A151&amp;"'!R14")</f>
        <v>0</v>
      </c>
      <c r="V151" s="3">
        <f t="array" aca="1" ref="V151" ca="1">INDIRECT("'"&amp;$A151&amp;"'!S14")</f>
        <v>0</v>
      </c>
      <c r="W151" s="3">
        <f t="array" aca="1" ref="W151" ca="1">INDIRECT("'"&amp;$A151&amp;"'!T14")</f>
        <v>0</v>
      </c>
      <c r="X151" s="3">
        <f t="array" aca="1" ref="X151" ca="1">INDIRECT("'"&amp;$A151&amp;"'!U14")</f>
        <v>0</v>
      </c>
      <c r="Y151" s="3">
        <f t="array" aca="1" ref="Y151" ca="1">INDIRECT("'"&amp;$A151&amp;"'!V14")</f>
        <v>0</v>
      </c>
      <c r="Z151" s="3">
        <f t="array" aca="1" ref="Z151" ca="1">INDIRECT("'"&amp;$A151&amp;"'!W14")</f>
        <v>0</v>
      </c>
      <c r="AA151" s="3">
        <f t="array" aca="1" ref="AA151" ca="1">INDIRECT("'"&amp;$A151&amp;"'!X14")</f>
        <v>0</v>
      </c>
      <c r="AB151" s="3">
        <f t="array" aca="1" ref="AB151" ca="1">INDIRECT("'"&amp;$A151&amp;"'!Y14")</f>
        <v>0</v>
      </c>
      <c r="AC151" s="3">
        <f t="array" aca="1" ref="AC151" ca="1">INDIRECT("'"&amp;$A151&amp;"'!Z14")</f>
        <v>0</v>
      </c>
      <c r="AD151" s="32">
        <f t="array" aca="1" ref="AD151" ca="1">INDIRECT("'"&amp;$A151&amp;"'!AA14")</f>
        <v>0</v>
      </c>
      <c r="AE151" s="83">
        <f t="array" aca="1" ref="AE151" ca="1">INDIRECT("'"&amp;$A150&amp;"'!J4")</f>
        <v>0</v>
      </c>
      <c r="AF151" s="53"/>
    </row>
    <row r="152" spans="1:32">
      <c r="A152" s="58">
        <v>51</v>
      </c>
      <c r="B152" s="105">
        <f>INDEX(data!$I$2:$I$91,MATCH(A152*1,data!$G$2:$G$91,0))</f>
        <v>46235</v>
      </c>
      <c r="C152" s="66" t="str">
        <f>HYPERLINK("#'" &amp; A152 &amp; "'!A1", "编辑")</f>
        <v>编辑</v>
      </c>
      <c r="D152" s="54" t="s">
        <v>6</v>
      </c>
      <c r="E152" s="81">
        <f t="array" aca="1" ref="E152" ca="1">INDIRECT("'"&amp;$A153&amp;"'!I2")</f>
        <v>18</v>
      </c>
      <c r="F152" s="29">
        <f t="array" aca="1" ref="F152" ca="1">INDIRECT("'"&amp;$A152&amp;"'!C8")</f>
        <v>0</v>
      </c>
      <c r="G152" s="30">
        <f t="array" aca="1" ref="G152" ca="1">INDIRECT("'"&amp;$A152&amp;"'!D8")</f>
        <v>0</v>
      </c>
      <c r="H152" s="30">
        <f t="array" aca="1" ref="H152" ca="1">INDIRECT("'"&amp;$A152&amp;"'!E8")</f>
        <v>0</v>
      </c>
      <c r="I152" s="30">
        <f t="array" aca="1" ref="I152" ca="1">INDIRECT("'"&amp;$A152&amp;"'!F8")</f>
        <v>0</v>
      </c>
      <c r="J152" s="30">
        <f t="array" aca="1" ref="J152" ca="1">INDIRECT("'"&amp;$A152&amp;"'!G8")</f>
        <v>0</v>
      </c>
      <c r="K152" s="30">
        <f t="array" aca="1" ref="K152" ca="1">INDIRECT("'"&amp;$A152&amp;"'!H8")</f>
        <v>0</v>
      </c>
      <c r="L152" s="30">
        <f t="array" aca="1" ref="L152" ca="1">INDIRECT("'"&amp;$A152&amp;"'!I8")</f>
        <v>0</v>
      </c>
      <c r="M152" s="30">
        <f t="array" aca="1" ref="M152" ca="1">INDIRECT("'"&amp;$A152&amp;"'!J8")</f>
        <v>0</v>
      </c>
      <c r="N152" s="30">
        <f t="array" aca="1" ref="N152" ca="1">INDIRECT("'"&amp;$A152&amp;"'!K8")</f>
        <v>0</v>
      </c>
      <c r="O152" s="30">
        <f t="array" aca="1" ref="O152" ca="1">INDIRECT("'"&amp;$A152&amp;"'!L8")</f>
        <v>0</v>
      </c>
      <c r="P152" s="30">
        <f t="array" aca="1" ref="P152" ca="1">INDIRECT("'"&amp;$A152&amp;"'!M8")</f>
        <v>0</v>
      </c>
      <c r="Q152" s="30">
        <f t="array" aca="1" ref="Q152" ca="1">INDIRECT("'"&amp;$A152&amp;"'!N8")</f>
        <v>0</v>
      </c>
      <c r="R152" s="30">
        <f t="array" aca="1" ref="R152" ca="1">INDIRECT("'"&amp;$A152&amp;"'!O8")</f>
        <v>0</v>
      </c>
      <c r="S152" s="30">
        <f t="array" aca="1" ref="S152" ca="1">INDIRECT("'"&amp;$A152&amp;"'!P8")</f>
        <v>0</v>
      </c>
      <c r="T152" s="30">
        <f t="array" aca="1" ref="T152" ca="1">INDIRECT("'"&amp;$A152&amp;"'!Q8")</f>
        <v>0</v>
      </c>
      <c r="U152" s="30">
        <f t="array" aca="1" ref="U152" ca="1">INDIRECT("'"&amp;$A152&amp;"'!R8")</f>
        <v>0</v>
      </c>
      <c r="V152" s="30">
        <f t="array" aca="1" ref="V152" ca="1">INDIRECT("'"&amp;$A152&amp;"'!S8")</f>
        <v>0</v>
      </c>
      <c r="W152" s="30">
        <f t="array" aca="1" ref="W152" ca="1">INDIRECT("'"&amp;$A152&amp;"'!T8")</f>
        <v>0</v>
      </c>
      <c r="X152" s="30">
        <f t="array" aca="1" ref="X152" ca="1">INDIRECT("'"&amp;$A152&amp;"'!U8")</f>
        <v>0</v>
      </c>
      <c r="Y152" s="30">
        <f t="array" aca="1" ref="Y152" ca="1">INDIRECT("'"&amp;$A152&amp;"'!V8")</f>
        <v>0</v>
      </c>
      <c r="Z152" s="30">
        <f t="array" aca="1" ref="Z152" ca="1">INDIRECT("'"&amp;$A152&amp;"'!W8")</f>
        <v>0</v>
      </c>
      <c r="AA152" s="30">
        <f t="array" aca="1" ref="AA152" ca="1">INDIRECT("'"&amp;$A152&amp;"'!X8")</f>
        <v>0</v>
      </c>
      <c r="AB152" s="30">
        <f t="array" aca="1" ref="AB152" ca="1">INDIRECT("'"&amp;$A152&amp;"'!Y8")</f>
        <v>0</v>
      </c>
      <c r="AC152" s="30">
        <f t="array" aca="1" ref="AC152" ca="1">INDIRECT("'"&amp;$A152&amp;"'!Z8")</f>
        <v>0</v>
      </c>
      <c r="AD152" s="31">
        <f t="array" aca="1" ref="AD152" ca="1">INDIRECT("'"&amp;$A152&amp;"'!AA8")</f>
        <v>0</v>
      </c>
      <c r="AE152" s="81">
        <f t="array" aca="1" ref="AE152" ca="1">INDIRECT("'"&amp;$A153&amp;"'!J2")</f>
        <v>0</v>
      </c>
      <c r="AF152" s="53" t="str">
        <f t="array" aca="1" ref="AF152" ca="1">INDIRECT("'"&amp;$A153&amp;"'!AD1")</f>
        <v/>
      </c>
    </row>
    <row r="153" spans="1:32">
      <c r="A153" s="58">
        <v>51</v>
      </c>
      <c r="B153" s="106"/>
      <c r="C153" s="67" t="str">
        <f t="array" aca="1" ref="C153" ca="1">CONCATENATE("粮 ",INDIRECT("'"&amp;$A153&amp;"'!D4"))</f>
        <v>粮 86800</v>
      </c>
      <c r="D153" s="55" t="s">
        <v>7</v>
      </c>
      <c r="E153" s="82">
        <f t="array" aca="1" ref="E153" ca="1">INDIRECT("'"&amp;$A153&amp;"'!I3")</f>
        <v>18</v>
      </c>
      <c r="F153" s="52">
        <f t="array" aca="1" ref="F153" ca="1">INDIRECT("'"&amp;$A153&amp;"'!C11")</f>
        <v>0</v>
      </c>
      <c r="G153" s="3">
        <f t="array" aca="1" ref="G153" ca="1">INDIRECT("'"&amp;$A153&amp;"'!D11")</f>
        <v>0</v>
      </c>
      <c r="H153" s="3">
        <f t="array" aca="1" ref="H153" ca="1">INDIRECT("'"&amp;$A153&amp;"'!E11")</f>
        <v>0</v>
      </c>
      <c r="I153" s="3">
        <f t="array" aca="1" ref="I153" ca="1">INDIRECT("'"&amp;$A153&amp;"'!F11")</f>
        <v>0</v>
      </c>
      <c r="J153" s="3">
        <f t="array" aca="1" ref="J153" ca="1">INDIRECT("'"&amp;$A153&amp;"'!G11")</f>
        <v>0</v>
      </c>
      <c r="K153" s="3">
        <f t="array" aca="1" ref="K153" ca="1">INDIRECT("'"&amp;$A153&amp;"'!H11")</f>
        <v>0</v>
      </c>
      <c r="L153" s="3">
        <f t="array" aca="1" ref="L153" ca="1">INDIRECT("'"&amp;$A153&amp;"'!I11")</f>
        <v>0</v>
      </c>
      <c r="M153" s="3">
        <f t="array" aca="1" ref="M153" ca="1">INDIRECT("'"&amp;$A153&amp;"'!J11")</f>
        <v>0</v>
      </c>
      <c r="N153" s="3">
        <f t="array" aca="1" ref="N153" ca="1">INDIRECT("'"&amp;$A153&amp;"'!K11")</f>
        <v>0</v>
      </c>
      <c r="O153" s="3">
        <f t="array" aca="1" ref="O153" ca="1">INDIRECT("'"&amp;$A153&amp;"'!L11")</f>
        <v>0</v>
      </c>
      <c r="P153" s="3">
        <f t="array" aca="1" ref="P153" ca="1">INDIRECT("'"&amp;$A153&amp;"'!M11")</f>
        <v>0</v>
      </c>
      <c r="Q153" s="3">
        <f t="array" aca="1" ref="Q153" ca="1">INDIRECT("'"&amp;$A153&amp;"'!N11")</f>
        <v>0</v>
      </c>
      <c r="R153" s="3">
        <f t="array" aca="1" ref="R153" ca="1">INDIRECT("'"&amp;$A153&amp;"'!O11")</f>
        <v>0</v>
      </c>
      <c r="S153" s="3">
        <f t="array" aca="1" ref="S153" ca="1">INDIRECT("'"&amp;$A153&amp;"'!P11")</f>
        <v>0</v>
      </c>
      <c r="T153" s="3">
        <f t="array" aca="1" ref="T153" ca="1">INDIRECT("'"&amp;$A153&amp;"'!Q11")</f>
        <v>0</v>
      </c>
      <c r="U153" s="3">
        <f t="array" aca="1" ref="U153" ca="1">INDIRECT("'"&amp;$A153&amp;"'!R11")</f>
        <v>0</v>
      </c>
      <c r="V153" s="3">
        <f t="array" aca="1" ref="V153" ca="1">INDIRECT("'"&amp;$A153&amp;"'!S11")</f>
        <v>0</v>
      </c>
      <c r="W153" s="3">
        <f t="array" aca="1" ref="W153" ca="1">INDIRECT("'"&amp;$A153&amp;"'!T11")</f>
        <v>0</v>
      </c>
      <c r="X153" s="3">
        <f t="array" aca="1" ref="X153" ca="1">INDIRECT("'"&amp;$A153&amp;"'!U11")</f>
        <v>0</v>
      </c>
      <c r="Y153" s="3">
        <f t="array" aca="1" ref="Y153" ca="1">INDIRECT("'"&amp;$A153&amp;"'!V11")</f>
        <v>0</v>
      </c>
      <c r="Z153" s="3">
        <f t="array" aca="1" ref="Z153" ca="1">INDIRECT("'"&amp;$A153&amp;"'!W11")</f>
        <v>0</v>
      </c>
      <c r="AA153" s="3">
        <f t="array" aca="1" ref="AA153" ca="1">INDIRECT("'"&amp;$A153&amp;"'!X11")</f>
        <v>0</v>
      </c>
      <c r="AB153" s="3">
        <f t="array" aca="1" ref="AB153" ca="1">INDIRECT("'"&amp;$A153&amp;"'!Y11")</f>
        <v>0</v>
      </c>
      <c r="AC153" s="3">
        <f t="array" aca="1" ref="AC153" ca="1">INDIRECT("'"&amp;$A153&amp;"'!Z11")</f>
        <v>0</v>
      </c>
      <c r="AD153" s="32">
        <f t="array" aca="1" ref="AD153" ca="1">INDIRECT("'"&amp;$A153&amp;"'!AA11")</f>
        <v>0</v>
      </c>
      <c r="AE153" s="82">
        <f t="array" aca="1" ref="AE153" ca="1">INDIRECT("'"&amp;$A153&amp;"'!J3")</f>
        <v>0</v>
      </c>
      <c r="AF153" s="53" t="str">
        <f t="array" aca="1" ref="AF153" ca="1">INDIRECT("'"&amp;$A153&amp;"'!AC1")</f>
        <v/>
      </c>
    </row>
    <row r="154" spans="1:32" ht="15.75" customHeight="1" thickBot="1">
      <c r="A154" s="58">
        <v>51</v>
      </c>
      <c r="B154" s="107"/>
      <c r="C154" s="77" t="str">
        <f t="array" aca="1" ref="C154" ca="1">CONCATENATE("分 ",INDIRECT("'"&amp;$A153&amp;"'!D6"))</f>
        <v>分 0</v>
      </c>
      <c r="D154" s="56" t="s">
        <v>8</v>
      </c>
      <c r="E154" s="83">
        <f t="array" aca="1" ref="E154" ca="1">INDIRECT("'"&amp;$A153&amp;"'!I4")</f>
        <v>18</v>
      </c>
      <c r="F154" s="52">
        <f t="array" aca="1" ref="F154" ca="1">INDIRECT("'"&amp;$A154&amp;"'!C14")</f>
        <v>0</v>
      </c>
      <c r="G154" s="3">
        <f t="array" aca="1" ref="G154" ca="1">INDIRECT("'"&amp;$A154&amp;"'!D14")</f>
        <v>0</v>
      </c>
      <c r="H154" s="3">
        <f t="array" aca="1" ref="H154" ca="1">INDIRECT("'"&amp;$A154&amp;"'!E14")</f>
        <v>0</v>
      </c>
      <c r="I154" s="3">
        <f t="array" aca="1" ref="I154" ca="1">INDIRECT("'"&amp;$A154&amp;"'!F14")</f>
        <v>0</v>
      </c>
      <c r="J154" s="3">
        <f t="array" aca="1" ref="J154" ca="1">INDIRECT("'"&amp;$A154&amp;"'!G14")</f>
        <v>0</v>
      </c>
      <c r="K154" s="3">
        <f t="array" aca="1" ref="K154" ca="1">INDIRECT("'"&amp;$A154&amp;"'!H14")</f>
        <v>0</v>
      </c>
      <c r="L154" s="3">
        <f t="array" aca="1" ref="L154" ca="1">INDIRECT("'"&amp;$A154&amp;"'!I14")</f>
        <v>0</v>
      </c>
      <c r="M154" s="3">
        <f t="array" aca="1" ref="M154" ca="1">INDIRECT("'"&amp;$A154&amp;"'!J14")</f>
        <v>0</v>
      </c>
      <c r="N154" s="3">
        <f t="array" aca="1" ref="N154" ca="1">INDIRECT("'"&amp;$A154&amp;"'!K14")</f>
        <v>0</v>
      </c>
      <c r="O154" s="3">
        <f t="array" aca="1" ref="O154" ca="1">INDIRECT("'"&amp;$A154&amp;"'!L14")</f>
        <v>0</v>
      </c>
      <c r="P154" s="3">
        <f t="array" aca="1" ref="P154" ca="1">INDIRECT("'"&amp;$A154&amp;"'!M14")</f>
        <v>0</v>
      </c>
      <c r="Q154" s="3">
        <f t="array" aca="1" ref="Q154" ca="1">INDIRECT("'"&amp;$A154&amp;"'!N14")</f>
        <v>0</v>
      </c>
      <c r="R154" s="3">
        <f t="array" aca="1" ref="R154" ca="1">INDIRECT("'"&amp;$A154&amp;"'!O14")</f>
        <v>0</v>
      </c>
      <c r="S154" s="3">
        <f t="array" aca="1" ref="S154" ca="1">INDIRECT("'"&amp;$A154&amp;"'!P14")</f>
        <v>0</v>
      </c>
      <c r="T154" s="3">
        <f t="array" aca="1" ref="T154" ca="1">INDIRECT("'"&amp;$A154&amp;"'!Q14")</f>
        <v>0</v>
      </c>
      <c r="U154" s="3">
        <f t="array" aca="1" ref="U154" ca="1">INDIRECT("'"&amp;$A154&amp;"'!R14")</f>
        <v>0</v>
      </c>
      <c r="V154" s="3">
        <f t="array" aca="1" ref="V154" ca="1">INDIRECT("'"&amp;$A154&amp;"'!S14")</f>
        <v>0</v>
      </c>
      <c r="W154" s="3">
        <f t="array" aca="1" ref="W154" ca="1">INDIRECT("'"&amp;$A154&amp;"'!T14")</f>
        <v>0</v>
      </c>
      <c r="X154" s="3">
        <f t="array" aca="1" ref="X154" ca="1">INDIRECT("'"&amp;$A154&amp;"'!U14")</f>
        <v>0</v>
      </c>
      <c r="Y154" s="3">
        <f t="array" aca="1" ref="Y154" ca="1">INDIRECT("'"&amp;$A154&amp;"'!V14")</f>
        <v>0</v>
      </c>
      <c r="Z154" s="3">
        <f t="array" aca="1" ref="Z154" ca="1">INDIRECT("'"&amp;$A154&amp;"'!W14")</f>
        <v>0</v>
      </c>
      <c r="AA154" s="3">
        <f t="array" aca="1" ref="AA154" ca="1">INDIRECT("'"&amp;$A154&amp;"'!X14")</f>
        <v>0</v>
      </c>
      <c r="AB154" s="3">
        <f t="array" aca="1" ref="AB154" ca="1">INDIRECT("'"&amp;$A154&amp;"'!Y14")</f>
        <v>0</v>
      </c>
      <c r="AC154" s="3">
        <f t="array" aca="1" ref="AC154" ca="1">INDIRECT("'"&amp;$A154&amp;"'!Z14")</f>
        <v>0</v>
      </c>
      <c r="AD154" s="32">
        <f t="array" aca="1" ref="AD154" ca="1">INDIRECT("'"&amp;$A154&amp;"'!AA14")</f>
        <v>0</v>
      </c>
      <c r="AE154" s="83">
        <f t="array" aca="1" ref="AE154" ca="1">INDIRECT("'"&amp;$A153&amp;"'!J4")</f>
        <v>0</v>
      </c>
      <c r="AF154" s="53"/>
    </row>
    <row r="155" spans="1:32">
      <c r="A155" s="58">
        <v>52</v>
      </c>
      <c r="B155" s="105">
        <f>INDEX(data!$I$2:$I$91,MATCH(A155*1,data!$G$2:$G$91,0))</f>
        <v>46236</v>
      </c>
      <c r="C155" s="66" t="str">
        <f>HYPERLINK("#'" &amp; A155 &amp; "'!A1", "编辑")</f>
        <v>编辑</v>
      </c>
      <c r="D155" s="54" t="s">
        <v>6</v>
      </c>
      <c r="E155" s="81">
        <f t="array" aca="1" ref="E155" ca="1">INDIRECT("'"&amp;$A156&amp;"'!I2")</f>
        <v>18</v>
      </c>
      <c r="F155" s="29">
        <f t="array" aca="1" ref="F155" ca="1">INDIRECT("'"&amp;$A155&amp;"'!C8")</f>
        <v>0</v>
      </c>
      <c r="G155" s="30">
        <f t="array" aca="1" ref="G155" ca="1">INDIRECT("'"&amp;$A155&amp;"'!D8")</f>
        <v>0</v>
      </c>
      <c r="H155" s="30">
        <f t="array" aca="1" ref="H155" ca="1">INDIRECT("'"&amp;$A155&amp;"'!E8")</f>
        <v>0</v>
      </c>
      <c r="I155" s="30">
        <f t="array" aca="1" ref="I155" ca="1">INDIRECT("'"&amp;$A155&amp;"'!F8")</f>
        <v>0</v>
      </c>
      <c r="J155" s="30">
        <f t="array" aca="1" ref="J155" ca="1">INDIRECT("'"&amp;$A155&amp;"'!G8")</f>
        <v>0</v>
      </c>
      <c r="K155" s="30">
        <f t="array" aca="1" ref="K155" ca="1">INDIRECT("'"&amp;$A155&amp;"'!H8")</f>
        <v>0</v>
      </c>
      <c r="L155" s="30">
        <f t="array" aca="1" ref="L155" ca="1">INDIRECT("'"&amp;$A155&amp;"'!I8")</f>
        <v>0</v>
      </c>
      <c r="M155" s="30">
        <f t="array" aca="1" ref="M155" ca="1">INDIRECT("'"&amp;$A155&amp;"'!J8")</f>
        <v>0</v>
      </c>
      <c r="N155" s="30">
        <f t="array" aca="1" ref="N155" ca="1">INDIRECT("'"&amp;$A155&amp;"'!K8")</f>
        <v>0</v>
      </c>
      <c r="O155" s="30">
        <f t="array" aca="1" ref="O155" ca="1">INDIRECT("'"&amp;$A155&amp;"'!L8")</f>
        <v>0</v>
      </c>
      <c r="P155" s="30">
        <f t="array" aca="1" ref="P155" ca="1">INDIRECT("'"&amp;$A155&amp;"'!M8")</f>
        <v>0</v>
      </c>
      <c r="Q155" s="30">
        <f t="array" aca="1" ref="Q155" ca="1">INDIRECT("'"&amp;$A155&amp;"'!N8")</f>
        <v>0</v>
      </c>
      <c r="R155" s="30">
        <f t="array" aca="1" ref="R155" ca="1">INDIRECT("'"&amp;$A155&amp;"'!O8")</f>
        <v>0</v>
      </c>
      <c r="S155" s="30">
        <f t="array" aca="1" ref="S155" ca="1">INDIRECT("'"&amp;$A155&amp;"'!P8")</f>
        <v>0</v>
      </c>
      <c r="T155" s="30">
        <f t="array" aca="1" ref="T155" ca="1">INDIRECT("'"&amp;$A155&amp;"'!Q8")</f>
        <v>0</v>
      </c>
      <c r="U155" s="30">
        <f t="array" aca="1" ref="U155" ca="1">INDIRECT("'"&amp;$A155&amp;"'!R8")</f>
        <v>0</v>
      </c>
      <c r="V155" s="30">
        <f t="array" aca="1" ref="V155" ca="1">INDIRECT("'"&amp;$A155&amp;"'!S8")</f>
        <v>0</v>
      </c>
      <c r="W155" s="30">
        <f t="array" aca="1" ref="W155" ca="1">INDIRECT("'"&amp;$A155&amp;"'!T8")</f>
        <v>0</v>
      </c>
      <c r="X155" s="30">
        <f t="array" aca="1" ref="X155" ca="1">INDIRECT("'"&amp;$A155&amp;"'!U8")</f>
        <v>0</v>
      </c>
      <c r="Y155" s="30">
        <f t="array" aca="1" ref="Y155" ca="1">INDIRECT("'"&amp;$A155&amp;"'!V8")</f>
        <v>0</v>
      </c>
      <c r="Z155" s="30">
        <f t="array" aca="1" ref="Z155" ca="1">INDIRECT("'"&amp;$A155&amp;"'!W8")</f>
        <v>0</v>
      </c>
      <c r="AA155" s="30">
        <f t="array" aca="1" ref="AA155" ca="1">INDIRECT("'"&amp;$A155&amp;"'!X8")</f>
        <v>0</v>
      </c>
      <c r="AB155" s="30">
        <f t="array" aca="1" ref="AB155" ca="1">INDIRECT("'"&amp;$A155&amp;"'!Y8")</f>
        <v>0</v>
      </c>
      <c r="AC155" s="30">
        <f t="array" aca="1" ref="AC155" ca="1">INDIRECT("'"&amp;$A155&amp;"'!Z8")</f>
        <v>0</v>
      </c>
      <c r="AD155" s="31">
        <f t="array" aca="1" ref="AD155" ca="1">INDIRECT("'"&amp;$A155&amp;"'!AA8")</f>
        <v>0</v>
      </c>
      <c r="AE155" s="81">
        <f t="array" aca="1" ref="AE155" ca="1">INDIRECT("'"&amp;$A156&amp;"'!J2")</f>
        <v>0</v>
      </c>
      <c r="AF155" s="53" t="str">
        <f t="array" aca="1" ref="AF155" ca="1">INDIRECT("'"&amp;$A156&amp;"'!AD1")</f>
        <v/>
      </c>
    </row>
    <row r="156" spans="1:32">
      <c r="A156" s="58">
        <v>52</v>
      </c>
      <c r="B156" s="106"/>
      <c r="C156" s="67" t="str">
        <f t="array" aca="1" ref="C156" ca="1">CONCATENATE("粮 ",INDIRECT("'"&amp;$A156&amp;"'!D4"))</f>
        <v>粮 88400</v>
      </c>
      <c r="D156" s="55" t="s">
        <v>7</v>
      </c>
      <c r="E156" s="82">
        <f t="array" aca="1" ref="E156" ca="1">INDIRECT("'"&amp;$A156&amp;"'!I3")</f>
        <v>18</v>
      </c>
      <c r="F156" s="52">
        <f t="array" aca="1" ref="F156" ca="1">INDIRECT("'"&amp;$A156&amp;"'!C11")</f>
        <v>0</v>
      </c>
      <c r="G156" s="3">
        <f t="array" aca="1" ref="G156" ca="1">INDIRECT("'"&amp;$A156&amp;"'!D11")</f>
        <v>0</v>
      </c>
      <c r="H156" s="3">
        <f t="array" aca="1" ref="H156" ca="1">INDIRECT("'"&amp;$A156&amp;"'!E11")</f>
        <v>0</v>
      </c>
      <c r="I156" s="3">
        <f t="array" aca="1" ref="I156" ca="1">INDIRECT("'"&amp;$A156&amp;"'!F11")</f>
        <v>0</v>
      </c>
      <c r="J156" s="3">
        <f t="array" aca="1" ref="J156" ca="1">INDIRECT("'"&amp;$A156&amp;"'!G11")</f>
        <v>0</v>
      </c>
      <c r="K156" s="3">
        <f t="array" aca="1" ref="K156" ca="1">INDIRECT("'"&amp;$A156&amp;"'!H11")</f>
        <v>0</v>
      </c>
      <c r="L156" s="3">
        <f t="array" aca="1" ref="L156" ca="1">INDIRECT("'"&amp;$A156&amp;"'!I11")</f>
        <v>0</v>
      </c>
      <c r="M156" s="3">
        <f t="array" aca="1" ref="M156" ca="1">INDIRECT("'"&amp;$A156&amp;"'!J11")</f>
        <v>0</v>
      </c>
      <c r="N156" s="3">
        <f t="array" aca="1" ref="N156" ca="1">INDIRECT("'"&amp;$A156&amp;"'!K11")</f>
        <v>0</v>
      </c>
      <c r="O156" s="3">
        <f t="array" aca="1" ref="O156" ca="1">INDIRECT("'"&amp;$A156&amp;"'!L11")</f>
        <v>0</v>
      </c>
      <c r="P156" s="3">
        <f t="array" aca="1" ref="P156" ca="1">INDIRECT("'"&amp;$A156&amp;"'!M11")</f>
        <v>0</v>
      </c>
      <c r="Q156" s="3">
        <f t="array" aca="1" ref="Q156" ca="1">INDIRECT("'"&amp;$A156&amp;"'!N11")</f>
        <v>0</v>
      </c>
      <c r="R156" s="3">
        <f t="array" aca="1" ref="R156" ca="1">INDIRECT("'"&amp;$A156&amp;"'!O11")</f>
        <v>0</v>
      </c>
      <c r="S156" s="3">
        <f t="array" aca="1" ref="S156" ca="1">INDIRECT("'"&amp;$A156&amp;"'!P11")</f>
        <v>0</v>
      </c>
      <c r="T156" s="3">
        <f t="array" aca="1" ref="T156" ca="1">INDIRECT("'"&amp;$A156&amp;"'!Q11")</f>
        <v>0</v>
      </c>
      <c r="U156" s="3">
        <f t="array" aca="1" ref="U156" ca="1">INDIRECT("'"&amp;$A156&amp;"'!R11")</f>
        <v>0</v>
      </c>
      <c r="V156" s="3">
        <f t="array" aca="1" ref="V156" ca="1">INDIRECT("'"&amp;$A156&amp;"'!S11")</f>
        <v>0</v>
      </c>
      <c r="W156" s="3">
        <f t="array" aca="1" ref="W156" ca="1">INDIRECT("'"&amp;$A156&amp;"'!T11")</f>
        <v>0</v>
      </c>
      <c r="X156" s="3">
        <f t="array" aca="1" ref="X156" ca="1">INDIRECT("'"&amp;$A156&amp;"'!U11")</f>
        <v>0</v>
      </c>
      <c r="Y156" s="3">
        <f t="array" aca="1" ref="Y156" ca="1">INDIRECT("'"&amp;$A156&amp;"'!V11")</f>
        <v>0</v>
      </c>
      <c r="Z156" s="3">
        <f t="array" aca="1" ref="Z156" ca="1">INDIRECT("'"&amp;$A156&amp;"'!W11")</f>
        <v>0</v>
      </c>
      <c r="AA156" s="3">
        <f t="array" aca="1" ref="AA156" ca="1">INDIRECT("'"&amp;$A156&amp;"'!X11")</f>
        <v>0</v>
      </c>
      <c r="AB156" s="3">
        <f t="array" aca="1" ref="AB156" ca="1">INDIRECT("'"&amp;$A156&amp;"'!Y11")</f>
        <v>0</v>
      </c>
      <c r="AC156" s="3">
        <f t="array" aca="1" ref="AC156" ca="1">INDIRECT("'"&amp;$A156&amp;"'!Z11")</f>
        <v>0</v>
      </c>
      <c r="AD156" s="32">
        <f t="array" aca="1" ref="AD156" ca="1">INDIRECT("'"&amp;$A156&amp;"'!AA11")</f>
        <v>0</v>
      </c>
      <c r="AE156" s="82">
        <f t="array" aca="1" ref="AE156" ca="1">INDIRECT("'"&amp;$A156&amp;"'!J3")</f>
        <v>0</v>
      </c>
      <c r="AF156" s="53" t="str">
        <f t="array" aca="1" ref="AF156" ca="1">INDIRECT("'"&amp;$A156&amp;"'!AC1")</f>
        <v/>
      </c>
    </row>
    <row r="157" spans="1:32" ht="15.75" customHeight="1" thickBot="1">
      <c r="A157" s="58">
        <v>52</v>
      </c>
      <c r="B157" s="107"/>
      <c r="C157" s="77" t="str">
        <f t="array" aca="1" ref="C157" ca="1">CONCATENATE("分 ",INDIRECT("'"&amp;$A156&amp;"'!D6"))</f>
        <v>分 0</v>
      </c>
      <c r="D157" s="56" t="s">
        <v>8</v>
      </c>
      <c r="E157" s="83">
        <f t="array" aca="1" ref="E157" ca="1">INDIRECT("'"&amp;$A156&amp;"'!I4")</f>
        <v>18</v>
      </c>
      <c r="F157" s="52">
        <f t="array" aca="1" ref="F157" ca="1">INDIRECT("'"&amp;$A157&amp;"'!C14")</f>
        <v>0</v>
      </c>
      <c r="G157" s="3">
        <f t="array" aca="1" ref="G157" ca="1">INDIRECT("'"&amp;$A157&amp;"'!D14")</f>
        <v>0</v>
      </c>
      <c r="H157" s="3">
        <f t="array" aca="1" ref="H157" ca="1">INDIRECT("'"&amp;$A157&amp;"'!E14")</f>
        <v>0</v>
      </c>
      <c r="I157" s="3">
        <f t="array" aca="1" ref="I157" ca="1">INDIRECT("'"&amp;$A157&amp;"'!F14")</f>
        <v>0</v>
      </c>
      <c r="J157" s="3">
        <f t="array" aca="1" ref="J157" ca="1">INDIRECT("'"&amp;$A157&amp;"'!G14")</f>
        <v>0</v>
      </c>
      <c r="K157" s="3">
        <f t="array" aca="1" ref="K157" ca="1">INDIRECT("'"&amp;$A157&amp;"'!H14")</f>
        <v>0</v>
      </c>
      <c r="L157" s="3">
        <f t="array" aca="1" ref="L157" ca="1">INDIRECT("'"&amp;$A157&amp;"'!I14")</f>
        <v>0</v>
      </c>
      <c r="M157" s="3">
        <f t="array" aca="1" ref="M157" ca="1">INDIRECT("'"&amp;$A157&amp;"'!J14")</f>
        <v>0</v>
      </c>
      <c r="N157" s="3">
        <f t="array" aca="1" ref="N157" ca="1">INDIRECT("'"&amp;$A157&amp;"'!K14")</f>
        <v>0</v>
      </c>
      <c r="O157" s="3">
        <f t="array" aca="1" ref="O157" ca="1">INDIRECT("'"&amp;$A157&amp;"'!L14")</f>
        <v>0</v>
      </c>
      <c r="P157" s="3">
        <f t="array" aca="1" ref="P157" ca="1">INDIRECT("'"&amp;$A157&amp;"'!M14")</f>
        <v>0</v>
      </c>
      <c r="Q157" s="3">
        <f t="array" aca="1" ref="Q157" ca="1">INDIRECT("'"&amp;$A157&amp;"'!N14")</f>
        <v>0</v>
      </c>
      <c r="R157" s="3">
        <f t="array" aca="1" ref="R157" ca="1">INDIRECT("'"&amp;$A157&amp;"'!O14")</f>
        <v>0</v>
      </c>
      <c r="S157" s="3">
        <f t="array" aca="1" ref="S157" ca="1">INDIRECT("'"&amp;$A157&amp;"'!P14")</f>
        <v>0</v>
      </c>
      <c r="T157" s="3">
        <f t="array" aca="1" ref="T157" ca="1">INDIRECT("'"&amp;$A157&amp;"'!Q14")</f>
        <v>0</v>
      </c>
      <c r="U157" s="3">
        <f t="array" aca="1" ref="U157" ca="1">INDIRECT("'"&amp;$A157&amp;"'!R14")</f>
        <v>0</v>
      </c>
      <c r="V157" s="3">
        <f t="array" aca="1" ref="V157" ca="1">INDIRECT("'"&amp;$A157&amp;"'!S14")</f>
        <v>0</v>
      </c>
      <c r="W157" s="3">
        <f t="array" aca="1" ref="W157" ca="1">INDIRECT("'"&amp;$A157&amp;"'!T14")</f>
        <v>0</v>
      </c>
      <c r="X157" s="3">
        <f t="array" aca="1" ref="X157" ca="1">INDIRECT("'"&amp;$A157&amp;"'!U14")</f>
        <v>0</v>
      </c>
      <c r="Y157" s="3">
        <f t="array" aca="1" ref="Y157" ca="1">INDIRECT("'"&amp;$A157&amp;"'!V14")</f>
        <v>0</v>
      </c>
      <c r="Z157" s="3">
        <f t="array" aca="1" ref="Z157" ca="1">INDIRECT("'"&amp;$A157&amp;"'!W14")</f>
        <v>0</v>
      </c>
      <c r="AA157" s="3">
        <f t="array" aca="1" ref="AA157" ca="1">INDIRECT("'"&amp;$A157&amp;"'!X14")</f>
        <v>0</v>
      </c>
      <c r="AB157" s="3">
        <f t="array" aca="1" ref="AB157" ca="1">INDIRECT("'"&amp;$A157&amp;"'!Y14")</f>
        <v>0</v>
      </c>
      <c r="AC157" s="3">
        <f t="array" aca="1" ref="AC157" ca="1">INDIRECT("'"&amp;$A157&amp;"'!Z14")</f>
        <v>0</v>
      </c>
      <c r="AD157" s="32">
        <f t="array" aca="1" ref="AD157" ca="1">INDIRECT("'"&amp;$A157&amp;"'!AA14")</f>
        <v>0</v>
      </c>
      <c r="AE157" s="83">
        <f t="array" aca="1" ref="AE157" ca="1">INDIRECT("'"&amp;$A156&amp;"'!J4")</f>
        <v>0</v>
      </c>
      <c r="AF157" s="53"/>
    </row>
    <row r="158" spans="1:32">
      <c r="A158" s="58">
        <v>53</v>
      </c>
      <c r="B158" s="105">
        <f>INDEX(data!$I$2:$I$91,MATCH(A158*1,data!$G$2:$G$91,0))</f>
        <v>46237</v>
      </c>
      <c r="C158" s="66" t="str">
        <f>HYPERLINK("#'" &amp; A158 &amp; "'!A1", "编辑")</f>
        <v>编辑</v>
      </c>
      <c r="D158" s="54" t="s">
        <v>6</v>
      </c>
      <c r="E158" s="81">
        <f t="array" aca="1" ref="E158" ca="1">INDIRECT("'"&amp;$A159&amp;"'!I2")</f>
        <v>18</v>
      </c>
      <c r="F158" s="29">
        <f t="array" aca="1" ref="F158" ca="1">INDIRECT("'"&amp;$A158&amp;"'!C8")</f>
        <v>0</v>
      </c>
      <c r="G158" s="30">
        <f t="array" aca="1" ref="G158" ca="1">INDIRECT("'"&amp;$A158&amp;"'!D8")</f>
        <v>0</v>
      </c>
      <c r="H158" s="30">
        <f t="array" aca="1" ref="H158" ca="1">INDIRECT("'"&amp;$A158&amp;"'!E8")</f>
        <v>0</v>
      </c>
      <c r="I158" s="30">
        <f t="array" aca="1" ref="I158" ca="1">INDIRECT("'"&amp;$A158&amp;"'!F8")</f>
        <v>0</v>
      </c>
      <c r="J158" s="30">
        <f t="array" aca="1" ref="J158" ca="1">INDIRECT("'"&amp;$A158&amp;"'!G8")</f>
        <v>0</v>
      </c>
      <c r="K158" s="30">
        <f t="array" aca="1" ref="K158" ca="1">INDIRECT("'"&amp;$A158&amp;"'!H8")</f>
        <v>0</v>
      </c>
      <c r="L158" s="30">
        <f t="array" aca="1" ref="L158" ca="1">INDIRECT("'"&amp;$A158&amp;"'!I8")</f>
        <v>0</v>
      </c>
      <c r="M158" s="30">
        <f t="array" aca="1" ref="M158" ca="1">INDIRECT("'"&amp;$A158&amp;"'!J8")</f>
        <v>0</v>
      </c>
      <c r="N158" s="30">
        <f t="array" aca="1" ref="N158" ca="1">INDIRECT("'"&amp;$A158&amp;"'!K8")</f>
        <v>0</v>
      </c>
      <c r="O158" s="30">
        <f t="array" aca="1" ref="O158" ca="1">INDIRECT("'"&amp;$A158&amp;"'!L8")</f>
        <v>0</v>
      </c>
      <c r="P158" s="30">
        <f t="array" aca="1" ref="P158" ca="1">INDIRECT("'"&amp;$A158&amp;"'!M8")</f>
        <v>0</v>
      </c>
      <c r="Q158" s="30">
        <f t="array" aca="1" ref="Q158" ca="1">INDIRECT("'"&amp;$A158&amp;"'!N8")</f>
        <v>0</v>
      </c>
      <c r="R158" s="30">
        <f t="array" aca="1" ref="R158" ca="1">INDIRECT("'"&amp;$A158&amp;"'!O8")</f>
        <v>0</v>
      </c>
      <c r="S158" s="30">
        <f t="array" aca="1" ref="S158" ca="1">INDIRECT("'"&amp;$A158&amp;"'!P8")</f>
        <v>0</v>
      </c>
      <c r="T158" s="30">
        <f t="array" aca="1" ref="T158" ca="1">INDIRECT("'"&amp;$A158&amp;"'!Q8")</f>
        <v>0</v>
      </c>
      <c r="U158" s="30">
        <f t="array" aca="1" ref="U158" ca="1">INDIRECT("'"&amp;$A158&amp;"'!R8")</f>
        <v>0</v>
      </c>
      <c r="V158" s="30">
        <f t="array" aca="1" ref="V158" ca="1">INDIRECT("'"&amp;$A158&amp;"'!S8")</f>
        <v>0</v>
      </c>
      <c r="W158" s="30">
        <f t="array" aca="1" ref="W158" ca="1">INDIRECT("'"&amp;$A158&amp;"'!T8")</f>
        <v>0</v>
      </c>
      <c r="X158" s="30">
        <f t="array" aca="1" ref="X158" ca="1">INDIRECT("'"&amp;$A158&amp;"'!U8")</f>
        <v>0</v>
      </c>
      <c r="Y158" s="30">
        <f t="array" aca="1" ref="Y158" ca="1">INDIRECT("'"&amp;$A158&amp;"'!V8")</f>
        <v>0</v>
      </c>
      <c r="Z158" s="30">
        <f t="array" aca="1" ref="Z158" ca="1">INDIRECT("'"&amp;$A158&amp;"'!W8")</f>
        <v>0</v>
      </c>
      <c r="AA158" s="30">
        <f t="array" aca="1" ref="AA158" ca="1">INDIRECT("'"&amp;$A158&amp;"'!X8")</f>
        <v>0</v>
      </c>
      <c r="AB158" s="30">
        <f t="array" aca="1" ref="AB158" ca="1">INDIRECT("'"&amp;$A158&amp;"'!Y8")</f>
        <v>0</v>
      </c>
      <c r="AC158" s="30">
        <f t="array" aca="1" ref="AC158" ca="1">INDIRECT("'"&amp;$A158&amp;"'!Z8")</f>
        <v>0</v>
      </c>
      <c r="AD158" s="31">
        <f t="array" aca="1" ref="AD158" ca="1">INDIRECT("'"&amp;$A158&amp;"'!AA8")</f>
        <v>0</v>
      </c>
      <c r="AE158" s="81">
        <f t="array" aca="1" ref="AE158" ca="1">INDIRECT("'"&amp;$A159&amp;"'!J2")</f>
        <v>0</v>
      </c>
      <c r="AF158" s="53" t="str">
        <f t="array" aca="1" ref="AF158" ca="1">INDIRECT("'"&amp;$A159&amp;"'!AD1")</f>
        <v/>
      </c>
    </row>
    <row r="159" spans="1:32">
      <c r="A159" s="58">
        <v>53</v>
      </c>
      <c r="B159" s="106"/>
      <c r="C159" s="67" t="str">
        <f t="array" aca="1" ref="C159" ca="1">CONCATENATE("粮 ",INDIRECT("'"&amp;$A159&amp;"'!D4"))</f>
        <v>粮 90000</v>
      </c>
      <c r="D159" s="55" t="s">
        <v>7</v>
      </c>
      <c r="E159" s="82">
        <f t="array" aca="1" ref="E159" ca="1">INDIRECT("'"&amp;$A159&amp;"'!I3")</f>
        <v>18</v>
      </c>
      <c r="F159" s="52">
        <f t="array" aca="1" ref="F159" ca="1">INDIRECT("'"&amp;$A159&amp;"'!C11")</f>
        <v>0</v>
      </c>
      <c r="G159" s="3">
        <f t="array" aca="1" ref="G159" ca="1">INDIRECT("'"&amp;$A159&amp;"'!D11")</f>
        <v>0</v>
      </c>
      <c r="H159" s="3">
        <f t="array" aca="1" ref="H159" ca="1">INDIRECT("'"&amp;$A159&amp;"'!E11")</f>
        <v>0</v>
      </c>
      <c r="I159" s="3">
        <f t="array" aca="1" ref="I159" ca="1">INDIRECT("'"&amp;$A159&amp;"'!F11")</f>
        <v>0</v>
      </c>
      <c r="J159" s="3">
        <f t="array" aca="1" ref="J159" ca="1">INDIRECT("'"&amp;$A159&amp;"'!G11")</f>
        <v>0</v>
      </c>
      <c r="K159" s="3">
        <f t="array" aca="1" ref="K159" ca="1">INDIRECT("'"&amp;$A159&amp;"'!H11")</f>
        <v>0</v>
      </c>
      <c r="L159" s="3">
        <f t="array" aca="1" ref="L159" ca="1">INDIRECT("'"&amp;$A159&amp;"'!I11")</f>
        <v>0</v>
      </c>
      <c r="M159" s="3">
        <f t="array" aca="1" ref="M159" ca="1">INDIRECT("'"&amp;$A159&amp;"'!J11")</f>
        <v>0</v>
      </c>
      <c r="N159" s="3">
        <f t="array" aca="1" ref="N159" ca="1">INDIRECT("'"&amp;$A159&amp;"'!K11")</f>
        <v>0</v>
      </c>
      <c r="O159" s="3">
        <f t="array" aca="1" ref="O159" ca="1">INDIRECT("'"&amp;$A159&amp;"'!L11")</f>
        <v>0</v>
      </c>
      <c r="P159" s="3">
        <f t="array" aca="1" ref="P159" ca="1">INDIRECT("'"&amp;$A159&amp;"'!M11")</f>
        <v>0</v>
      </c>
      <c r="Q159" s="3">
        <f t="array" aca="1" ref="Q159" ca="1">INDIRECT("'"&amp;$A159&amp;"'!N11")</f>
        <v>0</v>
      </c>
      <c r="R159" s="3">
        <f t="array" aca="1" ref="R159" ca="1">INDIRECT("'"&amp;$A159&amp;"'!O11")</f>
        <v>0</v>
      </c>
      <c r="S159" s="3">
        <f t="array" aca="1" ref="S159" ca="1">INDIRECT("'"&amp;$A159&amp;"'!P11")</f>
        <v>0</v>
      </c>
      <c r="T159" s="3">
        <f t="array" aca="1" ref="T159" ca="1">INDIRECT("'"&amp;$A159&amp;"'!Q11")</f>
        <v>0</v>
      </c>
      <c r="U159" s="3">
        <f t="array" aca="1" ref="U159" ca="1">INDIRECT("'"&amp;$A159&amp;"'!R11")</f>
        <v>0</v>
      </c>
      <c r="V159" s="3">
        <f t="array" aca="1" ref="V159" ca="1">INDIRECT("'"&amp;$A159&amp;"'!S11")</f>
        <v>0</v>
      </c>
      <c r="W159" s="3">
        <f t="array" aca="1" ref="W159" ca="1">INDIRECT("'"&amp;$A159&amp;"'!T11")</f>
        <v>0</v>
      </c>
      <c r="X159" s="3">
        <f t="array" aca="1" ref="X159" ca="1">INDIRECT("'"&amp;$A159&amp;"'!U11")</f>
        <v>0</v>
      </c>
      <c r="Y159" s="3">
        <f t="array" aca="1" ref="Y159" ca="1">INDIRECT("'"&amp;$A159&amp;"'!V11")</f>
        <v>0</v>
      </c>
      <c r="Z159" s="3">
        <f t="array" aca="1" ref="Z159" ca="1">INDIRECT("'"&amp;$A159&amp;"'!W11")</f>
        <v>0</v>
      </c>
      <c r="AA159" s="3">
        <f t="array" aca="1" ref="AA159" ca="1">INDIRECT("'"&amp;$A159&amp;"'!X11")</f>
        <v>0</v>
      </c>
      <c r="AB159" s="3">
        <f t="array" aca="1" ref="AB159" ca="1">INDIRECT("'"&amp;$A159&amp;"'!Y11")</f>
        <v>0</v>
      </c>
      <c r="AC159" s="3">
        <f t="array" aca="1" ref="AC159" ca="1">INDIRECT("'"&amp;$A159&amp;"'!Z11")</f>
        <v>0</v>
      </c>
      <c r="AD159" s="32">
        <f t="array" aca="1" ref="AD159" ca="1">INDIRECT("'"&amp;$A159&amp;"'!AA11")</f>
        <v>0</v>
      </c>
      <c r="AE159" s="82">
        <f t="array" aca="1" ref="AE159" ca="1">INDIRECT("'"&amp;$A159&amp;"'!J3")</f>
        <v>0</v>
      </c>
      <c r="AF159" s="53" t="str">
        <f t="array" aca="1" ref="AF159" ca="1">INDIRECT("'"&amp;$A159&amp;"'!AC1")</f>
        <v/>
      </c>
    </row>
    <row r="160" spans="1:32" ht="15.75" customHeight="1" thickBot="1">
      <c r="A160" s="58">
        <v>53</v>
      </c>
      <c r="B160" s="107"/>
      <c r="C160" s="77" t="str">
        <f t="array" aca="1" ref="C160" ca="1">CONCATENATE("分 ",INDIRECT("'"&amp;$A159&amp;"'!D6"))</f>
        <v>分 0</v>
      </c>
      <c r="D160" s="56" t="s">
        <v>8</v>
      </c>
      <c r="E160" s="83">
        <f t="array" aca="1" ref="E160" ca="1">INDIRECT("'"&amp;$A159&amp;"'!I4")</f>
        <v>18</v>
      </c>
      <c r="F160" s="52">
        <f t="array" aca="1" ref="F160" ca="1">INDIRECT("'"&amp;$A160&amp;"'!C14")</f>
        <v>0</v>
      </c>
      <c r="G160" s="3">
        <f t="array" aca="1" ref="G160" ca="1">INDIRECT("'"&amp;$A160&amp;"'!D14")</f>
        <v>0</v>
      </c>
      <c r="H160" s="3">
        <f t="array" aca="1" ref="H160" ca="1">INDIRECT("'"&amp;$A160&amp;"'!E14")</f>
        <v>0</v>
      </c>
      <c r="I160" s="3">
        <f t="array" aca="1" ref="I160" ca="1">INDIRECT("'"&amp;$A160&amp;"'!F14")</f>
        <v>0</v>
      </c>
      <c r="J160" s="3">
        <f t="array" aca="1" ref="J160" ca="1">INDIRECT("'"&amp;$A160&amp;"'!G14")</f>
        <v>0</v>
      </c>
      <c r="K160" s="3">
        <f t="array" aca="1" ref="K160" ca="1">INDIRECT("'"&amp;$A160&amp;"'!H14")</f>
        <v>0</v>
      </c>
      <c r="L160" s="3">
        <f t="array" aca="1" ref="L160" ca="1">INDIRECT("'"&amp;$A160&amp;"'!I14")</f>
        <v>0</v>
      </c>
      <c r="M160" s="3">
        <f t="array" aca="1" ref="M160" ca="1">INDIRECT("'"&amp;$A160&amp;"'!J14")</f>
        <v>0</v>
      </c>
      <c r="N160" s="3">
        <f t="array" aca="1" ref="N160" ca="1">INDIRECT("'"&amp;$A160&amp;"'!K14")</f>
        <v>0</v>
      </c>
      <c r="O160" s="3">
        <f t="array" aca="1" ref="O160" ca="1">INDIRECT("'"&amp;$A160&amp;"'!L14")</f>
        <v>0</v>
      </c>
      <c r="P160" s="3">
        <f t="array" aca="1" ref="P160" ca="1">INDIRECT("'"&amp;$A160&amp;"'!M14")</f>
        <v>0</v>
      </c>
      <c r="Q160" s="3">
        <f t="array" aca="1" ref="Q160" ca="1">INDIRECT("'"&amp;$A160&amp;"'!N14")</f>
        <v>0</v>
      </c>
      <c r="R160" s="3">
        <f t="array" aca="1" ref="R160" ca="1">INDIRECT("'"&amp;$A160&amp;"'!O14")</f>
        <v>0</v>
      </c>
      <c r="S160" s="3">
        <f t="array" aca="1" ref="S160" ca="1">INDIRECT("'"&amp;$A160&amp;"'!P14")</f>
        <v>0</v>
      </c>
      <c r="T160" s="3">
        <f t="array" aca="1" ref="T160" ca="1">INDIRECT("'"&amp;$A160&amp;"'!Q14")</f>
        <v>0</v>
      </c>
      <c r="U160" s="3">
        <f t="array" aca="1" ref="U160" ca="1">INDIRECT("'"&amp;$A160&amp;"'!R14")</f>
        <v>0</v>
      </c>
      <c r="V160" s="3">
        <f t="array" aca="1" ref="V160" ca="1">INDIRECT("'"&amp;$A160&amp;"'!S14")</f>
        <v>0</v>
      </c>
      <c r="W160" s="3">
        <f t="array" aca="1" ref="W160" ca="1">INDIRECT("'"&amp;$A160&amp;"'!T14")</f>
        <v>0</v>
      </c>
      <c r="X160" s="3">
        <f t="array" aca="1" ref="X160" ca="1">INDIRECT("'"&amp;$A160&amp;"'!U14")</f>
        <v>0</v>
      </c>
      <c r="Y160" s="3">
        <f t="array" aca="1" ref="Y160" ca="1">INDIRECT("'"&amp;$A160&amp;"'!V14")</f>
        <v>0</v>
      </c>
      <c r="Z160" s="3">
        <f t="array" aca="1" ref="Z160" ca="1">INDIRECT("'"&amp;$A160&amp;"'!W14")</f>
        <v>0</v>
      </c>
      <c r="AA160" s="3">
        <f t="array" aca="1" ref="AA160" ca="1">INDIRECT("'"&amp;$A160&amp;"'!X14")</f>
        <v>0</v>
      </c>
      <c r="AB160" s="3">
        <f t="array" aca="1" ref="AB160" ca="1">INDIRECT("'"&amp;$A160&amp;"'!Y14")</f>
        <v>0</v>
      </c>
      <c r="AC160" s="3">
        <f t="array" aca="1" ref="AC160" ca="1">INDIRECT("'"&amp;$A160&amp;"'!Z14")</f>
        <v>0</v>
      </c>
      <c r="AD160" s="32">
        <f t="array" aca="1" ref="AD160" ca="1">INDIRECT("'"&amp;$A160&amp;"'!AA14")</f>
        <v>0</v>
      </c>
      <c r="AE160" s="83">
        <f t="array" aca="1" ref="AE160" ca="1">INDIRECT("'"&amp;$A159&amp;"'!J4")</f>
        <v>0</v>
      </c>
      <c r="AF160" s="53"/>
    </row>
    <row r="161" spans="1:32">
      <c r="A161" s="58">
        <v>54</v>
      </c>
      <c r="B161" s="105">
        <f>INDEX(data!$I$2:$I$91,MATCH(A161*1,data!$G$2:$G$91,0))</f>
        <v>46238</v>
      </c>
      <c r="C161" s="66" t="str">
        <f>HYPERLINK("#'" &amp; A161 &amp; "'!A1", "编辑")</f>
        <v>编辑</v>
      </c>
      <c r="D161" s="54" t="s">
        <v>6</v>
      </c>
      <c r="E161" s="81">
        <f t="array" aca="1" ref="E161" ca="1">INDIRECT("'"&amp;$A162&amp;"'!I2")</f>
        <v>18</v>
      </c>
      <c r="F161" s="29">
        <f t="array" aca="1" ref="F161" ca="1">INDIRECT("'"&amp;$A161&amp;"'!C8")</f>
        <v>0</v>
      </c>
      <c r="G161" s="30">
        <f t="array" aca="1" ref="G161" ca="1">INDIRECT("'"&amp;$A161&amp;"'!D8")</f>
        <v>0</v>
      </c>
      <c r="H161" s="30">
        <f t="array" aca="1" ref="H161" ca="1">INDIRECT("'"&amp;$A161&amp;"'!E8")</f>
        <v>0</v>
      </c>
      <c r="I161" s="30">
        <f t="array" aca="1" ref="I161" ca="1">INDIRECT("'"&amp;$A161&amp;"'!F8")</f>
        <v>0</v>
      </c>
      <c r="J161" s="30">
        <f t="array" aca="1" ref="J161" ca="1">INDIRECT("'"&amp;$A161&amp;"'!G8")</f>
        <v>0</v>
      </c>
      <c r="K161" s="30">
        <f t="array" aca="1" ref="K161" ca="1">INDIRECT("'"&amp;$A161&amp;"'!H8")</f>
        <v>0</v>
      </c>
      <c r="L161" s="30">
        <f t="array" aca="1" ref="L161" ca="1">INDIRECT("'"&amp;$A161&amp;"'!I8")</f>
        <v>0</v>
      </c>
      <c r="M161" s="30">
        <f t="array" aca="1" ref="M161" ca="1">INDIRECT("'"&amp;$A161&amp;"'!J8")</f>
        <v>0</v>
      </c>
      <c r="N161" s="30">
        <f t="array" aca="1" ref="N161" ca="1">INDIRECT("'"&amp;$A161&amp;"'!K8")</f>
        <v>0</v>
      </c>
      <c r="O161" s="30">
        <f t="array" aca="1" ref="O161" ca="1">INDIRECT("'"&amp;$A161&amp;"'!L8")</f>
        <v>0</v>
      </c>
      <c r="P161" s="30">
        <f t="array" aca="1" ref="P161" ca="1">INDIRECT("'"&amp;$A161&amp;"'!M8")</f>
        <v>0</v>
      </c>
      <c r="Q161" s="30">
        <f t="array" aca="1" ref="Q161" ca="1">INDIRECT("'"&amp;$A161&amp;"'!N8")</f>
        <v>0</v>
      </c>
      <c r="R161" s="30">
        <f t="array" aca="1" ref="R161" ca="1">INDIRECT("'"&amp;$A161&amp;"'!O8")</f>
        <v>0</v>
      </c>
      <c r="S161" s="30">
        <f t="array" aca="1" ref="S161" ca="1">INDIRECT("'"&amp;$A161&amp;"'!P8")</f>
        <v>0</v>
      </c>
      <c r="T161" s="30">
        <f t="array" aca="1" ref="T161" ca="1">INDIRECT("'"&amp;$A161&amp;"'!Q8")</f>
        <v>0</v>
      </c>
      <c r="U161" s="30">
        <f t="array" aca="1" ref="U161" ca="1">INDIRECT("'"&amp;$A161&amp;"'!R8")</f>
        <v>0</v>
      </c>
      <c r="V161" s="30">
        <f t="array" aca="1" ref="V161" ca="1">INDIRECT("'"&amp;$A161&amp;"'!S8")</f>
        <v>0</v>
      </c>
      <c r="W161" s="30">
        <f t="array" aca="1" ref="W161" ca="1">INDIRECT("'"&amp;$A161&amp;"'!T8")</f>
        <v>0</v>
      </c>
      <c r="X161" s="30">
        <f t="array" aca="1" ref="X161" ca="1">INDIRECT("'"&amp;$A161&amp;"'!U8")</f>
        <v>0</v>
      </c>
      <c r="Y161" s="30">
        <f t="array" aca="1" ref="Y161" ca="1">INDIRECT("'"&amp;$A161&amp;"'!V8")</f>
        <v>0</v>
      </c>
      <c r="Z161" s="30">
        <f t="array" aca="1" ref="Z161" ca="1">INDIRECT("'"&amp;$A161&amp;"'!W8")</f>
        <v>0</v>
      </c>
      <c r="AA161" s="30">
        <f t="array" aca="1" ref="AA161" ca="1">INDIRECT("'"&amp;$A161&amp;"'!X8")</f>
        <v>0</v>
      </c>
      <c r="AB161" s="30">
        <f t="array" aca="1" ref="AB161" ca="1">INDIRECT("'"&amp;$A161&amp;"'!Y8")</f>
        <v>0</v>
      </c>
      <c r="AC161" s="30">
        <f t="array" aca="1" ref="AC161" ca="1">INDIRECT("'"&amp;$A161&amp;"'!Z8")</f>
        <v>0</v>
      </c>
      <c r="AD161" s="31">
        <f t="array" aca="1" ref="AD161" ca="1">INDIRECT("'"&amp;$A161&amp;"'!AA8")</f>
        <v>0</v>
      </c>
      <c r="AE161" s="81">
        <f t="array" aca="1" ref="AE161" ca="1">INDIRECT("'"&amp;$A162&amp;"'!J2")</f>
        <v>0</v>
      </c>
      <c r="AF161" s="53" t="str">
        <f t="array" aca="1" ref="AF161" ca="1">INDIRECT("'"&amp;$A162&amp;"'!AD1")</f>
        <v/>
      </c>
    </row>
    <row r="162" spans="1:32">
      <c r="A162" s="58">
        <v>54</v>
      </c>
      <c r="B162" s="106"/>
      <c r="C162" s="67" t="str">
        <f t="array" aca="1" ref="C162" ca="1">CONCATENATE("粮 ",INDIRECT("'"&amp;$A162&amp;"'!D4"))</f>
        <v>粮 91600</v>
      </c>
      <c r="D162" s="55" t="s">
        <v>7</v>
      </c>
      <c r="E162" s="82">
        <f t="array" aca="1" ref="E162" ca="1">INDIRECT("'"&amp;$A162&amp;"'!I3")</f>
        <v>18</v>
      </c>
      <c r="F162" s="52">
        <f t="array" aca="1" ref="F162" ca="1">INDIRECT("'"&amp;$A162&amp;"'!C11")</f>
        <v>0</v>
      </c>
      <c r="G162" s="3">
        <f t="array" aca="1" ref="G162" ca="1">INDIRECT("'"&amp;$A162&amp;"'!D11")</f>
        <v>0</v>
      </c>
      <c r="H162" s="3">
        <f t="array" aca="1" ref="H162" ca="1">INDIRECT("'"&amp;$A162&amp;"'!E11")</f>
        <v>0</v>
      </c>
      <c r="I162" s="3">
        <f t="array" aca="1" ref="I162" ca="1">INDIRECT("'"&amp;$A162&amp;"'!F11")</f>
        <v>0</v>
      </c>
      <c r="J162" s="3">
        <f t="array" aca="1" ref="J162" ca="1">INDIRECT("'"&amp;$A162&amp;"'!G11")</f>
        <v>0</v>
      </c>
      <c r="K162" s="3">
        <f t="array" aca="1" ref="K162" ca="1">INDIRECT("'"&amp;$A162&amp;"'!H11")</f>
        <v>0</v>
      </c>
      <c r="L162" s="3">
        <f t="array" aca="1" ref="L162" ca="1">INDIRECT("'"&amp;$A162&amp;"'!I11")</f>
        <v>0</v>
      </c>
      <c r="M162" s="3">
        <f t="array" aca="1" ref="M162" ca="1">INDIRECT("'"&amp;$A162&amp;"'!J11")</f>
        <v>0</v>
      </c>
      <c r="N162" s="3">
        <f t="array" aca="1" ref="N162" ca="1">INDIRECT("'"&amp;$A162&amp;"'!K11")</f>
        <v>0</v>
      </c>
      <c r="O162" s="3">
        <f t="array" aca="1" ref="O162" ca="1">INDIRECT("'"&amp;$A162&amp;"'!L11")</f>
        <v>0</v>
      </c>
      <c r="P162" s="3">
        <f t="array" aca="1" ref="P162" ca="1">INDIRECT("'"&amp;$A162&amp;"'!M11")</f>
        <v>0</v>
      </c>
      <c r="Q162" s="3">
        <f t="array" aca="1" ref="Q162" ca="1">INDIRECT("'"&amp;$A162&amp;"'!N11")</f>
        <v>0</v>
      </c>
      <c r="R162" s="3">
        <f t="array" aca="1" ref="R162" ca="1">INDIRECT("'"&amp;$A162&amp;"'!O11")</f>
        <v>0</v>
      </c>
      <c r="S162" s="3">
        <f t="array" aca="1" ref="S162" ca="1">INDIRECT("'"&amp;$A162&amp;"'!P11")</f>
        <v>0</v>
      </c>
      <c r="T162" s="3">
        <f t="array" aca="1" ref="T162" ca="1">INDIRECT("'"&amp;$A162&amp;"'!Q11")</f>
        <v>0</v>
      </c>
      <c r="U162" s="3">
        <f t="array" aca="1" ref="U162" ca="1">INDIRECT("'"&amp;$A162&amp;"'!R11")</f>
        <v>0</v>
      </c>
      <c r="V162" s="3">
        <f t="array" aca="1" ref="V162" ca="1">INDIRECT("'"&amp;$A162&amp;"'!S11")</f>
        <v>0</v>
      </c>
      <c r="W162" s="3">
        <f t="array" aca="1" ref="W162" ca="1">INDIRECT("'"&amp;$A162&amp;"'!T11")</f>
        <v>0</v>
      </c>
      <c r="X162" s="3">
        <f t="array" aca="1" ref="X162" ca="1">INDIRECT("'"&amp;$A162&amp;"'!U11")</f>
        <v>0</v>
      </c>
      <c r="Y162" s="3">
        <f t="array" aca="1" ref="Y162" ca="1">INDIRECT("'"&amp;$A162&amp;"'!V11")</f>
        <v>0</v>
      </c>
      <c r="Z162" s="3">
        <f t="array" aca="1" ref="Z162" ca="1">INDIRECT("'"&amp;$A162&amp;"'!W11")</f>
        <v>0</v>
      </c>
      <c r="AA162" s="3">
        <f t="array" aca="1" ref="AA162" ca="1">INDIRECT("'"&amp;$A162&amp;"'!X11")</f>
        <v>0</v>
      </c>
      <c r="AB162" s="3">
        <f t="array" aca="1" ref="AB162" ca="1">INDIRECT("'"&amp;$A162&amp;"'!Y11")</f>
        <v>0</v>
      </c>
      <c r="AC162" s="3">
        <f t="array" aca="1" ref="AC162" ca="1">INDIRECT("'"&amp;$A162&amp;"'!Z11")</f>
        <v>0</v>
      </c>
      <c r="AD162" s="32">
        <f t="array" aca="1" ref="AD162" ca="1">INDIRECT("'"&amp;$A162&amp;"'!AA11")</f>
        <v>0</v>
      </c>
      <c r="AE162" s="82">
        <f t="array" aca="1" ref="AE162" ca="1">INDIRECT("'"&amp;$A162&amp;"'!J3")</f>
        <v>0</v>
      </c>
      <c r="AF162" s="53" t="str">
        <f t="array" aca="1" ref="AF162" ca="1">INDIRECT("'"&amp;$A162&amp;"'!AC1")</f>
        <v/>
      </c>
    </row>
    <row r="163" spans="1:32" ht="15.75" customHeight="1" thickBot="1">
      <c r="A163" s="58">
        <v>54</v>
      </c>
      <c r="B163" s="107"/>
      <c r="C163" s="77" t="str">
        <f t="array" aca="1" ref="C163" ca="1">CONCATENATE("分 ",INDIRECT("'"&amp;$A162&amp;"'!D6"))</f>
        <v>分 0</v>
      </c>
      <c r="D163" s="56" t="s">
        <v>8</v>
      </c>
      <c r="E163" s="83">
        <f t="array" aca="1" ref="E163" ca="1">INDIRECT("'"&amp;$A162&amp;"'!I4")</f>
        <v>18</v>
      </c>
      <c r="F163" s="52">
        <f t="array" aca="1" ref="F163" ca="1">INDIRECT("'"&amp;$A163&amp;"'!C14")</f>
        <v>0</v>
      </c>
      <c r="G163" s="3">
        <f t="array" aca="1" ref="G163" ca="1">INDIRECT("'"&amp;$A163&amp;"'!D14")</f>
        <v>0</v>
      </c>
      <c r="H163" s="3">
        <f t="array" aca="1" ref="H163" ca="1">INDIRECT("'"&amp;$A163&amp;"'!E14")</f>
        <v>0</v>
      </c>
      <c r="I163" s="3">
        <f t="array" aca="1" ref="I163" ca="1">INDIRECT("'"&amp;$A163&amp;"'!F14")</f>
        <v>0</v>
      </c>
      <c r="J163" s="3">
        <f t="array" aca="1" ref="J163" ca="1">INDIRECT("'"&amp;$A163&amp;"'!G14")</f>
        <v>0</v>
      </c>
      <c r="K163" s="3">
        <f t="array" aca="1" ref="K163" ca="1">INDIRECT("'"&amp;$A163&amp;"'!H14")</f>
        <v>0</v>
      </c>
      <c r="L163" s="3">
        <f t="array" aca="1" ref="L163" ca="1">INDIRECT("'"&amp;$A163&amp;"'!I14")</f>
        <v>0</v>
      </c>
      <c r="M163" s="3">
        <f t="array" aca="1" ref="M163" ca="1">INDIRECT("'"&amp;$A163&amp;"'!J14")</f>
        <v>0</v>
      </c>
      <c r="N163" s="3">
        <f t="array" aca="1" ref="N163" ca="1">INDIRECT("'"&amp;$A163&amp;"'!K14")</f>
        <v>0</v>
      </c>
      <c r="O163" s="3">
        <f t="array" aca="1" ref="O163" ca="1">INDIRECT("'"&amp;$A163&amp;"'!L14")</f>
        <v>0</v>
      </c>
      <c r="P163" s="3">
        <f t="array" aca="1" ref="P163" ca="1">INDIRECT("'"&amp;$A163&amp;"'!M14")</f>
        <v>0</v>
      </c>
      <c r="Q163" s="3">
        <f t="array" aca="1" ref="Q163" ca="1">INDIRECT("'"&amp;$A163&amp;"'!N14")</f>
        <v>0</v>
      </c>
      <c r="R163" s="3">
        <f t="array" aca="1" ref="R163" ca="1">INDIRECT("'"&amp;$A163&amp;"'!O14")</f>
        <v>0</v>
      </c>
      <c r="S163" s="3">
        <f t="array" aca="1" ref="S163" ca="1">INDIRECT("'"&amp;$A163&amp;"'!P14")</f>
        <v>0</v>
      </c>
      <c r="T163" s="3">
        <f t="array" aca="1" ref="T163" ca="1">INDIRECT("'"&amp;$A163&amp;"'!Q14")</f>
        <v>0</v>
      </c>
      <c r="U163" s="3">
        <f t="array" aca="1" ref="U163" ca="1">INDIRECT("'"&amp;$A163&amp;"'!R14")</f>
        <v>0</v>
      </c>
      <c r="V163" s="3">
        <f t="array" aca="1" ref="V163" ca="1">INDIRECT("'"&amp;$A163&amp;"'!S14")</f>
        <v>0</v>
      </c>
      <c r="W163" s="3">
        <f t="array" aca="1" ref="W163" ca="1">INDIRECT("'"&amp;$A163&amp;"'!T14")</f>
        <v>0</v>
      </c>
      <c r="X163" s="3">
        <f t="array" aca="1" ref="X163" ca="1">INDIRECT("'"&amp;$A163&amp;"'!U14")</f>
        <v>0</v>
      </c>
      <c r="Y163" s="3">
        <f t="array" aca="1" ref="Y163" ca="1">INDIRECT("'"&amp;$A163&amp;"'!V14")</f>
        <v>0</v>
      </c>
      <c r="Z163" s="3">
        <f t="array" aca="1" ref="Z163" ca="1">INDIRECT("'"&amp;$A163&amp;"'!W14")</f>
        <v>0</v>
      </c>
      <c r="AA163" s="3">
        <f t="array" aca="1" ref="AA163" ca="1">INDIRECT("'"&amp;$A163&amp;"'!X14")</f>
        <v>0</v>
      </c>
      <c r="AB163" s="3">
        <f t="array" aca="1" ref="AB163" ca="1">INDIRECT("'"&amp;$A163&amp;"'!Y14")</f>
        <v>0</v>
      </c>
      <c r="AC163" s="3">
        <f t="array" aca="1" ref="AC163" ca="1">INDIRECT("'"&amp;$A163&amp;"'!Z14")</f>
        <v>0</v>
      </c>
      <c r="AD163" s="32">
        <f t="array" aca="1" ref="AD163" ca="1">INDIRECT("'"&amp;$A163&amp;"'!AA14")</f>
        <v>0</v>
      </c>
      <c r="AE163" s="83">
        <f t="array" aca="1" ref="AE163" ca="1">INDIRECT("'"&amp;$A162&amp;"'!J4")</f>
        <v>0</v>
      </c>
      <c r="AF163" s="53"/>
    </row>
    <row r="164" spans="1:32">
      <c r="A164" s="58">
        <v>55</v>
      </c>
      <c r="B164" s="105">
        <f>INDEX(data!$I$2:$I$91,MATCH(A164*1,data!$G$2:$G$91,0))</f>
        <v>46239</v>
      </c>
      <c r="C164" s="66" t="str">
        <f>HYPERLINK("#'" &amp; A164 &amp; "'!A1", "编辑")</f>
        <v>编辑</v>
      </c>
      <c r="D164" s="54" t="s">
        <v>6</v>
      </c>
      <c r="E164" s="81">
        <f t="array" aca="1" ref="E164" ca="1">INDIRECT("'"&amp;$A165&amp;"'!I2")</f>
        <v>18</v>
      </c>
      <c r="F164" s="29">
        <f t="array" aca="1" ref="F164" ca="1">INDIRECT("'"&amp;$A164&amp;"'!C8")</f>
        <v>0</v>
      </c>
      <c r="G164" s="30">
        <f t="array" aca="1" ref="G164" ca="1">INDIRECT("'"&amp;$A164&amp;"'!D8")</f>
        <v>0</v>
      </c>
      <c r="H164" s="30">
        <f t="array" aca="1" ref="H164" ca="1">INDIRECT("'"&amp;$A164&amp;"'!E8")</f>
        <v>0</v>
      </c>
      <c r="I164" s="30">
        <f t="array" aca="1" ref="I164" ca="1">INDIRECT("'"&amp;$A164&amp;"'!F8")</f>
        <v>0</v>
      </c>
      <c r="J164" s="30">
        <f t="array" aca="1" ref="J164" ca="1">INDIRECT("'"&amp;$A164&amp;"'!G8")</f>
        <v>0</v>
      </c>
      <c r="K164" s="30">
        <f t="array" aca="1" ref="K164" ca="1">INDIRECT("'"&amp;$A164&amp;"'!H8")</f>
        <v>0</v>
      </c>
      <c r="L164" s="30">
        <f t="array" aca="1" ref="L164" ca="1">INDIRECT("'"&amp;$A164&amp;"'!I8")</f>
        <v>0</v>
      </c>
      <c r="M164" s="30">
        <f t="array" aca="1" ref="M164" ca="1">INDIRECT("'"&amp;$A164&amp;"'!J8")</f>
        <v>0</v>
      </c>
      <c r="N164" s="30">
        <f t="array" aca="1" ref="N164" ca="1">INDIRECT("'"&amp;$A164&amp;"'!K8")</f>
        <v>0</v>
      </c>
      <c r="O164" s="30">
        <f t="array" aca="1" ref="O164" ca="1">INDIRECT("'"&amp;$A164&amp;"'!L8")</f>
        <v>0</v>
      </c>
      <c r="P164" s="30">
        <f t="array" aca="1" ref="P164" ca="1">INDIRECT("'"&amp;$A164&amp;"'!M8")</f>
        <v>0</v>
      </c>
      <c r="Q164" s="30">
        <f t="array" aca="1" ref="Q164" ca="1">INDIRECT("'"&amp;$A164&amp;"'!N8")</f>
        <v>0</v>
      </c>
      <c r="R164" s="30">
        <f t="array" aca="1" ref="R164" ca="1">INDIRECT("'"&amp;$A164&amp;"'!O8")</f>
        <v>0</v>
      </c>
      <c r="S164" s="30">
        <f t="array" aca="1" ref="S164" ca="1">INDIRECT("'"&amp;$A164&amp;"'!P8")</f>
        <v>0</v>
      </c>
      <c r="T164" s="30">
        <f t="array" aca="1" ref="T164" ca="1">INDIRECT("'"&amp;$A164&amp;"'!Q8")</f>
        <v>0</v>
      </c>
      <c r="U164" s="30">
        <f t="array" aca="1" ref="U164" ca="1">INDIRECT("'"&amp;$A164&amp;"'!R8")</f>
        <v>0</v>
      </c>
      <c r="V164" s="30">
        <f t="array" aca="1" ref="V164" ca="1">INDIRECT("'"&amp;$A164&amp;"'!S8")</f>
        <v>0</v>
      </c>
      <c r="W164" s="30">
        <f t="array" aca="1" ref="W164" ca="1">INDIRECT("'"&amp;$A164&amp;"'!T8")</f>
        <v>0</v>
      </c>
      <c r="X164" s="30">
        <f t="array" aca="1" ref="X164" ca="1">INDIRECT("'"&amp;$A164&amp;"'!U8")</f>
        <v>0</v>
      </c>
      <c r="Y164" s="30">
        <f t="array" aca="1" ref="Y164" ca="1">INDIRECT("'"&amp;$A164&amp;"'!V8")</f>
        <v>0</v>
      </c>
      <c r="Z164" s="30">
        <f t="array" aca="1" ref="Z164" ca="1">INDIRECT("'"&amp;$A164&amp;"'!W8")</f>
        <v>0</v>
      </c>
      <c r="AA164" s="30">
        <f t="array" aca="1" ref="AA164" ca="1">INDIRECT("'"&amp;$A164&amp;"'!X8")</f>
        <v>0</v>
      </c>
      <c r="AB164" s="30">
        <f t="array" aca="1" ref="AB164" ca="1">INDIRECT("'"&amp;$A164&amp;"'!Y8")</f>
        <v>0</v>
      </c>
      <c r="AC164" s="30">
        <f t="array" aca="1" ref="AC164" ca="1">INDIRECT("'"&amp;$A164&amp;"'!Z8")</f>
        <v>0</v>
      </c>
      <c r="AD164" s="31">
        <f t="array" aca="1" ref="AD164" ca="1">INDIRECT("'"&amp;$A164&amp;"'!AA8")</f>
        <v>0</v>
      </c>
      <c r="AE164" s="81">
        <f t="array" aca="1" ref="AE164" ca="1">INDIRECT("'"&amp;$A165&amp;"'!J2")</f>
        <v>0</v>
      </c>
      <c r="AF164" s="53" t="str">
        <f t="array" aca="1" ref="AF164" ca="1">INDIRECT("'"&amp;$A165&amp;"'!AD1")</f>
        <v/>
      </c>
    </row>
    <row r="165" spans="1:32">
      <c r="A165" s="58">
        <v>55</v>
      </c>
      <c r="B165" s="106"/>
      <c r="C165" s="67" t="str">
        <f t="array" aca="1" ref="C165" ca="1">CONCATENATE("粮 ",INDIRECT("'"&amp;$A165&amp;"'!D4"))</f>
        <v>粮 93200</v>
      </c>
      <c r="D165" s="55" t="s">
        <v>7</v>
      </c>
      <c r="E165" s="82">
        <f t="array" aca="1" ref="E165" ca="1">INDIRECT("'"&amp;$A165&amp;"'!I3")</f>
        <v>18</v>
      </c>
      <c r="F165" s="52">
        <f t="array" aca="1" ref="F165" ca="1">INDIRECT("'"&amp;$A165&amp;"'!C11")</f>
        <v>0</v>
      </c>
      <c r="G165" s="3">
        <f t="array" aca="1" ref="G165" ca="1">INDIRECT("'"&amp;$A165&amp;"'!D11")</f>
        <v>0</v>
      </c>
      <c r="H165" s="3">
        <f t="array" aca="1" ref="H165" ca="1">INDIRECT("'"&amp;$A165&amp;"'!E11")</f>
        <v>0</v>
      </c>
      <c r="I165" s="3">
        <f t="array" aca="1" ref="I165" ca="1">INDIRECT("'"&amp;$A165&amp;"'!F11")</f>
        <v>0</v>
      </c>
      <c r="J165" s="3">
        <f t="array" aca="1" ref="J165" ca="1">INDIRECT("'"&amp;$A165&amp;"'!G11")</f>
        <v>0</v>
      </c>
      <c r="K165" s="3">
        <f t="array" aca="1" ref="K165" ca="1">INDIRECT("'"&amp;$A165&amp;"'!H11")</f>
        <v>0</v>
      </c>
      <c r="L165" s="3">
        <f t="array" aca="1" ref="L165" ca="1">INDIRECT("'"&amp;$A165&amp;"'!I11")</f>
        <v>0</v>
      </c>
      <c r="M165" s="3">
        <f t="array" aca="1" ref="M165" ca="1">INDIRECT("'"&amp;$A165&amp;"'!J11")</f>
        <v>0</v>
      </c>
      <c r="N165" s="3">
        <f t="array" aca="1" ref="N165" ca="1">INDIRECT("'"&amp;$A165&amp;"'!K11")</f>
        <v>0</v>
      </c>
      <c r="O165" s="3">
        <f t="array" aca="1" ref="O165" ca="1">INDIRECT("'"&amp;$A165&amp;"'!L11")</f>
        <v>0</v>
      </c>
      <c r="P165" s="3">
        <f t="array" aca="1" ref="P165" ca="1">INDIRECT("'"&amp;$A165&amp;"'!M11")</f>
        <v>0</v>
      </c>
      <c r="Q165" s="3">
        <f t="array" aca="1" ref="Q165" ca="1">INDIRECT("'"&amp;$A165&amp;"'!N11")</f>
        <v>0</v>
      </c>
      <c r="R165" s="3">
        <f t="array" aca="1" ref="R165" ca="1">INDIRECT("'"&amp;$A165&amp;"'!O11")</f>
        <v>0</v>
      </c>
      <c r="S165" s="3">
        <f t="array" aca="1" ref="S165" ca="1">INDIRECT("'"&amp;$A165&amp;"'!P11")</f>
        <v>0</v>
      </c>
      <c r="T165" s="3">
        <f t="array" aca="1" ref="T165" ca="1">INDIRECT("'"&amp;$A165&amp;"'!Q11")</f>
        <v>0</v>
      </c>
      <c r="U165" s="3">
        <f t="array" aca="1" ref="U165" ca="1">INDIRECT("'"&amp;$A165&amp;"'!R11")</f>
        <v>0</v>
      </c>
      <c r="V165" s="3">
        <f t="array" aca="1" ref="V165" ca="1">INDIRECT("'"&amp;$A165&amp;"'!S11")</f>
        <v>0</v>
      </c>
      <c r="W165" s="3">
        <f t="array" aca="1" ref="W165" ca="1">INDIRECT("'"&amp;$A165&amp;"'!T11")</f>
        <v>0</v>
      </c>
      <c r="X165" s="3">
        <f t="array" aca="1" ref="X165" ca="1">INDIRECT("'"&amp;$A165&amp;"'!U11")</f>
        <v>0</v>
      </c>
      <c r="Y165" s="3">
        <f t="array" aca="1" ref="Y165" ca="1">INDIRECT("'"&amp;$A165&amp;"'!V11")</f>
        <v>0</v>
      </c>
      <c r="Z165" s="3">
        <f t="array" aca="1" ref="Z165" ca="1">INDIRECT("'"&amp;$A165&amp;"'!W11")</f>
        <v>0</v>
      </c>
      <c r="AA165" s="3">
        <f t="array" aca="1" ref="AA165" ca="1">INDIRECT("'"&amp;$A165&amp;"'!X11")</f>
        <v>0</v>
      </c>
      <c r="AB165" s="3">
        <f t="array" aca="1" ref="AB165" ca="1">INDIRECT("'"&amp;$A165&amp;"'!Y11")</f>
        <v>0</v>
      </c>
      <c r="AC165" s="3">
        <f t="array" aca="1" ref="AC165" ca="1">INDIRECT("'"&amp;$A165&amp;"'!Z11")</f>
        <v>0</v>
      </c>
      <c r="AD165" s="32">
        <f t="array" aca="1" ref="AD165" ca="1">INDIRECT("'"&amp;$A165&amp;"'!AA11")</f>
        <v>0</v>
      </c>
      <c r="AE165" s="82">
        <f t="array" aca="1" ref="AE165" ca="1">INDIRECT("'"&amp;$A165&amp;"'!J3")</f>
        <v>0</v>
      </c>
      <c r="AF165" s="53" t="str">
        <f t="array" aca="1" ref="AF165" ca="1">INDIRECT("'"&amp;$A165&amp;"'!AC1")</f>
        <v/>
      </c>
    </row>
    <row r="166" spans="1:32" ht="15.75" customHeight="1" thickBot="1">
      <c r="A166" s="58">
        <v>55</v>
      </c>
      <c r="B166" s="107"/>
      <c r="C166" s="77" t="str">
        <f t="array" aca="1" ref="C166" ca="1">CONCATENATE("分 ",INDIRECT("'"&amp;$A165&amp;"'!D6"))</f>
        <v>分 0</v>
      </c>
      <c r="D166" s="56" t="s">
        <v>8</v>
      </c>
      <c r="E166" s="83">
        <f t="array" aca="1" ref="E166" ca="1">INDIRECT("'"&amp;$A165&amp;"'!I4")</f>
        <v>18</v>
      </c>
      <c r="F166" s="52">
        <f t="array" aca="1" ref="F166" ca="1">INDIRECT("'"&amp;$A166&amp;"'!C14")</f>
        <v>0</v>
      </c>
      <c r="G166" s="3">
        <f t="array" aca="1" ref="G166" ca="1">INDIRECT("'"&amp;$A166&amp;"'!D14")</f>
        <v>0</v>
      </c>
      <c r="H166" s="3">
        <f t="array" aca="1" ref="H166" ca="1">INDIRECT("'"&amp;$A166&amp;"'!E14")</f>
        <v>0</v>
      </c>
      <c r="I166" s="3">
        <f t="array" aca="1" ref="I166" ca="1">INDIRECT("'"&amp;$A166&amp;"'!F14")</f>
        <v>0</v>
      </c>
      <c r="J166" s="3">
        <f t="array" aca="1" ref="J166" ca="1">INDIRECT("'"&amp;$A166&amp;"'!G14")</f>
        <v>0</v>
      </c>
      <c r="K166" s="3">
        <f t="array" aca="1" ref="K166" ca="1">INDIRECT("'"&amp;$A166&amp;"'!H14")</f>
        <v>0</v>
      </c>
      <c r="L166" s="3">
        <f t="array" aca="1" ref="L166" ca="1">INDIRECT("'"&amp;$A166&amp;"'!I14")</f>
        <v>0</v>
      </c>
      <c r="M166" s="3">
        <f t="array" aca="1" ref="M166" ca="1">INDIRECT("'"&amp;$A166&amp;"'!J14")</f>
        <v>0</v>
      </c>
      <c r="N166" s="3">
        <f t="array" aca="1" ref="N166" ca="1">INDIRECT("'"&amp;$A166&amp;"'!K14")</f>
        <v>0</v>
      </c>
      <c r="O166" s="3">
        <f t="array" aca="1" ref="O166" ca="1">INDIRECT("'"&amp;$A166&amp;"'!L14")</f>
        <v>0</v>
      </c>
      <c r="P166" s="3">
        <f t="array" aca="1" ref="P166" ca="1">INDIRECT("'"&amp;$A166&amp;"'!M14")</f>
        <v>0</v>
      </c>
      <c r="Q166" s="3">
        <f t="array" aca="1" ref="Q166" ca="1">INDIRECT("'"&amp;$A166&amp;"'!N14")</f>
        <v>0</v>
      </c>
      <c r="R166" s="3">
        <f t="array" aca="1" ref="R166" ca="1">INDIRECT("'"&amp;$A166&amp;"'!O14")</f>
        <v>0</v>
      </c>
      <c r="S166" s="3">
        <f t="array" aca="1" ref="S166" ca="1">INDIRECT("'"&amp;$A166&amp;"'!P14")</f>
        <v>0</v>
      </c>
      <c r="T166" s="3">
        <f t="array" aca="1" ref="T166" ca="1">INDIRECT("'"&amp;$A166&amp;"'!Q14")</f>
        <v>0</v>
      </c>
      <c r="U166" s="3">
        <f t="array" aca="1" ref="U166" ca="1">INDIRECT("'"&amp;$A166&amp;"'!R14")</f>
        <v>0</v>
      </c>
      <c r="V166" s="3">
        <f t="array" aca="1" ref="V166" ca="1">INDIRECT("'"&amp;$A166&amp;"'!S14")</f>
        <v>0</v>
      </c>
      <c r="W166" s="3">
        <f t="array" aca="1" ref="W166" ca="1">INDIRECT("'"&amp;$A166&amp;"'!T14")</f>
        <v>0</v>
      </c>
      <c r="X166" s="3">
        <f t="array" aca="1" ref="X166" ca="1">INDIRECT("'"&amp;$A166&amp;"'!U14")</f>
        <v>0</v>
      </c>
      <c r="Y166" s="3">
        <f t="array" aca="1" ref="Y166" ca="1">INDIRECT("'"&amp;$A166&amp;"'!V14")</f>
        <v>0</v>
      </c>
      <c r="Z166" s="3">
        <f t="array" aca="1" ref="Z166" ca="1">INDIRECT("'"&amp;$A166&amp;"'!W14")</f>
        <v>0</v>
      </c>
      <c r="AA166" s="3">
        <f t="array" aca="1" ref="AA166" ca="1">INDIRECT("'"&amp;$A166&amp;"'!X14")</f>
        <v>0</v>
      </c>
      <c r="AB166" s="3">
        <f t="array" aca="1" ref="AB166" ca="1">INDIRECT("'"&amp;$A166&amp;"'!Y14")</f>
        <v>0</v>
      </c>
      <c r="AC166" s="3">
        <f t="array" aca="1" ref="AC166" ca="1">INDIRECT("'"&amp;$A166&amp;"'!Z14")</f>
        <v>0</v>
      </c>
      <c r="AD166" s="32">
        <f t="array" aca="1" ref="AD166" ca="1">INDIRECT("'"&amp;$A166&amp;"'!AA14")</f>
        <v>0</v>
      </c>
      <c r="AE166" s="83">
        <f t="array" aca="1" ref="AE166" ca="1">INDIRECT("'"&amp;$A165&amp;"'!J4")</f>
        <v>0</v>
      </c>
      <c r="AF166" s="53"/>
    </row>
    <row r="167" spans="1:32">
      <c r="A167" s="58">
        <v>56</v>
      </c>
      <c r="B167" s="105">
        <f>INDEX(data!$I$2:$I$91,MATCH(A167*1,data!$G$2:$G$91,0))</f>
        <v>46240</v>
      </c>
      <c r="C167" s="66" t="str">
        <f>HYPERLINK("#'" &amp; A167 &amp; "'!A1", "编辑")</f>
        <v>编辑</v>
      </c>
      <c r="D167" s="54" t="s">
        <v>6</v>
      </c>
      <c r="E167" s="81">
        <f t="array" aca="1" ref="E167" ca="1">INDIRECT("'"&amp;$A168&amp;"'!I2")</f>
        <v>18</v>
      </c>
      <c r="F167" s="29">
        <f t="array" aca="1" ref="F167" ca="1">INDIRECT("'"&amp;$A167&amp;"'!C8")</f>
        <v>0</v>
      </c>
      <c r="G167" s="30">
        <f t="array" aca="1" ref="G167" ca="1">INDIRECT("'"&amp;$A167&amp;"'!D8")</f>
        <v>0</v>
      </c>
      <c r="H167" s="30">
        <f t="array" aca="1" ref="H167" ca="1">INDIRECT("'"&amp;$A167&amp;"'!E8")</f>
        <v>0</v>
      </c>
      <c r="I167" s="30">
        <f t="array" aca="1" ref="I167" ca="1">INDIRECT("'"&amp;$A167&amp;"'!F8")</f>
        <v>0</v>
      </c>
      <c r="J167" s="30">
        <f t="array" aca="1" ref="J167" ca="1">INDIRECT("'"&amp;$A167&amp;"'!G8")</f>
        <v>0</v>
      </c>
      <c r="K167" s="30">
        <f t="array" aca="1" ref="K167" ca="1">INDIRECT("'"&amp;$A167&amp;"'!H8")</f>
        <v>0</v>
      </c>
      <c r="L167" s="30">
        <f t="array" aca="1" ref="L167" ca="1">INDIRECT("'"&amp;$A167&amp;"'!I8")</f>
        <v>0</v>
      </c>
      <c r="M167" s="30">
        <f t="array" aca="1" ref="M167" ca="1">INDIRECT("'"&amp;$A167&amp;"'!J8")</f>
        <v>0</v>
      </c>
      <c r="N167" s="30">
        <f t="array" aca="1" ref="N167" ca="1">INDIRECT("'"&amp;$A167&amp;"'!K8")</f>
        <v>0</v>
      </c>
      <c r="O167" s="30">
        <f t="array" aca="1" ref="O167" ca="1">INDIRECT("'"&amp;$A167&amp;"'!L8")</f>
        <v>0</v>
      </c>
      <c r="P167" s="30">
        <f t="array" aca="1" ref="P167" ca="1">INDIRECT("'"&amp;$A167&amp;"'!M8")</f>
        <v>0</v>
      </c>
      <c r="Q167" s="30">
        <f t="array" aca="1" ref="Q167" ca="1">INDIRECT("'"&amp;$A167&amp;"'!N8")</f>
        <v>0</v>
      </c>
      <c r="R167" s="30">
        <f t="array" aca="1" ref="R167" ca="1">INDIRECT("'"&amp;$A167&amp;"'!O8")</f>
        <v>0</v>
      </c>
      <c r="S167" s="30">
        <f t="array" aca="1" ref="S167" ca="1">INDIRECT("'"&amp;$A167&amp;"'!P8")</f>
        <v>0</v>
      </c>
      <c r="T167" s="30">
        <f t="array" aca="1" ref="T167" ca="1">INDIRECT("'"&amp;$A167&amp;"'!Q8")</f>
        <v>0</v>
      </c>
      <c r="U167" s="30">
        <f t="array" aca="1" ref="U167" ca="1">INDIRECT("'"&amp;$A167&amp;"'!R8")</f>
        <v>0</v>
      </c>
      <c r="V167" s="30">
        <f t="array" aca="1" ref="V167" ca="1">INDIRECT("'"&amp;$A167&amp;"'!S8")</f>
        <v>0</v>
      </c>
      <c r="W167" s="30">
        <f t="array" aca="1" ref="W167" ca="1">INDIRECT("'"&amp;$A167&amp;"'!T8")</f>
        <v>0</v>
      </c>
      <c r="X167" s="30">
        <f t="array" aca="1" ref="X167" ca="1">INDIRECT("'"&amp;$A167&amp;"'!U8")</f>
        <v>0</v>
      </c>
      <c r="Y167" s="30">
        <f t="array" aca="1" ref="Y167" ca="1">INDIRECT("'"&amp;$A167&amp;"'!V8")</f>
        <v>0</v>
      </c>
      <c r="Z167" s="30">
        <f t="array" aca="1" ref="Z167" ca="1">INDIRECT("'"&amp;$A167&amp;"'!W8")</f>
        <v>0</v>
      </c>
      <c r="AA167" s="30">
        <f t="array" aca="1" ref="AA167" ca="1">INDIRECT("'"&amp;$A167&amp;"'!X8")</f>
        <v>0</v>
      </c>
      <c r="AB167" s="30">
        <f t="array" aca="1" ref="AB167" ca="1">INDIRECT("'"&amp;$A167&amp;"'!Y8")</f>
        <v>0</v>
      </c>
      <c r="AC167" s="30">
        <f t="array" aca="1" ref="AC167" ca="1">INDIRECT("'"&amp;$A167&amp;"'!Z8")</f>
        <v>0</v>
      </c>
      <c r="AD167" s="31">
        <f t="array" aca="1" ref="AD167" ca="1">INDIRECT("'"&amp;$A167&amp;"'!AA8")</f>
        <v>0</v>
      </c>
      <c r="AE167" s="81">
        <f t="array" aca="1" ref="AE167" ca="1">INDIRECT("'"&amp;$A168&amp;"'!J2")</f>
        <v>0</v>
      </c>
      <c r="AF167" s="53" t="str">
        <f t="array" aca="1" ref="AF167" ca="1">INDIRECT("'"&amp;$A168&amp;"'!AD1")</f>
        <v/>
      </c>
    </row>
    <row r="168" spans="1:32">
      <c r="A168" s="58">
        <v>56</v>
      </c>
      <c r="B168" s="106"/>
      <c r="C168" s="67" t="str">
        <f t="array" aca="1" ref="C168" ca="1">CONCATENATE("粮 ",INDIRECT("'"&amp;$A168&amp;"'!D4"))</f>
        <v>粮 94800</v>
      </c>
      <c r="D168" s="55" t="s">
        <v>7</v>
      </c>
      <c r="E168" s="82">
        <f t="array" aca="1" ref="E168" ca="1">INDIRECT("'"&amp;$A168&amp;"'!I3")</f>
        <v>18</v>
      </c>
      <c r="F168" s="52">
        <f t="array" aca="1" ref="F168" ca="1">INDIRECT("'"&amp;$A168&amp;"'!C11")</f>
        <v>0</v>
      </c>
      <c r="G168" s="3">
        <f t="array" aca="1" ref="G168" ca="1">INDIRECT("'"&amp;$A168&amp;"'!D11")</f>
        <v>0</v>
      </c>
      <c r="H168" s="3">
        <f t="array" aca="1" ref="H168" ca="1">INDIRECT("'"&amp;$A168&amp;"'!E11")</f>
        <v>0</v>
      </c>
      <c r="I168" s="3">
        <f t="array" aca="1" ref="I168" ca="1">INDIRECT("'"&amp;$A168&amp;"'!F11")</f>
        <v>0</v>
      </c>
      <c r="J168" s="3">
        <f t="array" aca="1" ref="J168" ca="1">INDIRECT("'"&amp;$A168&amp;"'!G11")</f>
        <v>0</v>
      </c>
      <c r="K168" s="3">
        <f t="array" aca="1" ref="K168" ca="1">INDIRECT("'"&amp;$A168&amp;"'!H11")</f>
        <v>0</v>
      </c>
      <c r="L168" s="3">
        <f t="array" aca="1" ref="L168" ca="1">INDIRECT("'"&amp;$A168&amp;"'!I11")</f>
        <v>0</v>
      </c>
      <c r="M168" s="3">
        <f t="array" aca="1" ref="M168" ca="1">INDIRECT("'"&amp;$A168&amp;"'!J11")</f>
        <v>0</v>
      </c>
      <c r="N168" s="3">
        <f t="array" aca="1" ref="N168" ca="1">INDIRECT("'"&amp;$A168&amp;"'!K11")</f>
        <v>0</v>
      </c>
      <c r="O168" s="3">
        <f t="array" aca="1" ref="O168" ca="1">INDIRECT("'"&amp;$A168&amp;"'!L11")</f>
        <v>0</v>
      </c>
      <c r="P168" s="3">
        <f t="array" aca="1" ref="P168" ca="1">INDIRECT("'"&amp;$A168&amp;"'!M11")</f>
        <v>0</v>
      </c>
      <c r="Q168" s="3">
        <f t="array" aca="1" ref="Q168" ca="1">INDIRECT("'"&amp;$A168&amp;"'!N11")</f>
        <v>0</v>
      </c>
      <c r="R168" s="3">
        <f t="array" aca="1" ref="R168" ca="1">INDIRECT("'"&amp;$A168&amp;"'!O11")</f>
        <v>0</v>
      </c>
      <c r="S168" s="3">
        <f t="array" aca="1" ref="S168" ca="1">INDIRECT("'"&amp;$A168&amp;"'!P11")</f>
        <v>0</v>
      </c>
      <c r="T168" s="3">
        <f t="array" aca="1" ref="T168" ca="1">INDIRECT("'"&amp;$A168&amp;"'!Q11")</f>
        <v>0</v>
      </c>
      <c r="U168" s="3">
        <f t="array" aca="1" ref="U168" ca="1">INDIRECT("'"&amp;$A168&amp;"'!R11")</f>
        <v>0</v>
      </c>
      <c r="V168" s="3">
        <f t="array" aca="1" ref="V168" ca="1">INDIRECT("'"&amp;$A168&amp;"'!S11")</f>
        <v>0</v>
      </c>
      <c r="W168" s="3">
        <f t="array" aca="1" ref="W168" ca="1">INDIRECT("'"&amp;$A168&amp;"'!T11")</f>
        <v>0</v>
      </c>
      <c r="X168" s="3">
        <f t="array" aca="1" ref="X168" ca="1">INDIRECT("'"&amp;$A168&amp;"'!U11")</f>
        <v>0</v>
      </c>
      <c r="Y168" s="3">
        <f t="array" aca="1" ref="Y168" ca="1">INDIRECT("'"&amp;$A168&amp;"'!V11")</f>
        <v>0</v>
      </c>
      <c r="Z168" s="3">
        <f t="array" aca="1" ref="Z168" ca="1">INDIRECT("'"&amp;$A168&amp;"'!W11")</f>
        <v>0</v>
      </c>
      <c r="AA168" s="3">
        <f t="array" aca="1" ref="AA168" ca="1">INDIRECT("'"&amp;$A168&amp;"'!X11")</f>
        <v>0</v>
      </c>
      <c r="AB168" s="3">
        <f t="array" aca="1" ref="AB168" ca="1">INDIRECT("'"&amp;$A168&amp;"'!Y11")</f>
        <v>0</v>
      </c>
      <c r="AC168" s="3">
        <f t="array" aca="1" ref="AC168" ca="1">INDIRECT("'"&amp;$A168&amp;"'!Z11")</f>
        <v>0</v>
      </c>
      <c r="AD168" s="32">
        <f t="array" aca="1" ref="AD168" ca="1">INDIRECT("'"&amp;$A168&amp;"'!AA11")</f>
        <v>0</v>
      </c>
      <c r="AE168" s="82">
        <f t="array" aca="1" ref="AE168" ca="1">INDIRECT("'"&amp;$A168&amp;"'!J3")</f>
        <v>0</v>
      </c>
      <c r="AF168" s="53" t="str">
        <f t="array" aca="1" ref="AF168" ca="1">INDIRECT("'"&amp;$A168&amp;"'!AC1")</f>
        <v/>
      </c>
    </row>
    <row r="169" spans="1:32" ht="15.75" customHeight="1" thickBot="1">
      <c r="A169" s="58">
        <v>56</v>
      </c>
      <c r="B169" s="107"/>
      <c r="C169" s="77" t="str">
        <f t="array" aca="1" ref="C169" ca="1">CONCATENATE("分 ",INDIRECT("'"&amp;$A168&amp;"'!D6"))</f>
        <v>分 0</v>
      </c>
      <c r="D169" s="56" t="s">
        <v>8</v>
      </c>
      <c r="E169" s="83">
        <f t="array" aca="1" ref="E169" ca="1">INDIRECT("'"&amp;$A168&amp;"'!I4")</f>
        <v>18</v>
      </c>
      <c r="F169" s="52">
        <f t="array" aca="1" ref="F169" ca="1">INDIRECT("'"&amp;$A169&amp;"'!C14")</f>
        <v>0</v>
      </c>
      <c r="G169" s="3">
        <f t="array" aca="1" ref="G169" ca="1">INDIRECT("'"&amp;$A169&amp;"'!D14")</f>
        <v>0</v>
      </c>
      <c r="H169" s="3">
        <f t="array" aca="1" ref="H169" ca="1">INDIRECT("'"&amp;$A169&amp;"'!E14")</f>
        <v>0</v>
      </c>
      <c r="I169" s="3">
        <f t="array" aca="1" ref="I169" ca="1">INDIRECT("'"&amp;$A169&amp;"'!F14")</f>
        <v>0</v>
      </c>
      <c r="J169" s="3">
        <f t="array" aca="1" ref="J169" ca="1">INDIRECT("'"&amp;$A169&amp;"'!G14")</f>
        <v>0</v>
      </c>
      <c r="K169" s="3">
        <f t="array" aca="1" ref="K169" ca="1">INDIRECT("'"&amp;$A169&amp;"'!H14")</f>
        <v>0</v>
      </c>
      <c r="L169" s="3">
        <f t="array" aca="1" ref="L169" ca="1">INDIRECT("'"&amp;$A169&amp;"'!I14")</f>
        <v>0</v>
      </c>
      <c r="M169" s="3">
        <f t="array" aca="1" ref="M169" ca="1">INDIRECT("'"&amp;$A169&amp;"'!J14")</f>
        <v>0</v>
      </c>
      <c r="N169" s="3">
        <f t="array" aca="1" ref="N169" ca="1">INDIRECT("'"&amp;$A169&amp;"'!K14")</f>
        <v>0</v>
      </c>
      <c r="O169" s="3">
        <f t="array" aca="1" ref="O169" ca="1">INDIRECT("'"&amp;$A169&amp;"'!L14")</f>
        <v>0</v>
      </c>
      <c r="P169" s="3">
        <f t="array" aca="1" ref="P169" ca="1">INDIRECT("'"&amp;$A169&amp;"'!M14")</f>
        <v>0</v>
      </c>
      <c r="Q169" s="3">
        <f t="array" aca="1" ref="Q169" ca="1">INDIRECT("'"&amp;$A169&amp;"'!N14")</f>
        <v>0</v>
      </c>
      <c r="R169" s="3">
        <f t="array" aca="1" ref="R169" ca="1">INDIRECT("'"&amp;$A169&amp;"'!O14")</f>
        <v>0</v>
      </c>
      <c r="S169" s="3">
        <f t="array" aca="1" ref="S169" ca="1">INDIRECT("'"&amp;$A169&amp;"'!P14")</f>
        <v>0</v>
      </c>
      <c r="T169" s="3">
        <f t="array" aca="1" ref="T169" ca="1">INDIRECT("'"&amp;$A169&amp;"'!Q14")</f>
        <v>0</v>
      </c>
      <c r="U169" s="3">
        <f t="array" aca="1" ref="U169" ca="1">INDIRECT("'"&amp;$A169&amp;"'!R14")</f>
        <v>0</v>
      </c>
      <c r="V169" s="3">
        <f t="array" aca="1" ref="V169" ca="1">INDIRECT("'"&amp;$A169&amp;"'!S14")</f>
        <v>0</v>
      </c>
      <c r="W169" s="3">
        <f t="array" aca="1" ref="W169" ca="1">INDIRECT("'"&amp;$A169&amp;"'!T14")</f>
        <v>0</v>
      </c>
      <c r="X169" s="3">
        <f t="array" aca="1" ref="X169" ca="1">INDIRECT("'"&amp;$A169&amp;"'!U14")</f>
        <v>0</v>
      </c>
      <c r="Y169" s="3">
        <f t="array" aca="1" ref="Y169" ca="1">INDIRECT("'"&amp;$A169&amp;"'!V14")</f>
        <v>0</v>
      </c>
      <c r="Z169" s="3">
        <f t="array" aca="1" ref="Z169" ca="1">INDIRECT("'"&amp;$A169&amp;"'!W14")</f>
        <v>0</v>
      </c>
      <c r="AA169" s="3">
        <f t="array" aca="1" ref="AA169" ca="1">INDIRECT("'"&amp;$A169&amp;"'!X14")</f>
        <v>0</v>
      </c>
      <c r="AB169" s="3">
        <f t="array" aca="1" ref="AB169" ca="1">INDIRECT("'"&amp;$A169&amp;"'!Y14")</f>
        <v>0</v>
      </c>
      <c r="AC169" s="3">
        <f t="array" aca="1" ref="AC169" ca="1">INDIRECT("'"&amp;$A169&amp;"'!Z14")</f>
        <v>0</v>
      </c>
      <c r="AD169" s="32">
        <f t="array" aca="1" ref="AD169" ca="1">INDIRECT("'"&amp;$A169&amp;"'!AA14")</f>
        <v>0</v>
      </c>
      <c r="AE169" s="83">
        <f t="array" aca="1" ref="AE169" ca="1">INDIRECT("'"&amp;$A168&amp;"'!J4")</f>
        <v>0</v>
      </c>
      <c r="AF169" s="53"/>
    </row>
    <row r="170" spans="1:32">
      <c r="A170" s="58">
        <v>57</v>
      </c>
      <c r="B170" s="105">
        <f>INDEX(data!$I$2:$I$91,MATCH(A170*1,data!$G$2:$G$91,0))</f>
        <v>46241</v>
      </c>
      <c r="C170" s="66" t="str">
        <f>HYPERLINK("#'" &amp; A170 &amp; "'!A1", "编辑")</f>
        <v>编辑</v>
      </c>
      <c r="D170" s="54" t="s">
        <v>6</v>
      </c>
      <c r="E170" s="81">
        <f t="array" aca="1" ref="E170" ca="1">INDIRECT("'"&amp;$A171&amp;"'!I2")</f>
        <v>18</v>
      </c>
      <c r="F170" s="29">
        <f t="array" aca="1" ref="F170" ca="1">INDIRECT("'"&amp;$A170&amp;"'!C8")</f>
        <v>0</v>
      </c>
      <c r="G170" s="30">
        <f t="array" aca="1" ref="G170" ca="1">INDIRECT("'"&amp;$A170&amp;"'!D8")</f>
        <v>0</v>
      </c>
      <c r="H170" s="30">
        <f t="array" aca="1" ref="H170" ca="1">INDIRECT("'"&amp;$A170&amp;"'!E8")</f>
        <v>0</v>
      </c>
      <c r="I170" s="30">
        <f t="array" aca="1" ref="I170" ca="1">INDIRECT("'"&amp;$A170&amp;"'!F8")</f>
        <v>0</v>
      </c>
      <c r="J170" s="30">
        <f t="array" aca="1" ref="J170" ca="1">INDIRECT("'"&amp;$A170&amp;"'!G8")</f>
        <v>0</v>
      </c>
      <c r="K170" s="30">
        <f t="array" aca="1" ref="K170" ca="1">INDIRECT("'"&amp;$A170&amp;"'!H8")</f>
        <v>0</v>
      </c>
      <c r="L170" s="30">
        <f t="array" aca="1" ref="L170" ca="1">INDIRECT("'"&amp;$A170&amp;"'!I8")</f>
        <v>0</v>
      </c>
      <c r="M170" s="30">
        <f t="array" aca="1" ref="M170" ca="1">INDIRECT("'"&amp;$A170&amp;"'!J8")</f>
        <v>0</v>
      </c>
      <c r="N170" s="30">
        <f t="array" aca="1" ref="N170" ca="1">INDIRECT("'"&amp;$A170&amp;"'!K8")</f>
        <v>0</v>
      </c>
      <c r="O170" s="30">
        <f t="array" aca="1" ref="O170" ca="1">INDIRECT("'"&amp;$A170&amp;"'!L8")</f>
        <v>0</v>
      </c>
      <c r="P170" s="30">
        <f t="array" aca="1" ref="P170" ca="1">INDIRECT("'"&amp;$A170&amp;"'!M8")</f>
        <v>0</v>
      </c>
      <c r="Q170" s="30">
        <f t="array" aca="1" ref="Q170" ca="1">INDIRECT("'"&amp;$A170&amp;"'!N8")</f>
        <v>0</v>
      </c>
      <c r="R170" s="30">
        <f t="array" aca="1" ref="R170" ca="1">INDIRECT("'"&amp;$A170&amp;"'!O8")</f>
        <v>0</v>
      </c>
      <c r="S170" s="30">
        <f t="array" aca="1" ref="S170" ca="1">INDIRECT("'"&amp;$A170&amp;"'!P8")</f>
        <v>0</v>
      </c>
      <c r="T170" s="30">
        <f t="array" aca="1" ref="T170" ca="1">INDIRECT("'"&amp;$A170&amp;"'!Q8")</f>
        <v>0</v>
      </c>
      <c r="U170" s="30">
        <f t="array" aca="1" ref="U170" ca="1">INDIRECT("'"&amp;$A170&amp;"'!R8")</f>
        <v>0</v>
      </c>
      <c r="V170" s="30">
        <f t="array" aca="1" ref="V170" ca="1">INDIRECT("'"&amp;$A170&amp;"'!S8")</f>
        <v>0</v>
      </c>
      <c r="W170" s="30">
        <f t="array" aca="1" ref="W170" ca="1">INDIRECT("'"&amp;$A170&amp;"'!T8")</f>
        <v>0</v>
      </c>
      <c r="X170" s="30">
        <f t="array" aca="1" ref="X170" ca="1">INDIRECT("'"&amp;$A170&amp;"'!U8")</f>
        <v>0</v>
      </c>
      <c r="Y170" s="30">
        <f t="array" aca="1" ref="Y170" ca="1">INDIRECT("'"&amp;$A170&amp;"'!V8")</f>
        <v>0</v>
      </c>
      <c r="Z170" s="30">
        <f t="array" aca="1" ref="Z170" ca="1">INDIRECT("'"&amp;$A170&amp;"'!W8")</f>
        <v>0</v>
      </c>
      <c r="AA170" s="30">
        <f t="array" aca="1" ref="AA170" ca="1">INDIRECT("'"&amp;$A170&amp;"'!X8")</f>
        <v>0</v>
      </c>
      <c r="AB170" s="30">
        <f t="array" aca="1" ref="AB170" ca="1">INDIRECT("'"&amp;$A170&amp;"'!Y8")</f>
        <v>0</v>
      </c>
      <c r="AC170" s="30">
        <f t="array" aca="1" ref="AC170" ca="1">INDIRECT("'"&amp;$A170&amp;"'!Z8")</f>
        <v>0</v>
      </c>
      <c r="AD170" s="31">
        <f t="array" aca="1" ref="AD170" ca="1">INDIRECT("'"&amp;$A170&amp;"'!AA8")</f>
        <v>0</v>
      </c>
      <c r="AE170" s="81">
        <f t="array" aca="1" ref="AE170" ca="1">INDIRECT("'"&amp;$A171&amp;"'!J2")</f>
        <v>0</v>
      </c>
      <c r="AF170" s="53" t="str">
        <f t="array" aca="1" ref="AF170" ca="1">INDIRECT("'"&amp;$A171&amp;"'!AD1")</f>
        <v/>
      </c>
    </row>
    <row r="171" spans="1:32">
      <c r="A171" s="58">
        <v>57</v>
      </c>
      <c r="B171" s="106"/>
      <c r="C171" s="67" t="str">
        <f t="array" aca="1" ref="C171" ca="1">CONCATENATE("粮 ",INDIRECT("'"&amp;$A171&amp;"'!D4"))</f>
        <v>粮 96400</v>
      </c>
      <c r="D171" s="55" t="s">
        <v>7</v>
      </c>
      <c r="E171" s="82">
        <f t="array" aca="1" ref="E171" ca="1">INDIRECT("'"&amp;$A171&amp;"'!I3")</f>
        <v>18</v>
      </c>
      <c r="F171" s="52">
        <f t="array" aca="1" ref="F171" ca="1">INDIRECT("'"&amp;$A171&amp;"'!C11")</f>
        <v>0</v>
      </c>
      <c r="G171" s="3">
        <f t="array" aca="1" ref="G171" ca="1">INDIRECT("'"&amp;$A171&amp;"'!D11")</f>
        <v>0</v>
      </c>
      <c r="H171" s="3">
        <f t="array" aca="1" ref="H171" ca="1">INDIRECT("'"&amp;$A171&amp;"'!E11")</f>
        <v>0</v>
      </c>
      <c r="I171" s="3">
        <f t="array" aca="1" ref="I171" ca="1">INDIRECT("'"&amp;$A171&amp;"'!F11")</f>
        <v>0</v>
      </c>
      <c r="J171" s="3">
        <f t="array" aca="1" ref="J171" ca="1">INDIRECT("'"&amp;$A171&amp;"'!G11")</f>
        <v>0</v>
      </c>
      <c r="K171" s="3">
        <f t="array" aca="1" ref="K171" ca="1">INDIRECT("'"&amp;$A171&amp;"'!H11")</f>
        <v>0</v>
      </c>
      <c r="L171" s="3">
        <f t="array" aca="1" ref="L171" ca="1">INDIRECT("'"&amp;$A171&amp;"'!I11")</f>
        <v>0</v>
      </c>
      <c r="M171" s="3">
        <f t="array" aca="1" ref="M171" ca="1">INDIRECT("'"&amp;$A171&amp;"'!J11")</f>
        <v>0</v>
      </c>
      <c r="N171" s="3">
        <f t="array" aca="1" ref="N171" ca="1">INDIRECT("'"&amp;$A171&amp;"'!K11")</f>
        <v>0</v>
      </c>
      <c r="O171" s="3">
        <f t="array" aca="1" ref="O171" ca="1">INDIRECT("'"&amp;$A171&amp;"'!L11")</f>
        <v>0</v>
      </c>
      <c r="P171" s="3">
        <f t="array" aca="1" ref="P171" ca="1">INDIRECT("'"&amp;$A171&amp;"'!M11")</f>
        <v>0</v>
      </c>
      <c r="Q171" s="3">
        <f t="array" aca="1" ref="Q171" ca="1">INDIRECT("'"&amp;$A171&amp;"'!N11")</f>
        <v>0</v>
      </c>
      <c r="R171" s="3">
        <f t="array" aca="1" ref="R171" ca="1">INDIRECT("'"&amp;$A171&amp;"'!O11")</f>
        <v>0</v>
      </c>
      <c r="S171" s="3">
        <f t="array" aca="1" ref="S171" ca="1">INDIRECT("'"&amp;$A171&amp;"'!P11")</f>
        <v>0</v>
      </c>
      <c r="T171" s="3">
        <f t="array" aca="1" ref="T171" ca="1">INDIRECT("'"&amp;$A171&amp;"'!Q11")</f>
        <v>0</v>
      </c>
      <c r="U171" s="3">
        <f t="array" aca="1" ref="U171" ca="1">INDIRECT("'"&amp;$A171&amp;"'!R11")</f>
        <v>0</v>
      </c>
      <c r="V171" s="3">
        <f t="array" aca="1" ref="V171" ca="1">INDIRECT("'"&amp;$A171&amp;"'!S11")</f>
        <v>0</v>
      </c>
      <c r="W171" s="3">
        <f t="array" aca="1" ref="W171" ca="1">INDIRECT("'"&amp;$A171&amp;"'!T11")</f>
        <v>0</v>
      </c>
      <c r="X171" s="3">
        <f t="array" aca="1" ref="X171" ca="1">INDIRECT("'"&amp;$A171&amp;"'!U11")</f>
        <v>0</v>
      </c>
      <c r="Y171" s="3">
        <f t="array" aca="1" ref="Y171" ca="1">INDIRECT("'"&amp;$A171&amp;"'!V11")</f>
        <v>0</v>
      </c>
      <c r="Z171" s="3">
        <f t="array" aca="1" ref="Z171" ca="1">INDIRECT("'"&amp;$A171&amp;"'!W11")</f>
        <v>0</v>
      </c>
      <c r="AA171" s="3">
        <f t="array" aca="1" ref="AA171" ca="1">INDIRECT("'"&amp;$A171&amp;"'!X11")</f>
        <v>0</v>
      </c>
      <c r="AB171" s="3">
        <f t="array" aca="1" ref="AB171" ca="1">INDIRECT("'"&amp;$A171&amp;"'!Y11")</f>
        <v>0</v>
      </c>
      <c r="AC171" s="3">
        <f t="array" aca="1" ref="AC171" ca="1">INDIRECT("'"&amp;$A171&amp;"'!Z11")</f>
        <v>0</v>
      </c>
      <c r="AD171" s="32">
        <f t="array" aca="1" ref="AD171" ca="1">INDIRECT("'"&amp;$A171&amp;"'!AA11")</f>
        <v>0</v>
      </c>
      <c r="AE171" s="82">
        <f t="array" aca="1" ref="AE171" ca="1">INDIRECT("'"&amp;$A171&amp;"'!J3")</f>
        <v>0</v>
      </c>
      <c r="AF171" s="53" t="str">
        <f t="array" aca="1" ref="AF171" ca="1">INDIRECT("'"&amp;$A171&amp;"'!AC1")</f>
        <v/>
      </c>
    </row>
    <row r="172" spans="1:32" ht="15.75" customHeight="1" thickBot="1">
      <c r="A172" s="58">
        <v>57</v>
      </c>
      <c r="B172" s="107"/>
      <c r="C172" s="77" t="str">
        <f t="array" aca="1" ref="C172" ca="1">CONCATENATE("分 ",INDIRECT("'"&amp;$A171&amp;"'!D6"))</f>
        <v>分 0</v>
      </c>
      <c r="D172" s="56" t="s">
        <v>8</v>
      </c>
      <c r="E172" s="83">
        <f t="array" aca="1" ref="E172" ca="1">INDIRECT("'"&amp;$A171&amp;"'!I4")</f>
        <v>18</v>
      </c>
      <c r="F172" s="52">
        <f t="array" aca="1" ref="F172" ca="1">INDIRECT("'"&amp;$A172&amp;"'!C14")</f>
        <v>0</v>
      </c>
      <c r="G172" s="3">
        <f t="array" aca="1" ref="G172" ca="1">INDIRECT("'"&amp;$A172&amp;"'!D14")</f>
        <v>0</v>
      </c>
      <c r="H172" s="3">
        <f t="array" aca="1" ref="H172" ca="1">INDIRECT("'"&amp;$A172&amp;"'!E14")</f>
        <v>0</v>
      </c>
      <c r="I172" s="3">
        <f t="array" aca="1" ref="I172" ca="1">INDIRECT("'"&amp;$A172&amp;"'!F14")</f>
        <v>0</v>
      </c>
      <c r="J172" s="3">
        <f t="array" aca="1" ref="J172" ca="1">INDIRECT("'"&amp;$A172&amp;"'!G14")</f>
        <v>0</v>
      </c>
      <c r="K172" s="3">
        <f t="array" aca="1" ref="K172" ca="1">INDIRECT("'"&amp;$A172&amp;"'!H14")</f>
        <v>0</v>
      </c>
      <c r="L172" s="3">
        <f t="array" aca="1" ref="L172" ca="1">INDIRECT("'"&amp;$A172&amp;"'!I14")</f>
        <v>0</v>
      </c>
      <c r="M172" s="3">
        <f t="array" aca="1" ref="M172" ca="1">INDIRECT("'"&amp;$A172&amp;"'!J14")</f>
        <v>0</v>
      </c>
      <c r="N172" s="3">
        <f t="array" aca="1" ref="N172" ca="1">INDIRECT("'"&amp;$A172&amp;"'!K14")</f>
        <v>0</v>
      </c>
      <c r="O172" s="3">
        <f t="array" aca="1" ref="O172" ca="1">INDIRECT("'"&amp;$A172&amp;"'!L14")</f>
        <v>0</v>
      </c>
      <c r="P172" s="3">
        <f t="array" aca="1" ref="P172" ca="1">INDIRECT("'"&amp;$A172&amp;"'!M14")</f>
        <v>0</v>
      </c>
      <c r="Q172" s="3">
        <f t="array" aca="1" ref="Q172" ca="1">INDIRECT("'"&amp;$A172&amp;"'!N14")</f>
        <v>0</v>
      </c>
      <c r="R172" s="3">
        <f t="array" aca="1" ref="R172" ca="1">INDIRECT("'"&amp;$A172&amp;"'!O14")</f>
        <v>0</v>
      </c>
      <c r="S172" s="3">
        <f t="array" aca="1" ref="S172" ca="1">INDIRECT("'"&amp;$A172&amp;"'!P14")</f>
        <v>0</v>
      </c>
      <c r="T172" s="3">
        <f t="array" aca="1" ref="T172" ca="1">INDIRECT("'"&amp;$A172&amp;"'!Q14")</f>
        <v>0</v>
      </c>
      <c r="U172" s="3">
        <f t="array" aca="1" ref="U172" ca="1">INDIRECT("'"&amp;$A172&amp;"'!R14")</f>
        <v>0</v>
      </c>
      <c r="V172" s="3">
        <f t="array" aca="1" ref="V172" ca="1">INDIRECT("'"&amp;$A172&amp;"'!S14")</f>
        <v>0</v>
      </c>
      <c r="W172" s="3">
        <f t="array" aca="1" ref="W172" ca="1">INDIRECT("'"&amp;$A172&amp;"'!T14")</f>
        <v>0</v>
      </c>
      <c r="X172" s="3">
        <f t="array" aca="1" ref="X172" ca="1">INDIRECT("'"&amp;$A172&amp;"'!U14")</f>
        <v>0</v>
      </c>
      <c r="Y172" s="3">
        <f t="array" aca="1" ref="Y172" ca="1">INDIRECT("'"&amp;$A172&amp;"'!V14")</f>
        <v>0</v>
      </c>
      <c r="Z172" s="3">
        <f t="array" aca="1" ref="Z172" ca="1">INDIRECT("'"&amp;$A172&amp;"'!W14")</f>
        <v>0</v>
      </c>
      <c r="AA172" s="3">
        <f t="array" aca="1" ref="AA172" ca="1">INDIRECT("'"&amp;$A172&amp;"'!X14")</f>
        <v>0</v>
      </c>
      <c r="AB172" s="3">
        <f t="array" aca="1" ref="AB172" ca="1">INDIRECT("'"&amp;$A172&amp;"'!Y14")</f>
        <v>0</v>
      </c>
      <c r="AC172" s="3">
        <f t="array" aca="1" ref="AC172" ca="1">INDIRECT("'"&amp;$A172&amp;"'!Z14")</f>
        <v>0</v>
      </c>
      <c r="AD172" s="32">
        <f t="array" aca="1" ref="AD172" ca="1">INDIRECT("'"&amp;$A172&amp;"'!AA14")</f>
        <v>0</v>
      </c>
      <c r="AE172" s="83">
        <f t="array" aca="1" ref="AE172" ca="1">INDIRECT("'"&amp;$A171&amp;"'!J4")</f>
        <v>0</v>
      </c>
      <c r="AF172" s="53"/>
    </row>
    <row r="173" spans="1:32">
      <c r="A173" s="58">
        <v>58</v>
      </c>
      <c r="B173" s="105">
        <f>INDEX(data!$I$2:$I$91,MATCH(A173*1,data!$G$2:$G$91,0))</f>
        <v>46242</v>
      </c>
      <c r="C173" s="66" t="str">
        <f>HYPERLINK("#'" &amp; A173 &amp; "'!A1", "编辑")</f>
        <v>编辑</v>
      </c>
      <c r="D173" s="54" t="s">
        <v>6</v>
      </c>
      <c r="E173" s="81">
        <f t="array" aca="1" ref="E173" ca="1">INDIRECT("'"&amp;$A174&amp;"'!I2")</f>
        <v>18</v>
      </c>
      <c r="F173" s="29">
        <f t="array" aca="1" ref="F173" ca="1">INDIRECT("'"&amp;$A173&amp;"'!C8")</f>
        <v>0</v>
      </c>
      <c r="G173" s="30">
        <f t="array" aca="1" ref="G173" ca="1">INDIRECT("'"&amp;$A173&amp;"'!D8")</f>
        <v>0</v>
      </c>
      <c r="H173" s="30">
        <f t="array" aca="1" ref="H173" ca="1">INDIRECT("'"&amp;$A173&amp;"'!E8")</f>
        <v>0</v>
      </c>
      <c r="I173" s="30">
        <f t="array" aca="1" ref="I173" ca="1">INDIRECT("'"&amp;$A173&amp;"'!F8")</f>
        <v>0</v>
      </c>
      <c r="J173" s="30">
        <f t="array" aca="1" ref="J173" ca="1">INDIRECT("'"&amp;$A173&amp;"'!G8")</f>
        <v>0</v>
      </c>
      <c r="K173" s="30">
        <f t="array" aca="1" ref="K173" ca="1">INDIRECT("'"&amp;$A173&amp;"'!H8")</f>
        <v>0</v>
      </c>
      <c r="L173" s="30">
        <f t="array" aca="1" ref="L173" ca="1">INDIRECT("'"&amp;$A173&amp;"'!I8")</f>
        <v>0</v>
      </c>
      <c r="M173" s="30">
        <f t="array" aca="1" ref="M173" ca="1">INDIRECT("'"&amp;$A173&amp;"'!J8")</f>
        <v>0</v>
      </c>
      <c r="N173" s="30">
        <f t="array" aca="1" ref="N173" ca="1">INDIRECT("'"&amp;$A173&amp;"'!K8")</f>
        <v>0</v>
      </c>
      <c r="O173" s="30">
        <f t="array" aca="1" ref="O173" ca="1">INDIRECT("'"&amp;$A173&amp;"'!L8")</f>
        <v>0</v>
      </c>
      <c r="P173" s="30">
        <f t="array" aca="1" ref="P173" ca="1">INDIRECT("'"&amp;$A173&amp;"'!M8")</f>
        <v>0</v>
      </c>
      <c r="Q173" s="30">
        <f t="array" aca="1" ref="Q173" ca="1">INDIRECT("'"&amp;$A173&amp;"'!N8")</f>
        <v>0</v>
      </c>
      <c r="R173" s="30">
        <f t="array" aca="1" ref="R173" ca="1">INDIRECT("'"&amp;$A173&amp;"'!O8")</f>
        <v>0</v>
      </c>
      <c r="S173" s="30">
        <f t="array" aca="1" ref="S173" ca="1">INDIRECT("'"&amp;$A173&amp;"'!P8")</f>
        <v>0</v>
      </c>
      <c r="T173" s="30">
        <f t="array" aca="1" ref="T173" ca="1">INDIRECT("'"&amp;$A173&amp;"'!Q8")</f>
        <v>0</v>
      </c>
      <c r="U173" s="30">
        <f t="array" aca="1" ref="U173" ca="1">INDIRECT("'"&amp;$A173&amp;"'!R8")</f>
        <v>0</v>
      </c>
      <c r="V173" s="30">
        <f t="array" aca="1" ref="V173" ca="1">INDIRECT("'"&amp;$A173&amp;"'!S8")</f>
        <v>0</v>
      </c>
      <c r="W173" s="30">
        <f t="array" aca="1" ref="W173" ca="1">INDIRECT("'"&amp;$A173&amp;"'!T8")</f>
        <v>0</v>
      </c>
      <c r="X173" s="30">
        <f t="array" aca="1" ref="X173" ca="1">INDIRECT("'"&amp;$A173&amp;"'!U8")</f>
        <v>0</v>
      </c>
      <c r="Y173" s="30">
        <f t="array" aca="1" ref="Y173" ca="1">INDIRECT("'"&amp;$A173&amp;"'!V8")</f>
        <v>0</v>
      </c>
      <c r="Z173" s="30">
        <f t="array" aca="1" ref="Z173" ca="1">INDIRECT("'"&amp;$A173&amp;"'!W8")</f>
        <v>0</v>
      </c>
      <c r="AA173" s="30">
        <f t="array" aca="1" ref="AA173" ca="1">INDIRECT("'"&amp;$A173&amp;"'!X8")</f>
        <v>0</v>
      </c>
      <c r="AB173" s="30">
        <f t="array" aca="1" ref="AB173" ca="1">INDIRECT("'"&amp;$A173&amp;"'!Y8")</f>
        <v>0</v>
      </c>
      <c r="AC173" s="30">
        <f t="array" aca="1" ref="AC173" ca="1">INDIRECT("'"&amp;$A173&amp;"'!Z8")</f>
        <v>0</v>
      </c>
      <c r="AD173" s="31">
        <f t="array" aca="1" ref="AD173" ca="1">INDIRECT("'"&amp;$A173&amp;"'!AA8")</f>
        <v>0</v>
      </c>
      <c r="AE173" s="81">
        <f t="array" aca="1" ref="AE173" ca="1">INDIRECT("'"&amp;$A174&amp;"'!J2")</f>
        <v>0</v>
      </c>
      <c r="AF173" s="53" t="str">
        <f t="array" aca="1" ref="AF173" ca="1">INDIRECT("'"&amp;$A174&amp;"'!AD1")</f>
        <v/>
      </c>
    </row>
    <row r="174" spans="1:32">
      <c r="A174" s="58">
        <v>58</v>
      </c>
      <c r="B174" s="106"/>
      <c r="C174" s="67" t="str">
        <f t="array" aca="1" ref="C174" ca="1">CONCATENATE("粮 ",INDIRECT("'"&amp;$A174&amp;"'!D4"))</f>
        <v>粮 98000</v>
      </c>
      <c r="D174" s="55" t="s">
        <v>7</v>
      </c>
      <c r="E174" s="82">
        <f t="array" aca="1" ref="E174" ca="1">INDIRECT("'"&amp;$A174&amp;"'!I3")</f>
        <v>18</v>
      </c>
      <c r="F174" s="52">
        <f t="array" aca="1" ref="F174" ca="1">INDIRECT("'"&amp;$A174&amp;"'!C11")</f>
        <v>0</v>
      </c>
      <c r="G174" s="3">
        <f t="array" aca="1" ref="G174" ca="1">INDIRECT("'"&amp;$A174&amp;"'!D11")</f>
        <v>0</v>
      </c>
      <c r="H174" s="3">
        <f t="array" aca="1" ref="H174" ca="1">INDIRECT("'"&amp;$A174&amp;"'!E11")</f>
        <v>0</v>
      </c>
      <c r="I174" s="3">
        <f t="array" aca="1" ref="I174" ca="1">INDIRECT("'"&amp;$A174&amp;"'!F11")</f>
        <v>0</v>
      </c>
      <c r="J174" s="3">
        <f t="array" aca="1" ref="J174" ca="1">INDIRECT("'"&amp;$A174&amp;"'!G11")</f>
        <v>0</v>
      </c>
      <c r="K174" s="3">
        <f t="array" aca="1" ref="K174" ca="1">INDIRECT("'"&amp;$A174&amp;"'!H11")</f>
        <v>0</v>
      </c>
      <c r="L174" s="3">
        <f t="array" aca="1" ref="L174" ca="1">INDIRECT("'"&amp;$A174&amp;"'!I11")</f>
        <v>0</v>
      </c>
      <c r="M174" s="3">
        <f t="array" aca="1" ref="M174" ca="1">INDIRECT("'"&amp;$A174&amp;"'!J11")</f>
        <v>0</v>
      </c>
      <c r="N174" s="3">
        <f t="array" aca="1" ref="N174" ca="1">INDIRECT("'"&amp;$A174&amp;"'!K11")</f>
        <v>0</v>
      </c>
      <c r="O174" s="3">
        <f t="array" aca="1" ref="O174" ca="1">INDIRECT("'"&amp;$A174&amp;"'!L11")</f>
        <v>0</v>
      </c>
      <c r="P174" s="3">
        <f t="array" aca="1" ref="P174" ca="1">INDIRECT("'"&amp;$A174&amp;"'!M11")</f>
        <v>0</v>
      </c>
      <c r="Q174" s="3">
        <f t="array" aca="1" ref="Q174" ca="1">INDIRECT("'"&amp;$A174&amp;"'!N11")</f>
        <v>0</v>
      </c>
      <c r="R174" s="3">
        <f t="array" aca="1" ref="R174" ca="1">INDIRECT("'"&amp;$A174&amp;"'!O11")</f>
        <v>0</v>
      </c>
      <c r="S174" s="3">
        <f t="array" aca="1" ref="S174" ca="1">INDIRECT("'"&amp;$A174&amp;"'!P11")</f>
        <v>0</v>
      </c>
      <c r="T174" s="3">
        <f t="array" aca="1" ref="T174" ca="1">INDIRECT("'"&amp;$A174&amp;"'!Q11")</f>
        <v>0</v>
      </c>
      <c r="U174" s="3">
        <f t="array" aca="1" ref="U174" ca="1">INDIRECT("'"&amp;$A174&amp;"'!R11")</f>
        <v>0</v>
      </c>
      <c r="V174" s="3">
        <f t="array" aca="1" ref="V174" ca="1">INDIRECT("'"&amp;$A174&amp;"'!S11")</f>
        <v>0</v>
      </c>
      <c r="W174" s="3">
        <f t="array" aca="1" ref="W174" ca="1">INDIRECT("'"&amp;$A174&amp;"'!T11")</f>
        <v>0</v>
      </c>
      <c r="X174" s="3">
        <f t="array" aca="1" ref="X174" ca="1">INDIRECT("'"&amp;$A174&amp;"'!U11")</f>
        <v>0</v>
      </c>
      <c r="Y174" s="3">
        <f t="array" aca="1" ref="Y174" ca="1">INDIRECT("'"&amp;$A174&amp;"'!V11")</f>
        <v>0</v>
      </c>
      <c r="Z174" s="3">
        <f t="array" aca="1" ref="Z174" ca="1">INDIRECT("'"&amp;$A174&amp;"'!W11")</f>
        <v>0</v>
      </c>
      <c r="AA174" s="3">
        <f t="array" aca="1" ref="AA174" ca="1">INDIRECT("'"&amp;$A174&amp;"'!X11")</f>
        <v>0</v>
      </c>
      <c r="AB174" s="3">
        <f t="array" aca="1" ref="AB174" ca="1">INDIRECT("'"&amp;$A174&amp;"'!Y11")</f>
        <v>0</v>
      </c>
      <c r="AC174" s="3">
        <f t="array" aca="1" ref="AC174" ca="1">INDIRECT("'"&amp;$A174&amp;"'!Z11")</f>
        <v>0</v>
      </c>
      <c r="AD174" s="32">
        <f t="array" aca="1" ref="AD174" ca="1">INDIRECT("'"&amp;$A174&amp;"'!AA11")</f>
        <v>0</v>
      </c>
      <c r="AE174" s="82">
        <f t="array" aca="1" ref="AE174" ca="1">INDIRECT("'"&amp;$A174&amp;"'!J3")</f>
        <v>0</v>
      </c>
      <c r="AF174" s="53" t="str">
        <f t="array" aca="1" ref="AF174" ca="1">INDIRECT("'"&amp;$A174&amp;"'!AC1")</f>
        <v/>
      </c>
    </row>
    <row r="175" spans="1:32" ht="15.75" customHeight="1" thickBot="1">
      <c r="A175" s="58">
        <v>58</v>
      </c>
      <c r="B175" s="107"/>
      <c r="C175" s="77" t="str">
        <f t="array" aca="1" ref="C175" ca="1">CONCATENATE("分 ",INDIRECT("'"&amp;$A174&amp;"'!D6"))</f>
        <v>分 0</v>
      </c>
      <c r="D175" s="56" t="s">
        <v>8</v>
      </c>
      <c r="E175" s="83">
        <f t="array" aca="1" ref="E175" ca="1">INDIRECT("'"&amp;$A174&amp;"'!I4")</f>
        <v>18</v>
      </c>
      <c r="F175" s="52">
        <f t="array" aca="1" ref="F175" ca="1">INDIRECT("'"&amp;$A175&amp;"'!C14")</f>
        <v>0</v>
      </c>
      <c r="G175" s="3">
        <f t="array" aca="1" ref="G175" ca="1">INDIRECT("'"&amp;$A175&amp;"'!D14")</f>
        <v>0</v>
      </c>
      <c r="H175" s="3">
        <f t="array" aca="1" ref="H175" ca="1">INDIRECT("'"&amp;$A175&amp;"'!E14")</f>
        <v>0</v>
      </c>
      <c r="I175" s="3">
        <f t="array" aca="1" ref="I175" ca="1">INDIRECT("'"&amp;$A175&amp;"'!F14")</f>
        <v>0</v>
      </c>
      <c r="J175" s="3">
        <f t="array" aca="1" ref="J175" ca="1">INDIRECT("'"&amp;$A175&amp;"'!G14")</f>
        <v>0</v>
      </c>
      <c r="K175" s="3">
        <f t="array" aca="1" ref="K175" ca="1">INDIRECT("'"&amp;$A175&amp;"'!H14")</f>
        <v>0</v>
      </c>
      <c r="L175" s="3">
        <f t="array" aca="1" ref="L175" ca="1">INDIRECT("'"&amp;$A175&amp;"'!I14")</f>
        <v>0</v>
      </c>
      <c r="M175" s="3">
        <f t="array" aca="1" ref="M175" ca="1">INDIRECT("'"&amp;$A175&amp;"'!J14")</f>
        <v>0</v>
      </c>
      <c r="N175" s="3">
        <f t="array" aca="1" ref="N175" ca="1">INDIRECT("'"&amp;$A175&amp;"'!K14")</f>
        <v>0</v>
      </c>
      <c r="O175" s="3">
        <f t="array" aca="1" ref="O175" ca="1">INDIRECT("'"&amp;$A175&amp;"'!L14")</f>
        <v>0</v>
      </c>
      <c r="P175" s="3">
        <f t="array" aca="1" ref="P175" ca="1">INDIRECT("'"&amp;$A175&amp;"'!M14")</f>
        <v>0</v>
      </c>
      <c r="Q175" s="3">
        <f t="array" aca="1" ref="Q175" ca="1">INDIRECT("'"&amp;$A175&amp;"'!N14")</f>
        <v>0</v>
      </c>
      <c r="R175" s="3">
        <f t="array" aca="1" ref="R175" ca="1">INDIRECT("'"&amp;$A175&amp;"'!O14")</f>
        <v>0</v>
      </c>
      <c r="S175" s="3">
        <f t="array" aca="1" ref="S175" ca="1">INDIRECT("'"&amp;$A175&amp;"'!P14")</f>
        <v>0</v>
      </c>
      <c r="T175" s="3">
        <f t="array" aca="1" ref="T175" ca="1">INDIRECT("'"&amp;$A175&amp;"'!Q14")</f>
        <v>0</v>
      </c>
      <c r="U175" s="3">
        <f t="array" aca="1" ref="U175" ca="1">INDIRECT("'"&amp;$A175&amp;"'!R14")</f>
        <v>0</v>
      </c>
      <c r="V175" s="3">
        <f t="array" aca="1" ref="V175" ca="1">INDIRECT("'"&amp;$A175&amp;"'!S14")</f>
        <v>0</v>
      </c>
      <c r="W175" s="3">
        <f t="array" aca="1" ref="W175" ca="1">INDIRECT("'"&amp;$A175&amp;"'!T14")</f>
        <v>0</v>
      </c>
      <c r="X175" s="3">
        <f t="array" aca="1" ref="X175" ca="1">INDIRECT("'"&amp;$A175&amp;"'!U14")</f>
        <v>0</v>
      </c>
      <c r="Y175" s="3">
        <f t="array" aca="1" ref="Y175" ca="1">INDIRECT("'"&amp;$A175&amp;"'!V14")</f>
        <v>0</v>
      </c>
      <c r="Z175" s="3">
        <f t="array" aca="1" ref="Z175" ca="1">INDIRECT("'"&amp;$A175&amp;"'!W14")</f>
        <v>0</v>
      </c>
      <c r="AA175" s="3">
        <f t="array" aca="1" ref="AA175" ca="1">INDIRECT("'"&amp;$A175&amp;"'!X14")</f>
        <v>0</v>
      </c>
      <c r="AB175" s="3">
        <f t="array" aca="1" ref="AB175" ca="1">INDIRECT("'"&amp;$A175&amp;"'!Y14")</f>
        <v>0</v>
      </c>
      <c r="AC175" s="3">
        <f t="array" aca="1" ref="AC175" ca="1">INDIRECT("'"&amp;$A175&amp;"'!Z14")</f>
        <v>0</v>
      </c>
      <c r="AD175" s="32">
        <f t="array" aca="1" ref="AD175" ca="1">INDIRECT("'"&amp;$A175&amp;"'!AA14")</f>
        <v>0</v>
      </c>
      <c r="AE175" s="83">
        <f t="array" aca="1" ref="AE175" ca="1">INDIRECT("'"&amp;$A174&amp;"'!J4")</f>
        <v>0</v>
      </c>
      <c r="AF175" s="53"/>
    </row>
    <row r="176" spans="1:32">
      <c r="A176" s="58">
        <v>59</v>
      </c>
      <c r="B176" s="105">
        <f>INDEX(data!$I$2:$I$91,MATCH(A176*1,data!$G$2:$G$91,0))</f>
        <v>46243</v>
      </c>
      <c r="C176" s="66" t="str">
        <f>HYPERLINK("#'" &amp; A176 &amp; "'!A1", "编辑")</f>
        <v>编辑</v>
      </c>
      <c r="D176" s="54" t="s">
        <v>6</v>
      </c>
      <c r="E176" s="81">
        <f t="array" aca="1" ref="E176" ca="1">INDIRECT("'"&amp;$A177&amp;"'!I2")</f>
        <v>18</v>
      </c>
      <c r="F176" s="29">
        <f t="array" aca="1" ref="F176" ca="1">INDIRECT("'"&amp;$A176&amp;"'!C8")</f>
        <v>0</v>
      </c>
      <c r="G176" s="30">
        <f t="array" aca="1" ref="G176" ca="1">INDIRECT("'"&amp;$A176&amp;"'!D8")</f>
        <v>0</v>
      </c>
      <c r="H176" s="30">
        <f t="array" aca="1" ref="H176" ca="1">INDIRECT("'"&amp;$A176&amp;"'!E8")</f>
        <v>0</v>
      </c>
      <c r="I176" s="30">
        <f t="array" aca="1" ref="I176" ca="1">INDIRECT("'"&amp;$A176&amp;"'!F8")</f>
        <v>0</v>
      </c>
      <c r="J176" s="30">
        <f t="array" aca="1" ref="J176" ca="1">INDIRECT("'"&amp;$A176&amp;"'!G8")</f>
        <v>0</v>
      </c>
      <c r="K176" s="30">
        <f t="array" aca="1" ref="K176" ca="1">INDIRECT("'"&amp;$A176&amp;"'!H8")</f>
        <v>0</v>
      </c>
      <c r="L176" s="30">
        <f t="array" aca="1" ref="L176" ca="1">INDIRECT("'"&amp;$A176&amp;"'!I8")</f>
        <v>0</v>
      </c>
      <c r="M176" s="30">
        <f t="array" aca="1" ref="M176" ca="1">INDIRECT("'"&amp;$A176&amp;"'!J8")</f>
        <v>0</v>
      </c>
      <c r="N176" s="30">
        <f t="array" aca="1" ref="N176" ca="1">INDIRECT("'"&amp;$A176&amp;"'!K8")</f>
        <v>0</v>
      </c>
      <c r="O176" s="30">
        <f t="array" aca="1" ref="O176" ca="1">INDIRECT("'"&amp;$A176&amp;"'!L8")</f>
        <v>0</v>
      </c>
      <c r="P176" s="30">
        <f t="array" aca="1" ref="P176" ca="1">INDIRECT("'"&amp;$A176&amp;"'!M8")</f>
        <v>0</v>
      </c>
      <c r="Q176" s="30">
        <f t="array" aca="1" ref="Q176" ca="1">INDIRECT("'"&amp;$A176&amp;"'!N8")</f>
        <v>0</v>
      </c>
      <c r="R176" s="30">
        <f t="array" aca="1" ref="R176" ca="1">INDIRECT("'"&amp;$A176&amp;"'!O8")</f>
        <v>0</v>
      </c>
      <c r="S176" s="30">
        <f t="array" aca="1" ref="S176" ca="1">INDIRECT("'"&amp;$A176&amp;"'!P8")</f>
        <v>0</v>
      </c>
      <c r="T176" s="30">
        <f t="array" aca="1" ref="T176" ca="1">INDIRECT("'"&amp;$A176&amp;"'!Q8")</f>
        <v>0</v>
      </c>
      <c r="U176" s="30">
        <f t="array" aca="1" ref="U176" ca="1">INDIRECT("'"&amp;$A176&amp;"'!R8")</f>
        <v>0</v>
      </c>
      <c r="V176" s="30">
        <f t="array" aca="1" ref="V176" ca="1">INDIRECT("'"&amp;$A176&amp;"'!S8")</f>
        <v>0</v>
      </c>
      <c r="W176" s="30">
        <f t="array" aca="1" ref="W176" ca="1">INDIRECT("'"&amp;$A176&amp;"'!T8")</f>
        <v>0</v>
      </c>
      <c r="X176" s="30">
        <f t="array" aca="1" ref="X176" ca="1">INDIRECT("'"&amp;$A176&amp;"'!U8")</f>
        <v>0</v>
      </c>
      <c r="Y176" s="30">
        <f t="array" aca="1" ref="Y176" ca="1">INDIRECT("'"&amp;$A176&amp;"'!V8")</f>
        <v>0</v>
      </c>
      <c r="Z176" s="30">
        <f t="array" aca="1" ref="Z176" ca="1">INDIRECT("'"&amp;$A176&amp;"'!W8")</f>
        <v>0</v>
      </c>
      <c r="AA176" s="30">
        <f t="array" aca="1" ref="AA176" ca="1">INDIRECT("'"&amp;$A176&amp;"'!X8")</f>
        <v>0</v>
      </c>
      <c r="AB176" s="30">
        <f t="array" aca="1" ref="AB176" ca="1">INDIRECT("'"&amp;$A176&amp;"'!Y8")</f>
        <v>0</v>
      </c>
      <c r="AC176" s="30">
        <f t="array" aca="1" ref="AC176" ca="1">INDIRECT("'"&amp;$A176&amp;"'!Z8")</f>
        <v>0</v>
      </c>
      <c r="AD176" s="31">
        <f t="array" aca="1" ref="AD176" ca="1">INDIRECT("'"&amp;$A176&amp;"'!AA8")</f>
        <v>0</v>
      </c>
      <c r="AE176" s="81">
        <f t="array" aca="1" ref="AE176" ca="1">INDIRECT("'"&amp;$A177&amp;"'!J2")</f>
        <v>0</v>
      </c>
      <c r="AF176" s="53" t="str">
        <f t="array" aca="1" ref="AF176" ca="1">INDIRECT("'"&amp;$A177&amp;"'!AD1")</f>
        <v/>
      </c>
    </row>
    <row r="177" spans="1:32">
      <c r="A177" s="58">
        <v>59</v>
      </c>
      <c r="B177" s="106"/>
      <c r="C177" s="67" t="str">
        <f t="array" aca="1" ref="C177" ca="1">CONCATENATE("粮 ",INDIRECT("'"&amp;$A177&amp;"'!D4"))</f>
        <v>粮 99600</v>
      </c>
      <c r="D177" s="55" t="s">
        <v>7</v>
      </c>
      <c r="E177" s="82">
        <f t="array" aca="1" ref="E177" ca="1">INDIRECT("'"&amp;$A177&amp;"'!I3")</f>
        <v>18</v>
      </c>
      <c r="F177" s="52">
        <f t="array" aca="1" ref="F177" ca="1">INDIRECT("'"&amp;$A177&amp;"'!C11")</f>
        <v>0</v>
      </c>
      <c r="G177" s="3">
        <f t="array" aca="1" ref="G177" ca="1">INDIRECT("'"&amp;$A177&amp;"'!D11")</f>
        <v>0</v>
      </c>
      <c r="H177" s="3">
        <f t="array" aca="1" ref="H177" ca="1">INDIRECT("'"&amp;$A177&amp;"'!E11")</f>
        <v>0</v>
      </c>
      <c r="I177" s="3">
        <f t="array" aca="1" ref="I177" ca="1">INDIRECT("'"&amp;$A177&amp;"'!F11")</f>
        <v>0</v>
      </c>
      <c r="J177" s="3">
        <f t="array" aca="1" ref="J177" ca="1">INDIRECT("'"&amp;$A177&amp;"'!G11")</f>
        <v>0</v>
      </c>
      <c r="K177" s="3">
        <f t="array" aca="1" ref="K177" ca="1">INDIRECT("'"&amp;$A177&amp;"'!H11")</f>
        <v>0</v>
      </c>
      <c r="L177" s="3">
        <f t="array" aca="1" ref="L177" ca="1">INDIRECT("'"&amp;$A177&amp;"'!I11")</f>
        <v>0</v>
      </c>
      <c r="M177" s="3">
        <f t="array" aca="1" ref="M177" ca="1">INDIRECT("'"&amp;$A177&amp;"'!J11")</f>
        <v>0</v>
      </c>
      <c r="N177" s="3">
        <f t="array" aca="1" ref="N177" ca="1">INDIRECT("'"&amp;$A177&amp;"'!K11")</f>
        <v>0</v>
      </c>
      <c r="O177" s="3">
        <f t="array" aca="1" ref="O177" ca="1">INDIRECT("'"&amp;$A177&amp;"'!L11")</f>
        <v>0</v>
      </c>
      <c r="P177" s="3">
        <f t="array" aca="1" ref="P177" ca="1">INDIRECT("'"&amp;$A177&amp;"'!M11")</f>
        <v>0</v>
      </c>
      <c r="Q177" s="3">
        <f t="array" aca="1" ref="Q177" ca="1">INDIRECT("'"&amp;$A177&amp;"'!N11")</f>
        <v>0</v>
      </c>
      <c r="R177" s="3">
        <f t="array" aca="1" ref="R177" ca="1">INDIRECT("'"&amp;$A177&amp;"'!O11")</f>
        <v>0</v>
      </c>
      <c r="S177" s="3">
        <f t="array" aca="1" ref="S177" ca="1">INDIRECT("'"&amp;$A177&amp;"'!P11")</f>
        <v>0</v>
      </c>
      <c r="T177" s="3">
        <f t="array" aca="1" ref="T177" ca="1">INDIRECT("'"&amp;$A177&amp;"'!Q11")</f>
        <v>0</v>
      </c>
      <c r="U177" s="3">
        <f t="array" aca="1" ref="U177" ca="1">INDIRECT("'"&amp;$A177&amp;"'!R11")</f>
        <v>0</v>
      </c>
      <c r="V177" s="3">
        <f t="array" aca="1" ref="V177" ca="1">INDIRECT("'"&amp;$A177&amp;"'!S11")</f>
        <v>0</v>
      </c>
      <c r="W177" s="3">
        <f t="array" aca="1" ref="W177" ca="1">INDIRECT("'"&amp;$A177&amp;"'!T11")</f>
        <v>0</v>
      </c>
      <c r="X177" s="3">
        <f t="array" aca="1" ref="X177" ca="1">INDIRECT("'"&amp;$A177&amp;"'!U11")</f>
        <v>0</v>
      </c>
      <c r="Y177" s="3">
        <f t="array" aca="1" ref="Y177" ca="1">INDIRECT("'"&amp;$A177&amp;"'!V11")</f>
        <v>0</v>
      </c>
      <c r="Z177" s="3">
        <f t="array" aca="1" ref="Z177" ca="1">INDIRECT("'"&amp;$A177&amp;"'!W11")</f>
        <v>0</v>
      </c>
      <c r="AA177" s="3">
        <f t="array" aca="1" ref="AA177" ca="1">INDIRECT("'"&amp;$A177&amp;"'!X11")</f>
        <v>0</v>
      </c>
      <c r="AB177" s="3">
        <f t="array" aca="1" ref="AB177" ca="1">INDIRECT("'"&amp;$A177&amp;"'!Y11")</f>
        <v>0</v>
      </c>
      <c r="AC177" s="3">
        <f t="array" aca="1" ref="AC177" ca="1">INDIRECT("'"&amp;$A177&amp;"'!Z11")</f>
        <v>0</v>
      </c>
      <c r="AD177" s="32">
        <f t="array" aca="1" ref="AD177" ca="1">INDIRECT("'"&amp;$A177&amp;"'!AA11")</f>
        <v>0</v>
      </c>
      <c r="AE177" s="82">
        <f t="array" aca="1" ref="AE177" ca="1">INDIRECT("'"&amp;$A177&amp;"'!J3")</f>
        <v>0</v>
      </c>
      <c r="AF177" s="53" t="str">
        <f t="array" aca="1" ref="AF177" ca="1">INDIRECT("'"&amp;$A177&amp;"'!AC1")</f>
        <v/>
      </c>
    </row>
    <row r="178" spans="1:32" ht="15.75" customHeight="1" thickBot="1">
      <c r="A178" s="58">
        <v>59</v>
      </c>
      <c r="B178" s="107"/>
      <c r="C178" s="77" t="str">
        <f t="array" aca="1" ref="C178" ca="1">CONCATENATE("分 ",INDIRECT("'"&amp;$A177&amp;"'!D6"))</f>
        <v>分 0</v>
      </c>
      <c r="D178" s="56" t="s">
        <v>8</v>
      </c>
      <c r="E178" s="83">
        <f t="array" aca="1" ref="E178" ca="1">INDIRECT("'"&amp;$A177&amp;"'!I4")</f>
        <v>18</v>
      </c>
      <c r="F178" s="52">
        <f t="array" aca="1" ref="F178" ca="1">INDIRECT("'"&amp;$A178&amp;"'!C14")</f>
        <v>0</v>
      </c>
      <c r="G178" s="3">
        <f t="array" aca="1" ref="G178" ca="1">INDIRECT("'"&amp;$A178&amp;"'!D14")</f>
        <v>0</v>
      </c>
      <c r="H178" s="3">
        <f t="array" aca="1" ref="H178" ca="1">INDIRECT("'"&amp;$A178&amp;"'!E14")</f>
        <v>0</v>
      </c>
      <c r="I178" s="3">
        <f t="array" aca="1" ref="I178" ca="1">INDIRECT("'"&amp;$A178&amp;"'!F14")</f>
        <v>0</v>
      </c>
      <c r="J178" s="3">
        <f t="array" aca="1" ref="J178" ca="1">INDIRECT("'"&amp;$A178&amp;"'!G14")</f>
        <v>0</v>
      </c>
      <c r="K178" s="3">
        <f t="array" aca="1" ref="K178" ca="1">INDIRECT("'"&amp;$A178&amp;"'!H14")</f>
        <v>0</v>
      </c>
      <c r="L178" s="3">
        <f t="array" aca="1" ref="L178" ca="1">INDIRECT("'"&amp;$A178&amp;"'!I14")</f>
        <v>0</v>
      </c>
      <c r="M178" s="3">
        <f t="array" aca="1" ref="M178" ca="1">INDIRECT("'"&amp;$A178&amp;"'!J14")</f>
        <v>0</v>
      </c>
      <c r="N178" s="3">
        <f t="array" aca="1" ref="N178" ca="1">INDIRECT("'"&amp;$A178&amp;"'!K14")</f>
        <v>0</v>
      </c>
      <c r="O178" s="3">
        <f t="array" aca="1" ref="O178" ca="1">INDIRECT("'"&amp;$A178&amp;"'!L14")</f>
        <v>0</v>
      </c>
      <c r="P178" s="3">
        <f t="array" aca="1" ref="P178" ca="1">INDIRECT("'"&amp;$A178&amp;"'!M14")</f>
        <v>0</v>
      </c>
      <c r="Q178" s="3">
        <f t="array" aca="1" ref="Q178" ca="1">INDIRECT("'"&amp;$A178&amp;"'!N14")</f>
        <v>0</v>
      </c>
      <c r="R178" s="3">
        <f t="array" aca="1" ref="R178" ca="1">INDIRECT("'"&amp;$A178&amp;"'!O14")</f>
        <v>0</v>
      </c>
      <c r="S178" s="3">
        <f t="array" aca="1" ref="S178" ca="1">INDIRECT("'"&amp;$A178&amp;"'!P14")</f>
        <v>0</v>
      </c>
      <c r="T178" s="3">
        <f t="array" aca="1" ref="T178" ca="1">INDIRECT("'"&amp;$A178&amp;"'!Q14")</f>
        <v>0</v>
      </c>
      <c r="U178" s="3">
        <f t="array" aca="1" ref="U178" ca="1">INDIRECT("'"&amp;$A178&amp;"'!R14")</f>
        <v>0</v>
      </c>
      <c r="V178" s="3">
        <f t="array" aca="1" ref="V178" ca="1">INDIRECT("'"&amp;$A178&amp;"'!S14")</f>
        <v>0</v>
      </c>
      <c r="W178" s="3">
        <f t="array" aca="1" ref="W178" ca="1">INDIRECT("'"&amp;$A178&amp;"'!T14")</f>
        <v>0</v>
      </c>
      <c r="X178" s="3">
        <f t="array" aca="1" ref="X178" ca="1">INDIRECT("'"&amp;$A178&amp;"'!U14")</f>
        <v>0</v>
      </c>
      <c r="Y178" s="3">
        <f t="array" aca="1" ref="Y178" ca="1">INDIRECT("'"&amp;$A178&amp;"'!V14")</f>
        <v>0</v>
      </c>
      <c r="Z178" s="3">
        <f t="array" aca="1" ref="Z178" ca="1">INDIRECT("'"&amp;$A178&amp;"'!W14")</f>
        <v>0</v>
      </c>
      <c r="AA178" s="3">
        <f t="array" aca="1" ref="AA178" ca="1">INDIRECT("'"&amp;$A178&amp;"'!X14")</f>
        <v>0</v>
      </c>
      <c r="AB178" s="3">
        <f t="array" aca="1" ref="AB178" ca="1">INDIRECT("'"&amp;$A178&amp;"'!Y14")</f>
        <v>0</v>
      </c>
      <c r="AC178" s="3">
        <f t="array" aca="1" ref="AC178" ca="1">INDIRECT("'"&amp;$A178&amp;"'!Z14")</f>
        <v>0</v>
      </c>
      <c r="AD178" s="32">
        <f t="array" aca="1" ref="AD178" ca="1">INDIRECT("'"&amp;$A178&amp;"'!AA14")</f>
        <v>0</v>
      </c>
      <c r="AE178" s="83">
        <f t="array" aca="1" ref="AE178" ca="1">INDIRECT("'"&amp;$A177&amp;"'!J4")</f>
        <v>0</v>
      </c>
      <c r="AF178" s="53"/>
    </row>
    <row r="179" spans="1:32">
      <c r="A179" s="58">
        <v>60</v>
      </c>
      <c r="B179" s="105">
        <f>INDEX(data!$I$2:$I$91,MATCH(A179*1,data!$G$2:$G$91,0))</f>
        <v>46244</v>
      </c>
      <c r="C179" s="66" t="str">
        <f>HYPERLINK("#'" &amp; A179 &amp; "'!A1", "编辑")</f>
        <v>编辑</v>
      </c>
      <c r="D179" s="54" t="s">
        <v>6</v>
      </c>
      <c r="E179" s="81">
        <f t="array" aca="1" ref="E179" ca="1">INDIRECT("'"&amp;$A180&amp;"'!I2")</f>
        <v>18</v>
      </c>
      <c r="F179" s="29">
        <f t="array" aca="1" ref="F179" ca="1">INDIRECT("'"&amp;$A179&amp;"'!C8")</f>
        <v>0</v>
      </c>
      <c r="G179" s="30">
        <f t="array" aca="1" ref="G179" ca="1">INDIRECT("'"&amp;$A179&amp;"'!D8")</f>
        <v>0</v>
      </c>
      <c r="H179" s="30">
        <f t="array" aca="1" ref="H179" ca="1">INDIRECT("'"&amp;$A179&amp;"'!E8")</f>
        <v>0</v>
      </c>
      <c r="I179" s="30">
        <f t="array" aca="1" ref="I179" ca="1">INDIRECT("'"&amp;$A179&amp;"'!F8")</f>
        <v>0</v>
      </c>
      <c r="J179" s="30">
        <f t="array" aca="1" ref="J179" ca="1">INDIRECT("'"&amp;$A179&amp;"'!G8")</f>
        <v>0</v>
      </c>
      <c r="K179" s="30">
        <f t="array" aca="1" ref="K179" ca="1">INDIRECT("'"&amp;$A179&amp;"'!H8")</f>
        <v>0</v>
      </c>
      <c r="L179" s="30">
        <f t="array" aca="1" ref="L179" ca="1">INDIRECT("'"&amp;$A179&amp;"'!I8")</f>
        <v>0</v>
      </c>
      <c r="M179" s="30">
        <f t="array" aca="1" ref="M179" ca="1">INDIRECT("'"&amp;$A179&amp;"'!J8")</f>
        <v>0</v>
      </c>
      <c r="N179" s="30">
        <f t="array" aca="1" ref="N179" ca="1">INDIRECT("'"&amp;$A179&amp;"'!K8")</f>
        <v>0</v>
      </c>
      <c r="O179" s="30">
        <f t="array" aca="1" ref="O179" ca="1">INDIRECT("'"&amp;$A179&amp;"'!L8")</f>
        <v>0</v>
      </c>
      <c r="P179" s="30">
        <f t="array" aca="1" ref="P179" ca="1">INDIRECT("'"&amp;$A179&amp;"'!M8")</f>
        <v>0</v>
      </c>
      <c r="Q179" s="30">
        <f t="array" aca="1" ref="Q179" ca="1">INDIRECT("'"&amp;$A179&amp;"'!N8")</f>
        <v>0</v>
      </c>
      <c r="R179" s="30">
        <f t="array" aca="1" ref="R179" ca="1">INDIRECT("'"&amp;$A179&amp;"'!O8")</f>
        <v>0</v>
      </c>
      <c r="S179" s="30">
        <f t="array" aca="1" ref="S179" ca="1">INDIRECT("'"&amp;$A179&amp;"'!P8")</f>
        <v>0</v>
      </c>
      <c r="T179" s="30">
        <f t="array" aca="1" ref="T179" ca="1">INDIRECT("'"&amp;$A179&amp;"'!Q8")</f>
        <v>0</v>
      </c>
      <c r="U179" s="30">
        <f t="array" aca="1" ref="U179" ca="1">INDIRECT("'"&amp;$A179&amp;"'!R8")</f>
        <v>0</v>
      </c>
      <c r="V179" s="30">
        <f t="array" aca="1" ref="V179" ca="1">INDIRECT("'"&amp;$A179&amp;"'!S8")</f>
        <v>0</v>
      </c>
      <c r="W179" s="30">
        <f t="array" aca="1" ref="W179" ca="1">INDIRECT("'"&amp;$A179&amp;"'!T8")</f>
        <v>0</v>
      </c>
      <c r="X179" s="30">
        <f t="array" aca="1" ref="X179" ca="1">INDIRECT("'"&amp;$A179&amp;"'!U8")</f>
        <v>0</v>
      </c>
      <c r="Y179" s="30">
        <f t="array" aca="1" ref="Y179" ca="1">INDIRECT("'"&amp;$A179&amp;"'!V8")</f>
        <v>0</v>
      </c>
      <c r="Z179" s="30">
        <f t="array" aca="1" ref="Z179" ca="1">INDIRECT("'"&amp;$A179&amp;"'!W8")</f>
        <v>0</v>
      </c>
      <c r="AA179" s="30">
        <f t="array" aca="1" ref="AA179" ca="1">INDIRECT("'"&amp;$A179&amp;"'!X8")</f>
        <v>0</v>
      </c>
      <c r="AB179" s="30">
        <f t="array" aca="1" ref="AB179" ca="1">INDIRECT("'"&amp;$A179&amp;"'!Y8")</f>
        <v>0</v>
      </c>
      <c r="AC179" s="30">
        <f t="array" aca="1" ref="AC179" ca="1">INDIRECT("'"&amp;$A179&amp;"'!Z8")</f>
        <v>0</v>
      </c>
      <c r="AD179" s="31">
        <f t="array" aca="1" ref="AD179" ca="1">INDIRECT("'"&amp;$A179&amp;"'!AA8")</f>
        <v>0</v>
      </c>
      <c r="AE179" s="81">
        <f t="array" aca="1" ref="AE179" ca="1">INDIRECT("'"&amp;$A180&amp;"'!J2")</f>
        <v>0</v>
      </c>
      <c r="AF179" s="53" t="str">
        <f t="array" aca="1" ref="AF179" ca="1">INDIRECT("'"&amp;$A180&amp;"'!AD1")</f>
        <v/>
      </c>
    </row>
    <row r="180" spans="1:32">
      <c r="A180" s="58">
        <v>60</v>
      </c>
      <c r="B180" s="106"/>
      <c r="C180" s="67" t="str">
        <f t="array" aca="1" ref="C180" ca="1">CONCATENATE("粮 ",INDIRECT("'"&amp;$A180&amp;"'!D4"))</f>
        <v>粮 101200</v>
      </c>
      <c r="D180" s="55" t="s">
        <v>7</v>
      </c>
      <c r="E180" s="82">
        <f t="array" aca="1" ref="E180" ca="1">INDIRECT("'"&amp;$A180&amp;"'!I3")</f>
        <v>18</v>
      </c>
      <c r="F180" s="52">
        <f t="array" aca="1" ref="F180" ca="1">INDIRECT("'"&amp;$A180&amp;"'!C11")</f>
        <v>0</v>
      </c>
      <c r="G180" s="3">
        <f t="array" aca="1" ref="G180" ca="1">INDIRECT("'"&amp;$A180&amp;"'!D11")</f>
        <v>0</v>
      </c>
      <c r="H180" s="3">
        <f t="array" aca="1" ref="H180" ca="1">INDIRECT("'"&amp;$A180&amp;"'!E11")</f>
        <v>0</v>
      </c>
      <c r="I180" s="3">
        <f t="array" aca="1" ref="I180" ca="1">INDIRECT("'"&amp;$A180&amp;"'!F11")</f>
        <v>0</v>
      </c>
      <c r="J180" s="3">
        <f t="array" aca="1" ref="J180" ca="1">INDIRECT("'"&amp;$A180&amp;"'!G11")</f>
        <v>0</v>
      </c>
      <c r="K180" s="3">
        <f t="array" aca="1" ref="K180" ca="1">INDIRECT("'"&amp;$A180&amp;"'!H11")</f>
        <v>0</v>
      </c>
      <c r="L180" s="3">
        <f t="array" aca="1" ref="L180" ca="1">INDIRECT("'"&amp;$A180&amp;"'!I11")</f>
        <v>0</v>
      </c>
      <c r="M180" s="3">
        <f t="array" aca="1" ref="M180" ca="1">INDIRECT("'"&amp;$A180&amp;"'!J11")</f>
        <v>0</v>
      </c>
      <c r="N180" s="3">
        <f t="array" aca="1" ref="N180" ca="1">INDIRECT("'"&amp;$A180&amp;"'!K11")</f>
        <v>0</v>
      </c>
      <c r="O180" s="3">
        <f t="array" aca="1" ref="O180" ca="1">INDIRECT("'"&amp;$A180&amp;"'!L11")</f>
        <v>0</v>
      </c>
      <c r="P180" s="3">
        <f t="array" aca="1" ref="P180" ca="1">INDIRECT("'"&amp;$A180&amp;"'!M11")</f>
        <v>0</v>
      </c>
      <c r="Q180" s="3">
        <f t="array" aca="1" ref="Q180" ca="1">INDIRECT("'"&amp;$A180&amp;"'!N11")</f>
        <v>0</v>
      </c>
      <c r="R180" s="3">
        <f t="array" aca="1" ref="R180" ca="1">INDIRECT("'"&amp;$A180&amp;"'!O11")</f>
        <v>0</v>
      </c>
      <c r="S180" s="3">
        <f t="array" aca="1" ref="S180" ca="1">INDIRECT("'"&amp;$A180&amp;"'!P11")</f>
        <v>0</v>
      </c>
      <c r="T180" s="3">
        <f t="array" aca="1" ref="T180" ca="1">INDIRECT("'"&amp;$A180&amp;"'!Q11")</f>
        <v>0</v>
      </c>
      <c r="U180" s="3">
        <f t="array" aca="1" ref="U180" ca="1">INDIRECT("'"&amp;$A180&amp;"'!R11")</f>
        <v>0</v>
      </c>
      <c r="V180" s="3">
        <f t="array" aca="1" ref="V180" ca="1">INDIRECT("'"&amp;$A180&amp;"'!S11")</f>
        <v>0</v>
      </c>
      <c r="W180" s="3">
        <f t="array" aca="1" ref="W180" ca="1">INDIRECT("'"&amp;$A180&amp;"'!T11")</f>
        <v>0</v>
      </c>
      <c r="X180" s="3">
        <f t="array" aca="1" ref="X180" ca="1">INDIRECT("'"&amp;$A180&amp;"'!U11")</f>
        <v>0</v>
      </c>
      <c r="Y180" s="3">
        <f t="array" aca="1" ref="Y180" ca="1">INDIRECT("'"&amp;$A180&amp;"'!V11")</f>
        <v>0</v>
      </c>
      <c r="Z180" s="3">
        <f t="array" aca="1" ref="Z180" ca="1">INDIRECT("'"&amp;$A180&amp;"'!W11")</f>
        <v>0</v>
      </c>
      <c r="AA180" s="3">
        <f t="array" aca="1" ref="AA180" ca="1">INDIRECT("'"&amp;$A180&amp;"'!X11")</f>
        <v>0</v>
      </c>
      <c r="AB180" s="3">
        <f t="array" aca="1" ref="AB180" ca="1">INDIRECT("'"&amp;$A180&amp;"'!Y11")</f>
        <v>0</v>
      </c>
      <c r="AC180" s="3">
        <f t="array" aca="1" ref="AC180" ca="1">INDIRECT("'"&amp;$A180&amp;"'!Z11")</f>
        <v>0</v>
      </c>
      <c r="AD180" s="32">
        <f t="array" aca="1" ref="AD180" ca="1">INDIRECT("'"&amp;$A180&amp;"'!AA11")</f>
        <v>0</v>
      </c>
      <c r="AE180" s="82">
        <f t="array" aca="1" ref="AE180" ca="1">INDIRECT("'"&amp;$A180&amp;"'!J3")</f>
        <v>0</v>
      </c>
      <c r="AF180" s="53" t="str">
        <f t="array" aca="1" ref="AF180" ca="1">INDIRECT("'"&amp;$A180&amp;"'!AC1")</f>
        <v/>
      </c>
    </row>
    <row r="181" spans="1:32" ht="15.75" customHeight="1" thickBot="1">
      <c r="A181" s="58">
        <v>60</v>
      </c>
      <c r="B181" s="107"/>
      <c r="C181" s="77" t="str">
        <f t="array" aca="1" ref="C181" ca="1">CONCATENATE("分 ",INDIRECT("'"&amp;$A180&amp;"'!D6"))</f>
        <v>分 0</v>
      </c>
      <c r="D181" s="56" t="s">
        <v>8</v>
      </c>
      <c r="E181" s="83">
        <f t="array" aca="1" ref="E181" ca="1">INDIRECT("'"&amp;$A180&amp;"'!I4")</f>
        <v>18</v>
      </c>
      <c r="F181" s="52">
        <f t="array" aca="1" ref="F181" ca="1">INDIRECT("'"&amp;$A181&amp;"'!C14")</f>
        <v>0</v>
      </c>
      <c r="G181" s="3">
        <f t="array" aca="1" ref="G181" ca="1">INDIRECT("'"&amp;$A181&amp;"'!D14")</f>
        <v>0</v>
      </c>
      <c r="H181" s="3">
        <f t="array" aca="1" ref="H181" ca="1">INDIRECT("'"&amp;$A181&amp;"'!E14")</f>
        <v>0</v>
      </c>
      <c r="I181" s="3">
        <f t="array" aca="1" ref="I181" ca="1">INDIRECT("'"&amp;$A181&amp;"'!F14")</f>
        <v>0</v>
      </c>
      <c r="J181" s="3">
        <f t="array" aca="1" ref="J181" ca="1">INDIRECT("'"&amp;$A181&amp;"'!G14")</f>
        <v>0</v>
      </c>
      <c r="K181" s="3">
        <f t="array" aca="1" ref="K181" ca="1">INDIRECT("'"&amp;$A181&amp;"'!H14")</f>
        <v>0</v>
      </c>
      <c r="L181" s="3">
        <f t="array" aca="1" ref="L181" ca="1">INDIRECT("'"&amp;$A181&amp;"'!I14")</f>
        <v>0</v>
      </c>
      <c r="M181" s="3">
        <f t="array" aca="1" ref="M181" ca="1">INDIRECT("'"&amp;$A181&amp;"'!J14")</f>
        <v>0</v>
      </c>
      <c r="N181" s="3">
        <f t="array" aca="1" ref="N181" ca="1">INDIRECT("'"&amp;$A181&amp;"'!K14")</f>
        <v>0</v>
      </c>
      <c r="O181" s="3">
        <f t="array" aca="1" ref="O181" ca="1">INDIRECT("'"&amp;$A181&amp;"'!L14")</f>
        <v>0</v>
      </c>
      <c r="P181" s="3">
        <f t="array" aca="1" ref="P181" ca="1">INDIRECT("'"&amp;$A181&amp;"'!M14")</f>
        <v>0</v>
      </c>
      <c r="Q181" s="3">
        <f t="array" aca="1" ref="Q181" ca="1">INDIRECT("'"&amp;$A181&amp;"'!N14")</f>
        <v>0</v>
      </c>
      <c r="R181" s="3">
        <f t="array" aca="1" ref="R181" ca="1">INDIRECT("'"&amp;$A181&amp;"'!O14")</f>
        <v>0</v>
      </c>
      <c r="S181" s="3">
        <f t="array" aca="1" ref="S181" ca="1">INDIRECT("'"&amp;$A181&amp;"'!P14")</f>
        <v>0</v>
      </c>
      <c r="T181" s="3">
        <f t="array" aca="1" ref="T181" ca="1">INDIRECT("'"&amp;$A181&amp;"'!Q14")</f>
        <v>0</v>
      </c>
      <c r="U181" s="3">
        <f t="array" aca="1" ref="U181" ca="1">INDIRECT("'"&amp;$A181&amp;"'!R14")</f>
        <v>0</v>
      </c>
      <c r="V181" s="3">
        <f t="array" aca="1" ref="V181" ca="1">INDIRECT("'"&amp;$A181&amp;"'!S14")</f>
        <v>0</v>
      </c>
      <c r="W181" s="3">
        <f t="array" aca="1" ref="W181" ca="1">INDIRECT("'"&amp;$A181&amp;"'!T14")</f>
        <v>0</v>
      </c>
      <c r="X181" s="3">
        <f t="array" aca="1" ref="X181" ca="1">INDIRECT("'"&amp;$A181&amp;"'!U14")</f>
        <v>0</v>
      </c>
      <c r="Y181" s="3">
        <f t="array" aca="1" ref="Y181" ca="1">INDIRECT("'"&amp;$A181&amp;"'!V14")</f>
        <v>0</v>
      </c>
      <c r="Z181" s="3">
        <f t="array" aca="1" ref="Z181" ca="1">INDIRECT("'"&amp;$A181&amp;"'!W14")</f>
        <v>0</v>
      </c>
      <c r="AA181" s="3">
        <f t="array" aca="1" ref="AA181" ca="1">INDIRECT("'"&amp;$A181&amp;"'!X14")</f>
        <v>0</v>
      </c>
      <c r="AB181" s="3">
        <f t="array" aca="1" ref="AB181" ca="1">INDIRECT("'"&amp;$A181&amp;"'!Y14")</f>
        <v>0</v>
      </c>
      <c r="AC181" s="3">
        <f t="array" aca="1" ref="AC181" ca="1">INDIRECT("'"&amp;$A181&amp;"'!Z14")</f>
        <v>0</v>
      </c>
      <c r="AD181" s="32">
        <f t="array" aca="1" ref="AD181" ca="1">INDIRECT("'"&amp;$A181&amp;"'!AA14")</f>
        <v>0</v>
      </c>
      <c r="AE181" s="83">
        <f t="array" aca="1" ref="AE181" ca="1">INDIRECT("'"&amp;$A180&amp;"'!J4")</f>
        <v>0</v>
      </c>
      <c r="AF181" s="53"/>
    </row>
    <row r="182" spans="1:32">
      <c r="A182" s="58">
        <v>61</v>
      </c>
      <c r="B182" s="105">
        <f>INDEX(data!$I$2:$I$91,MATCH(A182*1,data!$G$2:$G$91,0))</f>
        <v>46245</v>
      </c>
      <c r="C182" s="66" t="str">
        <f>HYPERLINK("#'" &amp; A182 &amp; "'!A1", "编辑")</f>
        <v>编辑</v>
      </c>
      <c r="D182" s="54" t="s">
        <v>6</v>
      </c>
      <c r="E182" s="81">
        <f t="array" aca="1" ref="E182" ca="1">INDIRECT("'"&amp;$A183&amp;"'!I2")</f>
        <v>18</v>
      </c>
      <c r="F182" s="29">
        <f t="array" aca="1" ref="F182" ca="1">INDIRECT("'"&amp;$A182&amp;"'!C8")</f>
        <v>0</v>
      </c>
      <c r="G182" s="30">
        <f t="array" aca="1" ref="G182" ca="1">INDIRECT("'"&amp;$A182&amp;"'!D8")</f>
        <v>0</v>
      </c>
      <c r="H182" s="30">
        <f t="array" aca="1" ref="H182" ca="1">INDIRECT("'"&amp;$A182&amp;"'!E8")</f>
        <v>0</v>
      </c>
      <c r="I182" s="30">
        <f t="array" aca="1" ref="I182" ca="1">INDIRECT("'"&amp;$A182&amp;"'!F8")</f>
        <v>0</v>
      </c>
      <c r="J182" s="30">
        <f t="array" aca="1" ref="J182" ca="1">INDIRECT("'"&amp;$A182&amp;"'!G8")</f>
        <v>0</v>
      </c>
      <c r="K182" s="30">
        <f t="array" aca="1" ref="K182" ca="1">INDIRECT("'"&amp;$A182&amp;"'!H8")</f>
        <v>0</v>
      </c>
      <c r="L182" s="30">
        <f t="array" aca="1" ref="L182" ca="1">INDIRECT("'"&amp;$A182&amp;"'!I8")</f>
        <v>0</v>
      </c>
      <c r="M182" s="30">
        <f t="array" aca="1" ref="M182" ca="1">INDIRECT("'"&amp;$A182&amp;"'!J8")</f>
        <v>0</v>
      </c>
      <c r="N182" s="30">
        <f t="array" aca="1" ref="N182" ca="1">INDIRECT("'"&amp;$A182&amp;"'!K8")</f>
        <v>0</v>
      </c>
      <c r="O182" s="30">
        <f t="array" aca="1" ref="O182" ca="1">INDIRECT("'"&amp;$A182&amp;"'!L8")</f>
        <v>0</v>
      </c>
      <c r="P182" s="30">
        <f t="array" aca="1" ref="P182" ca="1">INDIRECT("'"&amp;$A182&amp;"'!M8")</f>
        <v>0</v>
      </c>
      <c r="Q182" s="30">
        <f t="array" aca="1" ref="Q182" ca="1">INDIRECT("'"&amp;$A182&amp;"'!N8")</f>
        <v>0</v>
      </c>
      <c r="R182" s="30">
        <f t="array" aca="1" ref="R182" ca="1">INDIRECT("'"&amp;$A182&amp;"'!O8")</f>
        <v>0</v>
      </c>
      <c r="S182" s="30">
        <f t="array" aca="1" ref="S182" ca="1">INDIRECT("'"&amp;$A182&amp;"'!P8")</f>
        <v>0</v>
      </c>
      <c r="T182" s="30">
        <f t="array" aca="1" ref="T182" ca="1">INDIRECT("'"&amp;$A182&amp;"'!Q8")</f>
        <v>0</v>
      </c>
      <c r="U182" s="30">
        <f t="array" aca="1" ref="U182" ca="1">INDIRECT("'"&amp;$A182&amp;"'!R8")</f>
        <v>0</v>
      </c>
      <c r="V182" s="30">
        <f t="array" aca="1" ref="V182" ca="1">INDIRECT("'"&amp;$A182&amp;"'!S8")</f>
        <v>0</v>
      </c>
      <c r="W182" s="30">
        <f t="array" aca="1" ref="W182" ca="1">INDIRECT("'"&amp;$A182&amp;"'!T8")</f>
        <v>0</v>
      </c>
      <c r="X182" s="30">
        <f t="array" aca="1" ref="X182" ca="1">INDIRECT("'"&amp;$A182&amp;"'!U8")</f>
        <v>0</v>
      </c>
      <c r="Y182" s="30">
        <f t="array" aca="1" ref="Y182" ca="1">INDIRECT("'"&amp;$A182&amp;"'!V8")</f>
        <v>0</v>
      </c>
      <c r="Z182" s="30">
        <f t="array" aca="1" ref="Z182" ca="1">INDIRECT("'"&amp;$A182&amp;"'!W8")</f>
        <v>0</v>
      </c>
      <c r="AA182" s="30">
        <f t="array" aca="1" ref="AA182" ca="1">INDIRECT("'"&amp;$A182&amp;"'!X8")</f>
        <v>0</v>
      </c>
      <c r="AB182" s="30">
        <f t="array" aca="1" ref="AB182" ca="1">INDIRECT("'"&amp;$A182&amp;"'!Y8")</f>
        <v>0</v>
      </c>
      <c r="AC182" s="30">
        <f t="array" aca="1" ref="AC182" ca="1">INDIRECT("'"&amp;$A182&amp;"'!Z8")</f>
        <v>0</v>
      </c>
      <c r="AD182" s="31">
        <f t="array" aca="1" ref="AD182" ca="1">INDIRECT("'"&amp;$A182&amp;"'!AA8")</f>
        <v>0</v>
      </c>
      <c r="AE182" s="81">
        <f t="array" aca="1" ref="AE182" ca="1">INDIRECT("'"&amp;$A183&amp;"'!J2")</f>
        <v>0</v>
      </c>
      <c r="AF182" s="53" t="str">
        <f t="array" aca="1" ref="AF182" ca="1">INDIRECT("'"&amp;$A183&amp;"'!AD1")</f>
        <v/>
      </c>
    </row>
    <row r="183" spans="1:32">
      <c r="A183" s="58">
        <v>61</v>
      </c>
      <c r="B183" s="106"/>
      <c r="C183" s="67" t="str">
        <f t="array" aca="1" ref="C183" ca="1">CONCATENATE("粮 ",INDIRECT("'"&amp;$A183&amp;"'!D4"))</f>
        <v>粮 102800</v>
      </c>
      <c r="D183" s="55" t="s">
        <v>7</v>
      </c>
      <c r="E183" s="82">
        <f t="array" aca="1" ref="E183" ca="1">INDIRECT("'"&amp;$A183&amp;"'!I3")</f>
        <v>18</v>
      </c>
      <c r="F183" s="52">
        <f t="array" aca="1" ref="F183" ca="1">INDIRECT("'"&amp;$A183&amp;"'!C11")</f>
        <v>0</v>
      </c>
      <c r="G183" s="3">
        <f t="array" aca="1" ref="G183" ca="1">INDIRECT("'"&amp;$A183&amp;"'!D11")</f>
        <v>0</v>
      </c>
      <c r="H183" s="3">
        <f t="array" aca="1" ref="H183" ca="1">INDIRECT("'"&amp;$A183&amp;"'!E11")</f>
        <v>0</v>
      </c>
      <c r="I183" s="3">
        <f t="array" aca="1" ref="I183" ca="1">INDIRECT("'"&amp;$A183&amp;"'!F11")</f>
        <v>0</v>
      </c>
      <c r="J183" s="3">
        <f t="array" aca="1" ref="J183" ca="1">INDIRECT("'"&amp;$A183&amp;"'!G11")</f>
        <v>0</v>
      </c>
      <c r="K183" s="3">
        <f t="array" aca="1" ref="K183" ca="1">INDIRECT("'"&amp;$A183&amp;"'!H11")</f>
        <v>0</v>
      </c>
      <c r="L183" s="3">
        <f t="array" aca="1" ref="L183" ca="1">INDIRECT("'"&amp;$A183&amp;"'!I11")</f>
        <v>0</v>
      </c>
      <c r="M183" s="3">
        <f t="array" aca="1" ref="M183" ca="1">INDIRECT("'"&amp;$A183&amp;"'!J11")</f>
        <v>0</v>
      </c>
      <c r="N183" s="3">
        <f t="array" aca="1" ref="N183" ca="1">INDIRECT("'"&amp;$A183&amp;"'!K11")</f>
        <v>0</v>
      </c>
      <c r="O183" s="3">
        <f t="array" aca="1" ref="O183" ca="1">INDIRECT("'"&amp;$A183&amp;"'!L11")</f>
        <v>0</v>
      </c>
      <c r="P183" s="3">
        <f t="array" aca="1" ref="P183" ca="1">INDIRECT("'"&amp;$A183&amp;"'!M11")</f>
        <v>0</v>
      </c>
      <c r="Q183" s="3">
        <f t="array" aca="1" ref="Q183" ca="1">INDIRECT("'"&amp;$A183&amp;"'!N11")</f>
        <v>0</v>
      </c>
      <c r="R183" s="3">
        <f t="array" aca="1" ref="R183" ca="1">INDIRECT("'"&amp;$A183&amp;"'!O11")</f>
        <v>0</v>
      </c>
      <c r="S183" s="3">
        <f t="array" aca="1" ref="S183" ca="1">INDIRECT("'"&amp;$A183&amp;"'!P11")</f>
        <v>0</v>
      </c>
      <c r="T183" s="3">
        <f t="array" aca="1" ref="T183" ca="1">INDIRECT("'"&amp;$A183&amp;"'!Q11")</f>
        <v>0</v>
      </c>
      <c r="U183" s="3">
        <f t="array" aca="1" ref="U183" ca="1">INDIRECT("'"&amp;$A183&amp;"'!R11")</f>
        <v>0</v>
      </c>
      <c r="V183" s="3">
        <f t="array" aca="1" ref="V183" ca="1">INDIRECT("'"&amp;$A183&amp;"'!S11")</f>
        <v>0</v>
      </c>
      <c r="W183" s="3">
        <f t="array" aca="1" ref="W183" ca="1">INDIRECT("'"&amp;$A183&amp;"'!T11")</f>
        <v>0</v>
      </c>
      <c r="X183" s="3">
        <f t="array" aca="1" ref="X183" ca="1">INDIRECT("'"&amp;$A183&amp;"'!U11")</f>
        <v>0</v>
      </c>
      <c r="Y183" s="3">
        <f t="array" aca="1" ref="Y183" ca="1">INDIRECT("'"&amp;$A183&amp;"'!V11")</f>
        <v>0</v>
      </c>
      <c r="Z183" s="3">
        <f t="array" aca="1" ref="Z183" ca="1">INDIRECT("'"&amp;$A183&amp;"'!W11")</f>
        <v>0</v>
      </c>
      <c r="AA183" s="3">
        <f t="array" aca="1" ref="AA183" ca="1">INDIRECT("'"&amp;$A183&amp;"'!X11")</f>
        <v>0</v>
      </c>
      <c r="AB183" s="3">
        <f t="array" aca="1" ref="AB183" ca="1">INDIRECT("'"&amp;$A183&amp;"'!Y11")</f>
        <v>0</v>
      </c>
      <c r="AC183" s="3">
        <f t="array" aca="1" ref="AC183" ca="1">INDIRECT("'"&amp;$A183&amp;"'!Z11")</f>
        <v>0</v>
      </c>
      <c r="AD183" s="32">
        <f t="array" aca="1" ref="AD183" ca="1">INDIRECT("'"&amp;$A183&amp;"'!AA11")</f>
        <v>0</v>
      </c>
      <c r="AE183" s="82">
        <f t="array" aca="1" ref="AE183" ca="1">INDIRECT("'"&amp;$A183&amp;"'!J3")</f>
        <v>0</v>
      </c>
      <c r="AF183" s="53" t="str">
        <f t="array" aca="1" ref="AF183" ca="1">INDIRECT("'"&amp;$A183&amp;"'!AC1")</f>
        <v/>
      </c>
    </row>
    <row r="184" spans="1:32" ht="15.75" customHeight="1" thickBot="1">
      <c r="A184" s="58">
        <v>61</v>
      </c>
      <c r="B184" s="107"/>
      <c r="C184" s="77" t="str">
        <f t="array" aca="1" ref="C184" ca="1">CONCATENATE("分 ",INDIRECT("'"&amp;$A183&amp;"'!D6"))</f>
        <v>分 0</v>
      </c>
      <c r="D184" s="56" t="s">
        <v>8</v>
      </c>
      <c r="E184" s="83">
        <f t="array" aca="1" ref="E184" ca="1">INDIRECT("'"&amp;$A183&amp;"'!I4")</f>
        <v>18</v>
      </c>
      <c r="F184" s="52">
        <f t="array" aca="1" ref="F184" ca="1">INDIRECT("'"&amp;$A184&amp;"'!C14")</f>
        <v>0</v>
      </c>
      <c r="G184" s="3">
        <f t="array" aca="1" ref="G184" ca="1">INDIRECT("'"&amp;$A184&amp;"'!D14")</f>
        <v>0</v>
      </c>
      <c r="H184" s="3">
        <f t="array" aca="1" ref="H184" ca="1">INDIRECT("'"&amp;$A184&amp;"'!E14")</f>
        <v>0</v>
      </c>
      <c r="I184" s="3">
        <f t="array" aca="1" ref="I184" ca="1">INDIRECT("'"&amp;$A184&amp;"'!F14")</f>
        <v>0</v>
      </c>
      <c r="J184" s="3">
        <f t="array" aca="1" ref="J184" ca="1">INDIRECT("'"&amp;$A184&amp;"'!G14")</f>
        <v>0</v>
      </c>
      <c r="K184" s="3">
        <f t="array" aca="1" ref="K184" ca="1">INDIRECT("'"&amp;$A184&amp;"'!H14")</f>
        <v>0</v>
      </c>
      <c r="L184" s="3">
        <f t="array" aca="1" ref="L184" ca="1">INDIRECT("'"&amp;$A184&amp;"'!I14")</f>
        <v>0</v>
      </c>
      <c r="M184" s="3">
        <f t="array" aca="1" ref="M184" ca="1">INDIRECT("'"&amp;$A184&amp;"'!J14")</f>
        <v>0</v>
      </c>
      <c r="N184" s="3">
        <f t="array" aca="1" ref="N184" ca="1">INDIRECT("'"&amp;$A184&amp;"'!K14")</f>
        <v>0</v>
      </c>
      <c r="O184" s="3">
        <f t="array" aca="1" ref="O184" ca="1">INDIRECT("'"&amp;$A184&amp;"'!L14")</f>
        <v>0</v>
      </c>
      <c r="P184" s="3">
        <f t="array" aca="1" ref="P184" ca="1">INDIRECT("'"&amp;$A184&amp;"'!M14")</f>
        <v>0</v>
      </c>
      <c r="Q184" s="3">
        <f t="array" aca="1" ref="Q184" ca="1">INDIRECT("'"&amp;$A184&amp;"'!N14")</f>
        <v>0</v>
      </c>
      <c r="R184" s="3">
        <f t="array" aca="1" ref="R184" ca="1">INDIRECT("'"&amp;$A184&amp;"'!O14")</f>
        <v>0</v>
      </c>
      <c r="S184" s="3">
        <f t="array" aca="1" ref="S184" ca="1">INDIRECT("'"&amp;$A184&amp;"'!P14")</f>
        <v>0</v>
      </c>
      <c r="T184" s="3">
        <f t="array" aca="1" ref="T184" ca="1">INDIRECT("'"&amp;$A184&amp;"'!Q14")</f>
        <v>0</v>
      </c>
      <c r="U184" s="3">
        <f t="array" aca="1" ref="U184" ca="1">INDIRECT("'"&amp;$A184&amp;"'!R14")</f>
        <v>0</v>
      </c>
      <c r="V184" s="3">
        <f t="array" aca="1" ref="V184" ca="1">INDIRECT("'"&amp;$A184&amp;"'!S14")</f>
        <v>0</v>
      </c>
      <c r="W184" s="3">
        <f t="array" aca="1" ref="W184" ca="1">INDIRECT("'"&amp;$A184&amp;"'!T14")</f>
        <v>0</v>
      </c>
      <c r="X184" s="3">
        <f t="array" aca="1" ref="X184" ca="1">INDIRECT("'"&amp;$A184&amp;"'!U14")</f>
        <v>0</v>
      </c>
      <c r="Y184" s="3">
        <f t="array" aca="1" ref="Y184" ca="1">INDIRECT("'"&amp;$A184&amp;"'!V14")</f>
        <v>0</v>
      </c>
      <c r="Z184" s="3">
        <f t="array" aca="1" ref="Z184" ca="1">INDIRECT("'"&amp;$A184&amp;"'!W14")</f>
        <v>0</v>
      </c>
      <c r="AA184" s="3">
        <f t="array" aca="1" ref="AA184" ca="1">INDIRECT("'"&amp;$A184&amp;"'!X14")</f>
        <v>0</v>
      </c>
      <c r="AB184" s="3">
        <f t="array" aca="1" ref="AB184" ca="1">INDIRECT("'"&amp;$A184&amp;"'!Y14")</f>
        <v>0</v>
      </c>
      <c r="AC184" s="3">
        <f t="array" aca="1" ref="AC184" ca="1">INDIRECT("'"&amp;$A184&amp;"'!Z14")</f>
        <v>0</v>
      </c>
      <c r="AD184" s="32">
        <f t="array" aca="1" ref="AD184" ca="1">INDIRECT("'"&amp;$A184&amp;"'!AA14")</f>
        <v>0</v>
      </c>
      <c r="AE184" s="83">
        <f t="array" aca="1" ref="AE184" ca="1">INDIRECT("'"&amp;$A183&amp;"'!J4")</f>
        <v>0</v>
      </c>
      <c r="AF184" s="53"/>
    </row>
    <row r="185" spans="1:32">
      <c r="A185" s="58">
        <v>62</v>
      </c>
      <c r="B185" s="105">
        <f>INDEX(data!$I$2:$I$91,MATCH(A185*1,data!$G$2:$G$91,0))</f>
        <v>46246</v>
      </c>
      <c r="C185" s="66" t="str">
        <f>HYPERLINK("#'" &amp; A185 &amp; "'!A1", "编辑")</f>
        <v>编辑</v>
      </c>
      <c r="D185" s="54" t="s">
        <v>6</v>
      </c>
      <c r="E185" s="81">
        <f t="array" aca="1" ref="E185" ca="1">INDIRECT("'"&amp;$A186&amp;"'!I2")</f>
        <v>18</v>
      </c>
      <c r="F185" s="29">
        <f t="array" aca="1" ref="F185" ca="1">INDIRECT("'"&amp;$A185&amp;"'!C8")</f>
        <v>0</v>
      </c>
      <c r="G185" s="30">
        <f t="array" aca="1" ref="G185" ca="1">INDIRECT("'"&amp;$A185&amp;"'!D8")</f>
        <v>0</v>
      </c>
      <c r="H185" s="30">
        <f t="array" aca="1" ref="H185" ca="1">INDIRECT("'"&amp;$A185&amp;"'!E8")</f>
        <v>0</v>
      </c>
      <c r="I185" s="30">
        <f t="array" aca="1" ref="I185" ca="1">INDIRECT("'"&amp;$A185&amp;"'!F8")</f>
        <v>0</v>
      </c>
      <c r="J185" s="30">
        <f t="array" aca="1" ref="J185" ca="1">INDIRECT("'"&amp;$A185&amp;"'!G8")</f>
        <v>0</v>
      </c>
      <c r="K185" s="30">
        <f t="array" aca="1" ref="K185" ca="1">INDIRECT("'"&amp;$A185&amp;"'!H8")</f>
        <v>0</v>
      </c>
      <c r="L185" s="30">
        <f t="array" aca="1" ref="L185" ca="1">INDIRECT("'"&amp;$A185&amp;"'!I8")</f>
        <v>0</v>
      </c>
      <c r="M185" s="30">
        <f t="array" aca="1" ref="M185" ca="1">INDIRECT("'"&amp;$A185&amp;"'!J8")</f>
        <v>0</v>
      </c>
      <c r="N185" s="30">
        <f t="array" aca="1" ref="N185" ca="1">INDIRECT("'"&amp;$A185&amp;"'!K8")</f>
        <v>0</v>
      </c>
      <c r="O185" s="30">
        <f t="array" aca="1" ref="O185" ca="1">INDIRECT("'"&amp;$A185&amp;"'!L8")</f>
        <v>0</v>
      </c>
      <c r="P185" s="30">
        <f t="array" aca="1" ref="P185" ca="1">INDIRECT("'"&amp;$A185&amp;"'!M8")</f>
        <v>0</v>
      </c>
      <c r="Q185" s="30">
        <f t="array" aca="1" ref="Q185" ca="1">INDIRECT("'"&amp;$A185&amp;"'!N8")</f>
        <v>0</v>
      </c>
      <c r="R185" s="30">
        <f t="array" aca="1" ref="R185" ca="1">INDIRECT("'"&amp;$A185&amp;"'!O8")</f>
        <v>0</v>
      </c>
      <c r="S185" s="30">
        <f t="array" aca="1" ref="S185" ca="1">INDIRECT("'"&amp;$A185&amp;"'!P8")</f>
        <v>0</v>
      </c>
      <c r="T185" s="30">
        <f t="array" aca="1" ref="T185" ca="1">INDIRECT("'"&amp;$A185&amp;"'!Q8")</f>
        <v>0</v>
      </c>
      <c r="U185" s="30">
        <f t="array" aca="1" ref="U185" ca="1">INDIRECT("'"&amp;$A185&amp;"'!R8")</f>
        <v>0</v>
      </c>
      <c r="V185" s="30">
        <f t="array" aca="1" ref="V185" ca="1">INDIRECT("'"&amp;$A185&amp;"'!S8")</f>
        <v>0</v>
      </c>
      <c r="W185" s="30">
        <f t="array" aca="1" ref="W185" ca="1">INDIRECT("'"&amp;$A185&amp;"'!T8")</f>
        <v>0</v>
      </c>
      <c r="X185" s="30">
        <f t="array" aca="1" ref="X185" ca="1">INDIRECT("'"&amp;$A185&amp;"'!U8")</f>
        <v>0</v>
      </c>
      <c r="Y185" s="30">
        <f t="array" aca="1" ref="Y185" ca="1">INDIRECT("'"&amp;$A185&amp;"'!V8")</f>
        <v>0</v>
      </c>
      <c r="Z185" s="30">
        <f t="array" aca="1" ref="Z185" ca="1">INDIRECT("'"&amp;$A185&amp;"'!W8")</f>
        <v>0</v>
      </c>
      <c r="AA185" s="30">
        <f t="array" aca="1" ref="AA185" ca="1">INDIRECT("'"&amp;$A185&amp;"'!X8")</f>
        <v>0</v>
      </c>
      <c r="AB185" s="30">
        <f t="array" aca="1" ref="AB185" ca="1">INDIRECT("'"&amp;$A185&amp;"'!Y8")</f>
        <v>0</v>
      </c>
      <c r="AC185" s="30">
        <f t="array" aca="1" ref="AC185" ca="1">INDIRECT("'"&amp;$A185&amp;"'!Z8")</f>
        <v>0</v>
      </c>
      <c r="AD185" s="31">
        <f t="array" aca="1" ref="AD185" ca="1">INDIRECT("'"&amp;$A185&amp;"'!AA8")</f>
        <v>0</v>
      </c>
      <c r="AE185" s="81">
        <f t="array" aca="1" ref="AE185" ca="1">INDIRECT("'"&amp;$A186&amp;"'!J2")</f>
        <v>0</v>
      </c>
      <c r="AF185" s="53" t="str">
        <f t="array" aca="1" ref="AF185" ca="1">INDIRECT("'"&amp;$A186&amp;"'!AD1")</f>
        <v/>
      </c>
    </row>
    <row r="186" spans="1:32">
      <c r="A186" s="58">
        <v>62</v>
      </c>
      <c r="B186" s="106"/>
      <c r="C186" s="67" t="str">
        <f t="array" aca="1" ref="C186" ca="1">CONCATENATE("粮 ",INDIRECT("'"&amp;$A186&amp;"'!D4"))</f>
        <v>粮 104400</v>
      </c>
      <c r="D186" s="55" t="s">
        <v>7</v>
      </c>
      <c r="E186" s="82">
        <f t="array" aca="1" ref="E186" ca="1">INDIRECT("'"&amp;$A186&amp;"'!I3")</f>
        <v>18</v>
      </c>
      <c r="F186" s="52">
        <f t="array" aca="1" ref="F186" ca="1">INDIRECT("'"&amp;$A186&amp;"'!C11")</f>
        <v>0</v>
      </c>
      <c r="G186" s="3">
        <f t="array" aca="1" ref="G186" ca="1">INDIRECT("'"&amp;$A186&amp;"'!D11")</f>
        <v>0</v>
      </c>
      <c r="H186" s="3">
        <f t="array" aca="1" ref="H186" ca="1">INDIRECT("'"&amp;$A186&amp;"'!E11")</f>
        <v>0</v>
      </c>
      <c r="I186" s="3">
        <f t="array" aca="1" ref="I186" ca="1">INDIRECT("'"&amp;$A186&amp;"'!F11")</f>
        <v>0</v>
      </c>
      <c r="J186" s="3">
        <f t="array" aca="1" ref="J186" ca="1">INDIRECT("'"&amp;$A186&amp;"'!G11")</f>
        <v>0</v>
      </c>
      <c r="K186" s="3">
        <f t="array" aca="1" ref="K186" ca="1">INDIRECT("'"&amp;$A186&amp;"'!H11")</f>
        <v>0</v>
      </c>
      <c r="L186" s="3">
        <f t="array" aca="1" ref="L186" ca="1">INDIRECT("'"&amp;$A186&amp;"'!I11")</f>
        <v>0</v>
      </c>
      <c r="M186" s="3">
        <f t="array" aca="1" ref="M186" ca="1">INDIRECT("'"&amp;$A186&amp;"'!J11")</f>
        <v>0</v>
      </c>
      <c r="N186" s="3">
        <f t="array" aca="1" ref="N186" ca="1">INDIRECT("'"&amp;$A186&amp;"'!K11")</f>
        <v>0</v>
      </c>
      <c r="O186" s="3">
        <f t="array" aca="1" ref="O186" ca="1">INDIRECT("'"&amp;$A186&amp;"'!L11")</f>
        <v>0</v>
      </c>
      <c r="P186" s="3">
        <f t="array" aca="1" ref="P186" ca="1">INDIRECT("'"&amp;$A186&amp;"'!M11")</f>
        <v>0</v>
      </c>
      <c r="Q186" s="3">
        <f t="array" aca="1" ref="Q186" ca="1">INDIRECT("'"&amp;$A186&amp;"'!N11")</f>
        <v>0</v>
      </c>
      <c r="R186" s="3">
        <f t="array" aca="1" ref="R186" ca="1">INDIRECT("'"&amp;$A186&amp;"'!O11")</f>
        <v>0</v>
      </c>
      <c r="S186" s="3">
        <f t="array" aca="1" ref="S186" ca="1">INDIRECT("'"&amp;$A186&amp;"'!P11")</f>
        <v>0</v>
      </c>
      <c r="T186" s="3">
        <f t="array" aca="1" ref="T186" ca="1">INDIRECT("'"&amp;$A186&amp;"'!Q11")</f>
        <v>0</v>
      </c>
      <c r="U186" s="3">
        <f t="array" aca="1" ref="U186" ca="1">INDIRECT("'"&amp;$A186&amp;"'!R11")</f>
        <v>0</v>
      </c>
      <c r="V186" s="3">
        <f t="array" aca="1" ref="V186" ca="1">INDIRECT("'"&amp;$A186&amp;"'!S11")</f>
        <v>0</v>
      </c>
      <c r="W186" s="3">
        <f t="array" aca="1" ref="W186" ca="1">INDIRECT("'"&amp;$A186&amp;"'!T11")</f>
        <v>0</v>
      </c>
      <c r="X186" s="3">
        <f t="array" aca="1" ref="X186" ca="1">INDIRECT("'"&amp;$A186&amp;"'!U11")</f>
        <v>0</v>
      </c>
      <c r="Y186" s="3">
        <f t="array" aca="1" ref="Y186" ca="1">INDIRECT("'"&amp;$A186&amp;"'!V11")</f>
        <v>0</v>
      </c>
      <c r="Z186" s="3">
        <f t="array" aca="1" ref="Z186" ca="1">INDIRECT("'"&amp;$A186&amp;"'!W11")</f>
        <v>0</v>
      </c>
      <c r="AA186" s="3">
        <f t="array" aca="1" ref="AA186" ca="1">INDIRECT("'"&amp;$A186&amp;"'!X11")</f>
        <v>0</v>
      </c>
      <c r="AB186" s="3">
        <f t="array" aca="1" ref="AB186" ca="1">INDIRECT("'"&amp;$A186&amp;"'!Y11")</f>
        <v>0</v>
      </c>
      <c r="AC186" s="3">
        <f t="array" aca="1" ref="AC186" ca="1">INDIRECT("'"&amp;$A186&amp;"'!Z11")</f>
        <v>0</v>
      </c>
      <c r="AD186" s="32">
        <f t="array" aca="1" ref="AD186" ca="1">INDIRECT("'"&amp;$A186&amp;"'!AA11")</f>
        <v>0</v>
      </c>
      <c r="AE186" s="82">
        <f t="array" aca="1" ref="AE186" ca="1">INDIRECT("'"&amp;$A186&amp;"'!J3")</f>
        <v>0</v>
      </c>
      <c r="AF186" s="53" t="str">
        <f t="array" aca="1" ref="AF186" ca="1">INDIRECT("'"&amp;$A186&amp;"'!AC1")</f>
        <v/>
      </c>
    </row>
    <row r="187" spans="1:32" ht="15.75" customHeight="1" thickBot="1">
      <c r="A187" s="58">
        <v>62</v>
      </c>
      <c r="B187" s="107"/>
      <c r="C187" s="77" t="str">
        <f t="array" aca="1" ref="C187" ca="1">CONCATENATE("分 ",INDIRECT("'"&amp;$A186&amp;"'!D6"))</f>
        <v>分 0</v>
      </c>
      <c r="D187" s="56" t="s">
        <v>8</v>
      </c>
      <c r="E187" s="83">
        <f t="array" aca="1" ref="E187" ca="1">INDIRECT("'"&amp;$A186&amp;"'!I4")</f>
        <v>18</v>
      </c>
      <c r="F187" s="52">
        <f t="array" aca="1" ref="F187" ca="1">INDIRECT("'"&amp;$A187&amp;"'!C14")</f>
        <v>0</v>
      </c>
      <c r="G187" s="3">
        <f t="array" aca="1" ref="G187" ca="1">INDIRECT("'"&amp;$A187&amp;"'!D14")</f>
        <v>0</v>
      </c>
      <c r="H187" s="3">
        <f t="array" aca="1" ref="H187" ca="1">INDIRECT("'"&amp;$A187&amp;"'!E14")</f>
        <v>0</v>
      </c>
      <c r="I187" s="3">
        <f t="array" aca="1" ref="I187" ca="1">INDIRECT("'"&amp;$A187&amp;"'!F14")</f>
        <v>0</v>
      </c>
      <c r="J187" s="3">
        <f t="array" aca="1" ref="J187" ca="1">INDIRECT("'"&amp;$A187&amp;"'!G14")</f>
        <v>0</v>
      </c>
      <c r="K187" s="3">
        <f t="array" aca="1" ref="K187" ca="1">INDIRECT("'"&amp;$A187&amp;"'!H14")</f>
        <v>0</v>
      </c>
      <c r="L187" s="3">
        <f t="array" aca="1" ref="L187" ca="1">INDIRECT("'"&amp;$A187&amp;"'!I14")</f>
        <v>0</v>
      </c>
      <c r="M187" s="3">
        <f t="array" aca="1" ref="M187" ca="1">INDIRECT("'"&amp;$A187&amp;"'!J14")</f>
        <v>0</v>
      </c>
      <c r="N187" s="3">
        <f t="array" aca="1" ref="N187" ca="1">INDIRECT("'"&amp;$A187&amp;"'!K14")</f>
        <v>0</v>
      </c>
      <c r="O187" s="3">
        <f t="array" aca="1" ref="O187" ca="1">INDIRECT("'"&amp;$A187&amp;"'!L14")</f>
        <v>0</v>
      </c>
      <c r="P187" s="3">
        <f t="array" aca="1" ref="P187" ca="1">INDIRECT("'"&amp;$A187&amp;"'!M14")</f>
        <v>0</v>
      </c>
      <c r="Q187" s="3">
        <f t="array" aca="1" ref="Q187" ca="1">INDIRECT("'"&amp;$A187&amp;"'!N14")</f>
        <v>0</v>
      </c>
      <c r="R187" s="3">
        <f t="array" aca="1" ref="R187" ca="1">INDIRECT("'"&amp;$A187&amp;"'!O14")</f>
        <v>0</v>
      </c>
      <c r="S187" s="3">
        <f t="array" aca="1" ref="S187" ca="1">INDIRECT("'"&amp;$A187&amp;"'!P14")</f>
        <v>0</v>
      </c>
      <c r="T187" s="3">
        <f t="array" aca="1" ref="T187" ca="1">INDIRECT("'"&amp;$A187&amp;"'!Q14")</f>
        <v>0</v>
      </c>
      <c r="U187" s="3">
        <f t="array" aca="1" ref="U187" ca="1">INDIRECT("'"&amp;$A187&amp;"'!R14")</f>
        <v>0</v>
      </c>
      <c r="V187" s="3">
        <f t="array" aca="1" ref="V187" ca="1">INDIRECT("'"&amp;$A187&amp;"'!S14")</f>
        <v>0</v>
      </c>
      <c r="W187" s="3">
        <f t="array" aca="1" ref="W187" ca="1">INDIRECT("'"&amp;$A187&amp;"'!T14")</f>
        <v>0</v>
      </c>
      <c r="X187" s="3">
        <f t="array" aca="1" ref="X187" ca="1">INDIRECT("'"&amp;$A187&amp;"'!U14")</f>
        <v>0</v>
      </c>
      <c r="Y187" s="3">
        <f t="array" aca="1" ref="Y187" ca="1">INDIRECT("'"&amp;$A187&amp;"'!V14")</f>
        <v>0</v>
      </c>
      <c r="Z187" s="3">
        <f t="array" aca="1" ref="Z187" ca="1">INDIRECT("'"&amp;$A187&amp;"'!W14")</f>
        <v>0</v>
      </c>
      <c r="AA187" s="3">
        <f t="array" aca="1" ref="AA187" ca="1">INDIRECT("'"&amp;$A187&amp;"'!X14")</f>
        <v>0</v>
      </c>
      <c r="AB187" s="3">
        <f t="array" aca="1" ref="AB187" ca="1">INDIRECT("'"&amp;$A187&amp;"'!Y14")</f>
        <v>0</v>
      </c>
      <c r="AC187" s="3">
        <f t="array" aca="1" ref="AC187" ca="1">INDIRECT("'"&amp;$A187&amp;"'!Z14")</f>
        <v>0</v>
      </c>
      <c r="AD187" s="32">
        <f t="array" aca="1" ref="AD187" ca="1">INDIRECT("'"&amp;$A187&amp;"'!AA14")</f>
        <v>0</v>
      </c>
      <c r="AE187" s="83">
        <f t="array" aca="1" ref="AE187" ca="1">INDIRECT("'"&amp;$A186&amp;"'!J4")</f>
        <v>0</v>
      </c>
      <c r="AF187" s="53"/>
    </row>
    <row r="188" spans="1:32">
      <c r="A188" s="58">
        <v>63</v>
      </c>
      <c r="B188" s="105">
        <f>INDEX(data!$I$2:$I$91,MATCH(A188*1,data!$G$2:$G$91,0))</f>
        <v>46247</v>
      </c>
      <c r="C188" s="66" t="str">
        <f>HYPERLINK("#'" &amp; A188 &amp; "'!A1", "编辑")</f>
        <v>编辑</v>
      </c>
      <c r="D188" s="54" t="s">
        <v>6</v>
      </c>
      <c r="E188" s="81">
        <f t="array" aca="1" ref="E188" ca="1">INDIRECT("'"&amp;$A189&amp;"'!I2")</f>
        <v>18</v>
      </c>
      <c r="F188" s="29">
        <f t="array" aca="1" ref="F188" ca="1">INDIRECT("'"&amp;$A188&amp;"'!C8")</f>
        <v>0</v>
      </c>
      <c r="G188" s="30">
        <f t="array" aca="1" ref="G188" ca="1">INDIRECT("'"&amp;$A188&amp;"'!D8")</f>
        <v>0</v>
      </c>
      <c r="H188" s="30">
        <f t="array" aca="1" ref="H188" ca="1">INDIRECT("'"&amp;$A188&amp;"'!E8")</f>
        <v>0</v>
      </c>
      <c r="I188" s="30">
        <f t="array" aca="1" ref="I188" ca="1">INDIRECT("'"&amp;$A188&amp;"'!F8")</f>
        <v>0</v>
      </c>
      <c r="J188" s="30">
        <f t="array" aca="1" ref="J188" ca="1">INDIRECT("'"&amp;$A188&amp;"'!G8")</f>
        <v>0</v>
      </c>
      <c r="K188" s="30">
        <f t="array" aca="1" ref="K188" ca="1">INDIRECT("'"&amp;$A188&amp;"'!H8")</f>
        <v>0</v>
      </c>
      <c r="L188" s="30">
        <f t="array" aca="1" ref="L188" ca="1">INDIRECT("'"&amp;$A188&amp;"'!I8")</f>
        <v>0</v>
      </c>
      <c r="M188" s="30">
        <f t="array" aca="1" ref="M188" ca="1">INDIRECT("'"&amp;$A188&amp;"'!J8")</f>
        <v>0</v>
      </c>
      <c r="N188" s="30">
        <f t="array" aca="1" ref="N188" ca="1">INDIRECT("'"&amp;$A188&amp;"'!K8")</f>
        <v>0</v>
      </c>
      <c r="O188" s="30">
        <f t="array" aca="1" ref="O188" ca="1">INDIRECT("'"&amp;$A188&amp;"'!L8")</f>
        <v>0</v>
      </c>
      <c r="P188" s="30">
        <f t="array" aca="1" ref="P188" ca="1">INDIRECT("'"&amp;$A188&amp;"'!M8")</f>
        <v>0</v>
      </c>
      <c r="Q188" s="30">
        <f t="array" aca="1" ref="Q188" ca="1">INDIRECT("'"&amp;$A188&amp;"'!N8")</f>
        <v>0</v>
      </c>
      <c r="R188" s="30">
        <f t="array" aca="1" ref="R188" ca="1">INDIRECT("'"&amp;$A188&amp;"'!O8")</f>
        <v>0</v>
      </c>
      <c r="S188" s="30">
        <f t="array" aca="1" ref="S188" ca="1">INDIRECT("'"&amp;$A188&amp;"'!P8")</f>
        <v>0</v>
      </c>
      <c r="T188" s="30">
        <f t="array" aca="1" ref="T188" ca="1">INDIRECT("'"&amp;$A188&amp;"'!Q8")</f>
        <v>0</v>
      </c>
      <c r="U188" s="30">
        <f t="array" aca="1" ref="U188" ca="1">INDIRECT("'"&amp;$A188&amp;"'!R8")</f>
        <v>0</v>
      </c>
      <c r="V188" s="30">
        <f t="array" aca="1" ref="V188" ca="1">INDIRECT("'"&amp;$A188&amp;"'!S8")</f>
        <v>0</v>
      </c>
      <c r="W188" s="30">
        <f t="array" aca="1" ref="W188" ca="1">INDIRECT("'"&amp;$A188&amp;"'!T8")</f>
        <v>0</v>
      </c>
      <c r="X188" s="30">
        <f t="array" aca="1" ref="X188" ca="1">INDIRECT("'"&amp;$A188&amp;"'!U8")</f>
        <v>0</v>
      </c>
      <c r="Y188" s="30">
        <f t="array" aca="1" ref="Y188" ca="1">INDIRECT("'"&amp;$A188&amp;"'!V8")</f>
        <v>0</v>
      </c>
      <c r="Z188" s="30">
        <f t="array" aca="1" ref="Z188" ca="1">INDIRECT("'"&amp;$A188&amp;"'!W8")</f>
        <v>0</v>
      </c>
      <c r="AA188" s="30">
        <f t="array" aca="1" ref="AA188" ca="1">INDIRECT("'"&amp;$A188&amp;"'!X8")</f>
        <v>0</v>
      </c>
      <c r="AB188" s="30">
        <f t="array" aca="1" ref="AB188" ca="1">INDIRECT("'"&amp;$A188&amp;"'!Y8")</f>
        <v>0</v>
      </c>
      <c r="AC188" s="30">
        <f t="array" aca="1" ref="AC188" ca="1">INDIRECT("'"&amp;$A188&amp;"'!Z8")</f>
        <v>0</v>
      </c>
      <c r="AD188" s="31">
        <f t="array" aca="1" ref="AD188" ca="1">INDIRECT("'"&amp;$A188&amp;"'!AA8")</f>
        <v>0</v>
      </c>
      <c r="AE188" s="81">
        <f t="array" aca="1" ref="AE188" ca="1">INDIRECT("'"&amp;$A189&amp;"'!J2")</f>
        <v>0</v>
      </c>
      <c r="AF188" s="53" t="str">
        <f t="array" aca="1" ref="AF188" ca="1">INDIRECT("'"&amp;$A189&amp;"'!AD1")</f>
        <v/>
      </c>
    </row>
    <row r="189" spans="1:32">
      <c r="A189" s="58">
        <v>63</v>
      </c>
      <c r="B189" s="106"/>
      <c r="C189" s="67" t="str">
        <f t="array" aca="1" ref="C189" ca="1">CONCATENATE("粮 ",INDIRECT("'"&amp;$A189&amp;"'!D4"))</f>
        <v>粮 106000</v>
      </c>
      <c r="D189" s="55" t="s">
        <v>7</v>
      </c>
      <c r="E189" s="82">
        <f t="array" aca="1" ref="E189" ca="1">INDIRECT("'"&amp;$A189&amp;"'!I3")</f>
        <v>18</v>
      </c>
      <c r="F189" s="52">
        <f t="array" aca="1" ref="F189" ca="1">INDIRECT("'"&amp;$A189&amp;"'!C11")</f>
        <v>0</v>
      </c>
      <c r="G189" s="3">
        <f t="array" aca="1" ref="G189" ca="1">INDIRECT("'"&amp;$A189&amp;"'!D11")</f>
        <v>0</v>
      </c>
      <c r="H189" s="3">
        <f t="array" aca="1" ref="H189" ca="1">INDIRECT("'"&amp;$A189&amp;"'!E11")</f>
        <v>0</v>
      </c>
      <c r="I189" s="3">
        <f t="array" aca="1" ref="I189" ca="1">INDIRECT("'"&amp;$A189&amp;"'!F11")</f>
        <v>0</v>
      </c>
      <c r="J189" s="3">
        <f t="array" aca="1" ref="J189" ca="1">INDIRECT("'"&amp;$A189&amp;"'!G11")</f>
        <v>0</v>
      </c>
      <c r="K189" s="3">
        <f t="array" aca="1" ref="K189" ca="1">INDIRECT("'"&amp;$A189&amp;"'!H11")</f>
        <v>0</v>
      </c>
      <c r="L189" s="3">
        <f t="array" aca="1" ref="L189" ca="1">INDIRECT("'"&amp;$A189&amp;"'!I11")</f>
        <v>0</v>
      </c>
      <c r="M189" s="3">
        <f t="array" aca="1" ref="M189" ca="1">INDIRECT("'"&amp;$A189&amp;"'!J11")</f>
        <v>0</v>
      </c>
      <c r="N189" s="3">
        <f t="array" aca="1" ref="N189" ca="1">INDIRECT("'"&amp;$A189&amp;"'!K11")</f>
        <v>0</v>
      </c>
      <c r="O189" s="3">
        <f t="array" aca="1" ref="O189" ca="1">INDIRECT("'"&amp;$A189&amp;"'!L11")</f>
        <v>0</v>
      </c>
      <c r="P189" s="3">
        <f t="array" aca="1" ref="P189" ca="1">INDIRECT("'"&amp;$A189&amp;"'!M11")</f>
        <v>0</v>
      </c>
      <c r="Q189" s="3">
        <f t="array" aca="1" ref="Q189" ca="1">INDIRECT("'"&amp;$A189&amp;"'!N11")</f>
        <v>0</v>
      </c>
      <c r="R189" s="3">
        <f t="array" aca="1" ref="R189" ca="1">INDIRECT("'"&amp;$A189&amp;"'!O11")</f>
        <v>0</v>
      </c>
      <c r="S189" s="3">
        <f t="array" aca="1" ref="S189" ca="1">INDIRECT("'"&amp;$A189&amp;"'!P11")</f>
        <v>0</v>
      </c>
      <c r="T189" s="3">
        <f t="array" aca="1" ref="T189" ca="1">INDIRECT("'"&amp;$A189&amp;"'!Q11")</f>
        <v>0</v>
      </c>
      <c r="U189" s="3">
        <f t="array" aca="1" ref="U189" ca="1">INDIRECT("'"&amp;$A189&amp;"'!R11")</f>
        <v>0</v>
      </c>
      <c r="V189" s="3">
        <f t="array" aca="1" ref="V189" ca="1">INDIRECT("'"&amp;$A189&amp;"'!S11")</f>
        <v>0</v>
      </c>
      <c r="W189" s="3">
        <f t="array" aca="1" ref="W189" ca="1">INDIRECT("'"&amp;$A189&amp;"'!T11")</f>
        <v>0</v>
      </c>
      <c r="X189" s="3">
        <f t="array" aca="1" ref="X189" ca="1">INDIRECT("'"&amp;$A189&amp;"'!U11")</f>
        <v>0</v>
      </c>
      <c r="Y189" s="3">
        <f t="array" aca="1" ref="Y189" ca="1">INDIRECT("'"&amp;$A189&amp;"'!V11")</f>
        <v>0</v>
      </c>
      <c r="Z189" s="3">
        <f t="array" aca="1" ref="Z189" ca="1">INDIRECT("'"&amp;$A189&amp;"'!W11")</f>
        <v>0</v>
      </c>
      <c r="AA189" s="3">
        <f t="array" aca="1" ref="AA189" ca="1">INDIRECT("'"&amp;$A189&amp;"'!X11")</f>
        <v>0</v>
      </c>
      <c r="AB189" s="3">
        <f t="array" aca="1" ref="AB189" ca="1">INDIRECT("'"&amp;$A189&amp;"'!Y11")</f>
        <v>0</v>
      </c>
      <c r="AC189" s="3">
        <f t="array" aca="1" ref="AC189" ca="1">INDIRECT("'"&amp;$A189&amp;"'!Z11")</f>
        <v>0</v>
      </c>
      <c r="AD189" s="32">
        <f t="array" aca="1" ref="AD189" ca="1">INDIRECT("'"&amp;$A189&amp;"'!AA11")</f>
        <v>0</v>
      </c>
      <c r="AE189" s="82">
        <f t="array" aca="1" ref="AE189" ca="1">INDIRECT("'"&amp;$A189&amp;"'!J3")</f>
        <v>0</v>
      </c>
      <c r="AF189" s="53" t="str">
        <f t="array" aca="1" ref="AF189" ca="1">INDIRECT("'"&amp;$A189&amp;"'!AC1")</f>
        <v/>
      </c>
    </row>
    <row r="190" spans="1:32" ht="15.75" customHeight="1" thickBot="1">
      <c r="A190" s="58">
        <v>63</v>
      </c>
      <c r="B190" s="107"/>
      <c r="C190" s="77" t="str">
        <f t="array" aca="1" ref="C190" ca="1">CONCATENATE("分 ",INDIRECT("'"&amp;$A189&amp;"'!D6"))</f>
        <v>分 0</v>
      </c>
      <c r="D190" s="56" t="s">
        <v>8</v>
      </c>
      <c r="E190" s="83">
        <f t="array" aca="1" ref="E190" ca="1">INDIRECT("'"&amp;$A189&amp;"'!I4")</f>
        <v>18</v>
      </c>
      <c r="F190" s="52">
        <f t="array" aca="1" ref="F190" ca="1">INDIRECT("'"&amp;$A190&amp;"'!C14")</f>
        <v>0</v>
      </c>
      <c r="G190" s="3">
        <f t="array" aca="1" ref="G190" ca="1">INDIRECT("'"&amp;$A190&amp;"'!D14")</f>
        <v>0</v>
      </c>
      <c r="H190" s="3">
        <f t="array" aca="1" ref="H190" ca="1">INDIRECT("'"&amp;$A190&amp;"'!E14")</f>
        <v>0</v>
      </c>
      <c r="I190" s="3">
        <f t="array" aca="1" ref="I190" ca="1">INDIRECT("'"&amp;$A190&amp;"'!F14")</f>
        <v>0</v>
      </c>
      <c r="J190" s="3">
        <f t="array" aca="1" ref="J190" ca="1">INDIRECT("'"&amp;$A190&amp;"'!G14")</f>
        <v>0</v>
      </c>
      <c r="K190" s="3">
        <f t="array" aca="1" ref="K190" ca="1">INDIRECT("'"&amp;$A190&amp;"'!H14")</f>
        <v>0</v>
      </c>
      <c r="L190" s="3">
        <f t="array" aca="1" ref="L190" ca="1">INDIRECT("'"&amp;$A190&amp;"'!I14")</f>
        <v>0</v>
      </c>
      <c r="M190" s="3">
        <f t="array" aca="1" ref="M190" ca="1">INDIRECT("'"&amp;$A190&amp;"'!J14")</f>
        <v>0</v>
      </c>
      <c r="N190" s="3">
        <f t="array" aca="1" ref="N190" ca="1">INDIRECT("'"&amp;$A190&amp;"'!K14")</f>
        <v>0</v>
      </c>
      <c r="O190" s="3">
        <f t="array" aca="1" ref="O190" ca="1">INDIRECT("'"&amp;$A190&amp;"'!L14")</f>
        <v>0</v>
      </c>
      <c r="P190" s="3">
        <f t="array" aca="1" ref="P190" ca="1">INDIRECT("'"&amp;$A190&amp;"'!M14")</f>
        <v>0</v>
      </c>
      <c r="Q190" s="3">
        <f t="array" aca="1" ref="Q190" ca="1">INDIRECT("'"&amp;$A190&amp;"'!N14")</f>
        <v>0</v>
      </c>
      <c r="R190" s="3">
        <f t="array" aca="1" ref="R190" ca="1">INDIRECT("'"&amp;$A190&amp;"'!O14")</f>
        <v>0</v>
      </c>
      <c r="S190" s="3">
        <f t="array" aca="1" ref="S190" ca="1">INDIRECT("'"&amp;$A190&amp;"'!P14")</f>
        <v>0</v>
      </c>
      <c r="T190" s="3">
        <f t="array" aca="1" ref="T190" ca="1">INDIRECT("'"&amp;$A190&amp;"'!Q14")</f>
        <v>0</v>
      </c>
      <c r="U190" s="3">
        <f t="array" aca="1" ref="U190" ca="1">INDIRECT("'"&amp;$A190&amp;"'!R14")</f>
        <v>0</v>
      </c>
      <c r="V190" s="3">
        <f t="array" aca="1" ref="V190" ca="1">INDIRECT("'"&amp;$A190&amp;"'!S14")</f>
        <v>0</v>
      </c>
      <c r="W190" s="3">
        <f t="array" aca="1" ref="W190" ca="1">INDIRECT("'"&amp;$A190&amp;"'!T14")</f>
        <v>0</v>
      </c>
      <c r="X190" s="3">
        <f t="array" aca="1" ref="X190" ca="1">INDIRECT("'"&amp;$A190&amp;"'!U14")</f>
        <v>0</v>
      </c>
      <c r="Y190" s="3">
        <f t="array" aca="1" ref="Y190" ca="1">INDIRECT("'"&amp;$A190&amp;"'!V14")</f>
        <v>0</v>
      </c>
      <c r="Z190" s="3">
        <f t="array" aca="1" ref="Z190" ca="1">INDIRECT("'"&amp;$A190&amp;"'!W14")</f>
        <v>0</v>
      </c>
      <c r="AA190" s="3">
        <f t="array" aca="1" ref="AA190" ca="1">INDIRECT("'"&amp;$A190&amp;"'!X14")</f>
        <v>0</v>
      </c>
      <c r="AB190" s="3">
        <f t="array" aca="1" ref="AB190" ca="1">INDIRECT("'"&amp;$A190&amp;"'!Y14")</f>
        <v>0</v>
      </c>
      <c r="AC190" s="3">
        <f t="array" aca="1" ref="AC190" ca="1">INDIRECT("'"&amp;$A190&amp;"'!Z14")</f>
        <v>0</v>
      </c>
      <c r="AD190" s="32">
        <f t="array" aca="1" ref="AD190" ca="1">INDIRECT("'"&amp;$A190&amp;"'!AA14")</f>
        <v>0</v>
      </c>
      <c r="AE190" s="83">
        <f t="array" aca="1" ref="AE190" ca="1">INDIRECT("'"&amp;$A189&amp;"'!J4")</f>
        <v>0</v>
      </c>
      <c r="AF190" s="53"/>
    </row>
    <row r="191" spans="1:32">
      <c r="A191" s="58">
        <v>64</v>
      </c>
      <c r="B191" s="105">
        <f>INDEX(data!$I$2:$I$91,MATCH(A191*1,data!$G$2:$G$91,0))</f>
        <v>46248</v>
      </c>
      <c r="C191" s="66" t="str">
        <f>HYPERLINK("#'" &amp; A191 &amp; "'!A1", "编辑")</f>
        <v>编辑</v>
      </c>
      <c r="D191" s="54" t="s">
        <v>6</v>
      </c>
      <c r="E191" s="81">
        <f t="array" aca="1" ref="E191" ca="1">INDIRECT("'"&amp;$A192&amp;"'!I2")</f>
        <v>18</v>
      </c>
      <c r="F191" s="29">
        <f t="array" aca="1" ref="F191" ca="1">INDIRECT("'"&amp;$A191&amp;"'!C8")</f>
        <v>0</v>
      </c>
      <c r="G191" s="30">
        <f t="array" aca="1" ref="G191" ca="1">INDIRECT("'"&amp;$A191&amp;"'!D8")</f>
        <v>0</v>
      </c>
      <c r="H191" s="30">
        <f t="array" aca="1" ref="H191" ca="1">INDIRECT("'"&amp;$A191&amp;"'!E8")</f>
        <v>0</v>
      </c>
      <c r="I191" s="30">
        <f t="array" aca="1" ref="I191" ca="1">INDIRECT("'"&amp;$A191&amp;"'!F8")</f>
        <v>0</v>
      </c>
      <c r="J191" s="30">
        <f t="array" aca="1" ref="J191" ca="1">INDIRECT("'"&amp;$A191&amp;"'!G8")</f>
        <v>0</v>
      </c>
      <c r="K191" s="30">
        <f t="array" aca="1" ref="K191" ca="1">INDIRECT("'"&amp;$A191&amp;"'!H8")</f>
        <v>0</v>
      </c>
      <c r="L191" s="30">
        <f t="array" aca="1" ref="L191" ca="1">INDIRECT("'"&amp;$A191&amp;"'!I8")</f>
        <v>0</v>
      </c>
      <c r="M191" s="30">
        <f t="array" aca="1" ref="M191" ca="1">INDIRECT("'"&amp;$A191&amp;"'!J8")</f>
        <v>0</v>
      </c>
      <c r="N191" s="30">
        <f t="array" aca="1" ref="N191" ca="1">INDIRECT("'"&amp;$A191&amp;"'!K8")</f>
        <v>0</v>
      </c>
      <c r="O191" s="30">
        <f t="array" aca="1" ref="O191" ca="1">INDIRECT("'"&amp;$A191&amp;"'!L8")</f>
        <v>0</v>
      </c>
      <c r="P191" s="30">
        <f t="array" aca="1" ref="P191" ca="1">INDIRECT("'"&amp;$A191&amp;"'!M8")</f>
        <v>0</v>
      </c>
      <c r="Q191" s="30">
        <f t="array" aca="1" ref="Q191" ca="1">INDIRECT("'"&amp;$A191&amp;"'!N8")</f>
        <v>0</v>
      </c>
      <c r="R191" s="30">
        <f t="array" aca="1" ref="R191" ca="1">INDIRECT("'"&amp;$A191&amp;"'!O8")</f>
        <v>0</v>
      </c>
      <c r="S191" s="30">
        <f t="array" aca="1" ref="S191" ca="1">INDIRECT("'"&amp;$A191&amp;"'!P8")</f>
        <v>0</v>
      </c>
      <c r="T191" s="30">
        <f t="array" aca="1" ref="T191" ca="1">INDIRECT("'"&amp;$A191&amp;"'!Q8")</f>
        <v>0</v>
      </c>
      <c r="U191" s="30">
        <f t="array" aca="1" ref="U191" ca="1">INDIRECT("'"&amp;$A191&amp;"'!R8")</f>
        <v>0</v>
      </c>
      <c r="V191" s="30">
        <f t="array" aca="1" ref="V191" ca="1">INDIRECT("'"&amp;$A191&amp;"'!S8")</f>
        <v>0</v>
      </c>
      <c r="W191" s="30">
        <f t="array" aca="1" ref="W191" ca="1">INDIRECT("'"&amp;$A191&amp;"'!T8")</f>
        <v>0</v>
      </c>
      <c r="X191" s="30">
        <f t="array" aca="1" ref="X191" ca="1">INDIRECT("'"&amp;$A191&amp;"'!U8")</f>
        <v>0</v>
      </c>
      <c r="Y191" s="30">
        <f t="array" aca="1" ref="Y191" ca="1">INDIRECT("'"&amp;$A191&amp;"'!V8")</f>
        <v>0</v>
      </c>
      <c r="Z191" s="30">
        <f t="array" aca="1" ref="Z191" ca="1">INDIRECT("'"&amp;$A191&amp;"'!W8")</f>
        <v>0</v>
      </c>
      <c r="AA191" s="30">
        <f t="array" aca="1" ref="AA191" ca="1">INDIRECT("'"&amp;$A191&amp;"'!X8")</f>
        <v>0</v>
      </c>
      <c r="AB191" s="30">
        <f t="array" aca="1" ref="AB191" ca="1">INDIRECT("'"&amp;$A191&amp;"'!Y8")</f>
        <v>0</v>
      </c>
      <c r="AC191" s="30">
        <f t="array" aca="1" ref="AC191" ca="1">INDIRECT("'"&amp;$A191&amp;"'!Z8")</f>
        <v>0</v>
      </c>
      <c r="AD191" s="31">
        <f t="array" aca="1" ref="AD191" ca="1">INDIRECT("'"&amp;$A191&amp;"'!AA8")</f>
        <v>0</v>
      </c>
      <c r="AE191" s="81">
        <f t="array" aca="1" ref="AE191" ca="1">INDIRECT("'"&amp;$A192&amp;"'!J2")</f>
        <v>0</v>
      </c>
      <c r="AF191" s="53" t="str">
        <f t="array" aca="1" ref="AF191" ca="1">INDIRECT("'"&amp;$A192&amp;"'!AD1")</f>
        <v/>
      </c>
    </row>
    <row r="192" spans="1:32">
      <c r="A192" s="58">
        <v>64</v>
      </c>
      <c r="B192" s="106"/>
      <c r="C192" s="67" t="str">
        <f t="array" aca="1" ref="C192" ca="1">CONCATENATE("粮 ",INDIRECT("'"&amp;$A192&amp;"'!D4"))</f>
        <v>粮 107600</v>
      </c>
      <c r="D192" s="55" t="s">
        <v>7</v>
      </c>
      <c r="E192" s="82">
        <f t="array" aca="1" ref="E192" ca="1">INDIRECT("'"&amp;$A192&amp;"'!I3")</f>
        <v>18</v>
      </c>
      <c r="F192" s="52">
        <f t="array" aca="1" ref="F192" ca="1">INDIRECT("'"&amp;$A192&amp;"'!C11")</f>
        <v>0</v>
      </c>
      <c r="G192" s="3">
        <f t="array" aca="1" ref="G192" ca="1">INDIRECT("'"&amp;$A192&amp;"'!D11")</f>
        <v>0</v>
      </c>
      <c r="H192" s="3">
        <f t="array" aca="1" ref="H192" ca="1">INDIRECT("'"&amp;$A192&amp;"'!E11")</f>
        <v>0</v>
      </c>
      <c r="I192" s="3">
        <f t="array" aca="1" ref="I192" ca="1">INDIRECT("'"&amp;$A192&amp;"'!F11")</f>
        <v>0</v>
      </c>
      <c r="J192" s="3">
        <f t="array" aca="1" ref="J192" ca="1">INDIRECT("'"&amp;$A192&amp;"'!G11")</f>
        <v>0</v>
      </c>
      <c r="K192" s="3">
        <f t="array" aca="1" ref="K192" ca="1">INDIRECT("'"&amp;$A192&amp;"'!H11")</f>
        <v>0</v>
      </c>
      <c r="L192" s="3">
        <f t="array" aca="1" ref="L192" ca="1">INDIRECT("'"&amp;$A192&amp;"'!I11")</f>
        <v>0</v>
      </c>
      <c r="M192" s="3">
        <f t="array" aca="1" ref="M192" ca="1">INDIRECT("'"&amp;$A192&amp;"'!J11")</f>
        <v>0</v>
      </c>
      <c r="N192" s="3">
        <f t="array" aca="1" ref="N192" ca="1">INDIRECT("'"&amp;$A192&amp;"'!K11")</f>
        <v>0</v>
      </c>
      <c r="O192" s="3">
        <f t="array" aca="1" ref="O192" ca="1">INDIRECT("'"&amp;$A192&amp;"'!L11")</f>
        <v>0</v>
      </c>
      <c r="P192" s="3">
        <f t="array" aca="1" ref="P192" ca="1">INDIRECT("'"&amp;$A192&amp;"'!M11")</f>
        <v>0</v>
      </c>
      <c r="Q192" s="3">
        <f t="array" aca="1" ref="Q192" ca="1">INDIRECT("'"&amp;$A192&amp;"'!N11")</f>
        <v>0</v>
      </c>
      <c r="R192" s="3">
        <f t="array" aca="1" ref="R192" ca="1">INDIRECT("'"&amp;$A192&amp;"'!O11")</f>
        <v>0</v>
      </c>
      <c r="S192" s="3">
        <f t="array" aca="1" ref="S192" ca="1">INDIRECT("'"&amp;$A192&amp;"'!P11")</f>
        <v>0</v>
      </c>
      <c r="T192" s="3">
        <f t="array" aca="1" ref="T192" ca="1">INDIRECT("'"&amp;$A192&amp;"'!Q11")</f>
        <v>0</v>
      </c>
      <c r="U192" s="3">
        <f t="array" aca="1" ref="U192" ca="1">INDIRECT("'"&amp;$A192&amp;"'!R11")</f>
        <v>0</v>
      </c>
      <c r="V192" s="3">
        <f t="array" aca="1" ref="V192" ca="1">INDIRECT("'"&amp;$A192&amp;"'!S11")</f>
        <v>0</v>
      </c>
      <c r="W192" s="3">
        <f t="array" aca="1" ref="W192" ca="1">INDIRECT("'"&amp;$A192&amp;"'!T11")</f>
        <v>0</v>
      </c>
      <c r="X192" s="3">
        <f t="array" aca="1" ref="X192" ca="1">INDIRECT("'"&amp;$A192&amp;"'!U11")</f>
        <v>0</v>
      </c>
      <c r="Y192" s="3">
        <f t="array" aca="1" ref="Y192" ca="1">INDIRECT("'"&amp;$A192&amp;"'!V11")</f>
        <v>0</v>
      </c>
      <c r="Z192" s="3">
        <f t="array" aca="1" ref="Z192" ca="1">INDIRECT("'"&amp;$A192&amp;"'!W11")</f>
        <v>0</v>
      </c>
      <c r="AA192" s="3">
        <f t="array" aca="1" ref="AA192" ca="1">INDIRECT("'"&amp;$A192&amp;"'!X11")</f>
        <v>0</v>
      </c>
      <c r="AB192" s="3">
        <f t="array" aca="1" ref="AB192" ca="1">INDIRECT("'"&amp;$A192&amp;"'!Y11")</f>
        <v>0</v>
      </c>
      <c r="AC192" s="3">
        <f t="array" aca="1" ref="AC192" ca="1">INDIRECT("'"&amp;$A192&amp;"'!Z11")</f>
        <v>0</v>
      </c>
      <c r="AD192" s="32">
        <f t="array" aca="1" ref="AD192" ca="1">INDIRECT("'"&amp;$A192&amp;"'!AA11")</f>
        <v>0</v>
      </c>
      <c r="AE192" s="82">
        <f t="array" aca="1" ref="AE192" ca="1">INDIRECT("'"&amp;$A192&amp;"'!J3")</f>
        <v>0</v>
      </c>
      <c r="AF192" s="53" t="str">
        <f t="array" aca="1" ref="AF192" ca="1">INDIRECT("'"&amp;$A192&amp;"'!AC1")</f>
        <v/>
      </c>
    </row>
    <row r="193" spans="1:32" ht="15.75" customHeight="1" thickBot="1">
      <c r="A193" s="58">
        <v>64</v>
      </c>
      <c r="B193" s="107"/>
      <c r="C193" s="77" t="str">
        <f t="array" aca="1" ref="C193" ca="1">CONCATENATE("分 ",INDIRECT("'"&amp;$A192&amp;"'!D6"))</f>
        <v>分 0</v>
      </c>
      <c r="D193" s="56" t="s">
        <v>8</v>
      </c>
      <c r="E193" s="83">
        <f t="array" aca="1" ref="E193" ca="1">INDIRECT("'"&amp;$A192&amp;"'!I4")</f>
        <v>18</v>
      </c>
      <c r="F193" s="52">
        <f t="array" aca="1" ref="F193" ca="1">INDIRECT("'"&amp;$A193&amp;"'!C14")</f>
        <v>0</v>
      </c>
      <c r="G193" s="3">
        <f t="array" aca="1" ref="G193" ca="1">INDIRECT("'"&amp;$A193&amp;"'!D14")</f>
        <v>0</v>
      </c>
      <c r="H193" s="3">
        <f t="array" aca="1" ref="H193" ca="1">INDIRECT("'"&amp;$A193&amp;"'!E14")</f>
        <v>0</v>
      </c>
      <c r="I193" s="3">
        <f t="array" aca="1" ref="I193" ca="1">INDIRECT("'"&amp;$A193&amp;"'!F14")</f>
        <v>0</v>
      </c>
      <c r="J193" s="3">
        <f t="array" aca="1" ref="J193" ca="1">INDIRECT("'"&amp;$A193&amp;"'!G14")</f>
        <v>0</v>
      </c>
      <c r="K193" s="3">
        <f t="array" aca="1" ref="K193" ca="1">INDIRECT("'"&amp;$A193&amp;"'!H14")</f>
        <v>0</v>
      </c>
      <c r="L193" s="3">
        <f t="array" aca="1" ref="L193" ca="1">INDIRECT("'"&amp;$A193&amp;"'!I14")</f>
        <v>0</v>
      </c>
      <c r="M193" s="3">
        <f t="array" aca="1" ref="M193" ca="1">INDIRECT("'"&amp;$A193&amp;"'!J14")</f>
        <v>0</v>
      </c>
      <c r="N193" s="3">
        <f t="array" aca="1" ref="N193" ca="1">INDIRECT("'"&amp;$A193&amp;"'!K14")</f>
        <v>0</v>
      </c>
      <c r="O193" s="3">
        <f t="array" aca="1" ref="O193" ca="1">INDIRECT("'"&amp;$A193&amp;"'!L14")</f>
        <v>0</v>
      </c>
      <c r="P193" s="3">
        <f t="array" aca="1" ref="P193" ca="1">INDIRECT("'"&amp;$A193&amp;"'!M14")</f>
        <v>0</v>
      </c>
      <c r="Q193" s="3">
        <f t="array" aca="1" ref="Q193" ca="1">INDIRECT("'"&amp;$A193&amp;"'!N14")</f>
        <v>0</v>
      </c>
      <c r="R193" s="3">
        <f t="array" aca="1" ref="R193" ca="1">INDIRECT("'"&amp;$A193&amp;"'!O14")</f>
        <v>0</v>
      </c>
      <c r="S193" s="3">
        <f t="array" aca="1" ref="S193" ca="1">INDIRECT("'"&amp;$A193&amp;"'!P14")</f>
        <v>0</v>
      </c>
      <c r="T193" s="3">
        <f t="array" aca="1" ref="T193" ca="1">INDIRECT("'"&amp;$A193&amp;"'!Q14")</f>
        <v>0</v>
      </c>
      <c r="U193" s="3">
        <f t="array" aca="1" ref="U193" ca="1">INDIRECT("'"&amp;$A193&amp;"'!R14")</f>
        <v>0</v>
      </c>
      <c r="V193" s="3">
        <f t="array" aca="1" ref="V193" ca="1">INDIRECT("'"&amp;$A193&amp;"'!S14")</f>
        <v>0</v>
      </c>
      <c r="W193" s="3">
        <f t="array" aca="1" ref="W193" ca="1">INDIRECT("'"&amp;$A193&amp;"'!T14")</f>
        <v>0</v>
      </c>
      <c r="X193" s="3">
        <f t="array" aca="1" ref="X193" ca="1">INDIRECT("'"&amp;$A193&amp;"'!U14")</f>
        <v>0</v>
      </c>
      <c r="Y193" s="3">
        <f t="array" aca="1" ref="Y193" ca="1">INDIRECT("'"&amp;$A193&amp;"'!V14")</f>
        <v>0</v>
      </c>
      <c r="Z193" s="3">
        <f t="array" aca="1" ref="Z193" ca="1">INDIRECT("'"&amp;$A193&amp;"'!W14")</f>
        <v>0</v>
      </c>
      <c r="AA193" s="3">
        <f t="array" aca="1" ref="AA193" ca="1">INDIRECT("'"&amp;$A193&amp;"'!X14")</f>
        <v>0</v>
      </c>
      <c r="AB193" s="3">
        <f t="array" aca="1" ref="AB193" ca="1">INDIRECT("'"&amp;$A193&amp;"'!Y14")</f>
        <v>0</v>
      </c>
      <c r="AC193" s="3">
        <f t="array" aca="1" ref="AC193" ca="1">INDIRECT("'"&amp;$A193&amp;"'!Z14")</f>
        <v>0</v>
      </c>
      <c r="AD193" s="32">
        <f t="array" aca="1" ref="AD193" ca="1">INDIRECT("'"&amp;$A193&amp;"'!AA14")</f>
        <v>0</v>
      </c>
      <c r="AE193" s="83">
        <f t="array" aca="1" ref="AE193" ca="1">INDIRECT("'"&amp;$A192&amp;"'!J4")</f>
        <v>0</v>
      </c>
      <c r="AF193" s="53"/>
    </row>
    <row r="194" spans="1:32">
      <c r="A194" s="58">
        <v>65</v>
      </c>
      <c r="B194" s="105">
        <f>INDEX(data!$I$2:$I$91,MATCH(A194*1,data!$G$2:$G$91,0))</f>
        <v>46249</v>
      </c>
      <c r="C194" s="66" t="str">
        <f>HYPERLINK("#'" &amp; A194 &amp; "'!A1", "编辑")</f>
        <v>编辑</v>
      </c>
      <c r="D194" s="54" t="s">
        <v>6</v>
      </c>
      <c r="E194" s="81">
        <f t="array" aca="1" ref="E194" ca="1">INDIRECT("'"&amp;$A195&amp;"'!I2")</f>
        <v>18</v>
      </c>
      <c r="F194" s="29">
        <f t="array" aca="1" ref="F194" ca="1">INDIRECT("'"&amp;$A194&amp;"'!C8")</f>
        <v>0</v>
      </c>
      <c r="G194" s="30">
        <f t="array" aca="1" ref="G194" ca="1">INDIRECT("'"&amp;$A194&amp;"'!D8")</f>
        <v>0</v>
      </c>
      <c r="H194" s="30">
        <f t="array" aca="1" ref="H194" ca="1">INDIRECT("'"&amp;$A194&amp;"'!E8")</f>
        <v>0</v>
      </c>
      <c r="I194" s="30">
        <f t="array" aca="1" ref="I194" ca="1">INDIRECT("'"&amp;$A194&amp;"'!F8")</f>
        <v>0</v>
      </c>
      <c r="J194" s="30">
        <f t="array" aca="1" ref="J194" ca="1">INDIRECT("'"&amp;$A194&amp;"'!G8")</f>
        <v>0</v>
      </c>
      <c r="K194" s="30">
        <f t="array" aca="1" ref="K194" ca="1">INDIRECT("'"&amp;$A194&amp;"'!H8")</f>
        <v>0</v>
      </c>
      <c r="L194" s="30">
        <f t="array" aca="1" ref="L194" ca="1">INDIRECT("'"&amp;$A194&amp;"'!I8")</f>
        <v>0</v>
      </c>
      <c r="M194" s="30">
        <f t="array" aca="1" ref="M194" ca="1">INDIRECT("'"&amp;$A194&amp;"'!J8")</f>
        <v>0</v>
      </c>
      <c r="N194" s="30">
        <f t="array" aca="1" ref="N194" ca="1">INDIRECT("'"&amp;$A194&amp;"'!K8")</f>
        <v>0</v>
      </c>
      <c r="O194" s="30">
        <f t="array" aca="1" ref="O194" ca="1">INDIRECT("'"&amp;$A194&amp;"'!L8")</f>
        <v>0</v>
      </c>
      <c r="P194" s="30">
        <f t="array" aca="1" ref="P194" ca="1">INDIRECT("'"&amp;$A194&amp;"'!M8")</f>
        <v>0</v>
      </c>
      <c r="Q194" s="30">
        <f t="array" aca="1" ref="Q194" ca="1">INDIRECT("'"&amp;$A194&amp;"'!N8")</f>
        <v>0</v>
      </c>
      <c r="R194" s="30">
        <f t="array" aca="1" ref="R194" ca="1">INDIRECT("'"&amp;$A194&amp;"'!O8")</f>
        <v>0</v>
      </c>
      <c r="S194" s="30">
        <f t="array" aca="1" ref="S194" ca="1">INDIRECT("'"&amp;$A194&amp;"'!P8")</f>
        <v>0</v>
      </c>
      <c r="T194" s="30">
        <f t="array" aca="1" ref="T194" ca="1">INDIRECT("'"&amp;$A194&amp;"'!Q8")</f>
        <v>0</v>
      </c>
      <c r="U194" s="30">
        <f t="array" aca="1" ref="U194" ca="1">INDIRECT("'"&amp;$A194&amp;"'!R8")</f>
        <v>0</v>
      </c>
      <c r="V194" s="30">
        <f t="array" aca="1" ref="V194" ca="1">INDIRECT("'"&amp;$A194&amp;"'!S8")</f>
        <v>0</v>
      </c>
      <c r="W194" s="30">
        <f t="array" aca="1" ref="W194" ca="1">INDIRECT("'"&amp;$A194&amp;"'!T8")</f>
        <v>0</v>
      </c>
      <c r="X194" s="30">
        <f t="array" aca="1" ref="X194" ca="1">INDIRECT("'"&amp;$A194&amp;"'!U8")</f>
        <v>0</v>
      </c>
      <c r="Y194" s="30">
        <f t="array" aca="1" ref="Y194" ca="1">INDIRECT("'"&amp;$A194&amp;"'!V8")</f>
        <v>0</v>
      </c>
      <c r="Z194" s="30">
        <f t="array" aca="1" ref="Z194" ca="1">INDIRECT("'"&amp;$A194&amp;"'!W8")</f>
        <v>0</v>
      </c>
      <c r="AA194" s="30">
        <f t="array" aca="1" ref="AA194" ca="1">INDIRECT("'"&amp;$A194&amp;"'!X8")</f>
        <v>0</v>
      </c>
      <c r="AB194" s="30">
        <f t="array" aca="1" ref="AB194" ca="1">INDIRECT("'"&amp;$A194&amp;"'!Y8")</f>
        <v>0</v>
      </c>
      <c r="AC194" s="30">
        <f t="array" aca="1" ref="AC194" ca="1">INDIRECT("'"&amp;$A194&amp;"'!Z8")</f>
        <v>0</v>
      </c>
      <c r="AD194" s="31">
        <f t="array" aca="1" ref="AD194" ca="1">INDIRECT("'"&amp;$A194&amp;"'!AA8")</f>
        <v>0</v>
      </c>
      <c r="AE194" s="81">
        <f t="array" aca="1" ref="AE194" ca="1">INDIRECT("'"&amp;$A195&amp;"'!J2")</f>
        <v>0</v>
      </c>
      <c r="AF194" s="53" t="str">
        <f t="array" aca="1" ref="AF194" ca="1">INDIRECT("'"&amp;$A195&amp;"'!AD1")</f>
        <v/>
      </c>
    </row>
    <row r="195" spans="1:32">
      <c r="A195" s="58">
        <v>65</v>
      </c>
      <c r="B195" s="106"/>
      <c r="C195" s="67" t="str">
        <f t="array" aca="1" ref="C195" ca="1">CONCATENATE("粮 ",INDIRECT("'"&amp;$A195&amp;"'!D4"))</f>
        <v>粮 109200</v>
      </c>
      <c r="D195" s="55" t="s">
        <v>7</v>
      </c>
      <c r="E195" s="82">
        <f t="array" aca="1" ref="E195" ca="1">INDIRECT("'"&amp;$A195&amp;"'!I3")</f>
        <v>18</v>
      </c>
      <c r="F195" s="52">
        <f t="array" aca="1" ref="F195" ca="1">INDIRECT("'"&amp;$A195&amp;"'!C11")</f>
        <v>0</v>
      </c>
      <c r="G195" s="3">
        <f t="array" aca="1" ref="G195" ca="1">INDIRECT("'"&amp;$A195&amp;"'!D11")</f>
        <v>0</v>
      </c>
      <c r="H195" s="3">
        <f t="array" aca="1" ref="H195" ca="1">INDIRECT("'"&amp;$A195&amp;"'!E11")</f>
        <v>0</v>
      </c>
      <c r="I195" s="3">
        <f t="array" aca="1" ref="I195" ca="1">INDIRECT("'"&amp;$A195&amp;"'!F11")</f>
        <v>0</v>
      </c>
      <c r="J195" s="3">
        <f t="array" aca="1" ref="J195" ca="1">INDIRECT("'"&amp;$A195&amp;"'!G11")</f>
        <v>0</v>
      </c>
      <c r="K195" s="3">
        <f t="array" aca="1" ref="K195" ca="1">INDIRECT("'"&amp;$A195&amp;"'!H11")</f>
        <v>0</v>
      </c>
      <c r="L195" s="3">
        <f t="array" aca="1" ref="L195" ca="1">INDIRECT("'"&amp;$A195&amp;"'!I11")</f>
        <v>0</v>
      </c>
      <c r="M195" s="3">
        <f t="array" aca="1" ref="M195" ca="1">INDIRECT("'"&amp;$A195&amp;"'!J11")</f>
        <v>0</v>
      </c>
      <c r="N195" s="3">
        <f t="array" aca="1" ref="N195" ca="1">INDIRECT("'"&amp;$A195&amp;"'!K11")</f>
        <v>0</v>
      </c>
      <c r="O195" s="3">
        <f t="array" aca="1" ref="O195" ca="1">INDIRECT("'"&amp;$A195&amp;"'!L11")</f>
        <v>0</v>
      </c>
      <c r="P195" s="3">
        <f t="array" aca="1" ref="P195" ca="1">INDIRECT("'"&amp;$A195&amp;"'!M11")</f>
        <v>0</v>
      </c>
      <c r="Q195" s="3">
        <f t="array" aca="1" ref="Q195" ca="1">INDIRECT("'"&amp;$A195&amp;"'!N11")</f>
        <v>0</v>
      </c>
      <c r="R195" s="3">
        <f t="array" aca="1" ref="R195" ca="1">INDIRECT("'"&amp;$A195&amp;"'!O11")</f>
        <v>0</v>
      </c>
      <c r="S195" s="3">
        <f t="array" aca="1" ref="S195" ca="1">INDIRECT("'"&amp;$A195&amp;"'!P11")</f>
        <v>0</v>
      </c>
      <c r="T195" s="3">
        <f t="array" aca="1" ref="T195" ca="1">INDIRECT("'"&amp;$A195&amp;"'!Q11")</f>
        <v>0</v>
      </c>
      <c r="U195" s="3">
        <f t="array" aca="1" ref="U195" ca="1">INDIRECT("'"&amp;$A195&amp;"'!R11")</f>
        <v>0</v>
      </c>
      <c r="V195" s="3">
        <f t="array" aca="1" ref="V195" ca="1">INDIRECT("'"&amp;$A195&amp;"'!S11")</f>
        <v>0</v>
      </c>
      <c r="W195" s="3">
        <f t="array" aca="1" ref="W195" ca="1">INDIRECT("'"&amp;$A195&amp;"'!T11")</f>
        <v>0</v>
      </c>
      <c r="X195" s="3">
        <f t="array" aca="1" ref="X195" ca="1">INDIRECT("'"&amp;$A195&amp;"'!U11")</f>
        <v>0</v>
      </c>
      <c r="Y195" s="3">
        <f t="array" aca="1" ref="Y195" ca="1">INDIRECT("'"&amp;$A195&amp;"'!V11")</f>
        <v>0</v>
      </c>
      <c r="Z195" s="3">
        <f t="array" aca="1" ref="Z195" ca="1">INDIRECT("'"&amp;$A195&amp;"'!W11")</f>
        <v>0</v>
      </c>
      <c r="AA195" s="3">
        <f t="array" aca="1" ref="AA195" ca="1">INDIRECT("'"&amp;$A195&amp;"'!X11")</f>
        <v>0</v>
      </c>
      <c r="AB195" s="3">
        <f t="array" aca="1" ref="AB195" ca="1">INDIRECT("'"&amp;$A195&amp;"'!Y11")</f>
        <v>0</v>
      </c>
      <c r="AC195" s="3">
        <f t="array" aca="1" ref="AC195" ca="1">INDIRECT("'"&amp;$A195&amp;"'!Z11")</f>
        <v>0</v>
      </c>
      <c r="AD195" s="32">
        <f t="array" aca="1" ref="AD195" ca="1">INDIRECT("'"&amp;$A195&amp;"'!AA11")</f>
        <v>0</v>
      </c>
      <c r="AE195" s="82">
        <f t="array" aca="1" ref="AE195" ca="1">INDIRECT("'"&amp;$A195&amp;"'!J3")</f>
        <v>0</v>
      </c>
      <c r="AF195" s="53" t="str">
        <f t="array" aca="1" ref="AF195" ca="1">INDIRECT("'"&amp;$A195&amp;"'!AC1")</f>
        <v/>
      </c>
    </row>
    <row r="196" spans="1:32" ht="15.75" customHeight="1" thickBot="1">
      <c r="A196" s="58">
        <v>65</v>
      </c>
      <c r="B196" s="107"/>
      <c r="C196" s="77" t="str">
        <f t="array" aca="1" ref="C196" ca="1">CONCATENATE("分 ",INDIRECT("'"&amp;$A195&amp;"'!D6"))</f>
        <v>分 0</v>
      </c>
      <c r="D196" s="56" t="s">
        <v>8</v>
      </c>
      <c r="E196" s="83">
        <f t="array" aca="1" ref="E196" ca="1">INDIRECT("'"&amp;$A195&amp;"'!I4")</f>
        <v>18</v>
      </c>
      <c r="F196" s="52">
        <f t="array" aca="1" ref="F196" ca="1">INDIRECT("'"&amp;$A196&amp;"'!C14")</f>
        <v>0</v>
      </c>
      <c r="G196" s="3">
        <f t="array" aca="1" ref="G196" ca="1">INDIRECT("'"&amp;$A196&amp;"'!D14")</f>
        <v>0</v>
      </c>
      <c r="H196" s="3">
        <f t="array" aca="1" ref="H196" ca="1">INDIRECT("'"&amp;$A196&amp;"'!E14")</f>
        <v>0</v>
      </c>
      <c r="I196" s="3">
        <f t="array" aca="1" ref="I196" ca="1">INDIRECT("'"&amp;$A196&amp;"'!F14")</f>
        <v>0</v>
      </c>
      <c r="J196" s="3">
        <f t="array" aca="1" ref="J196" ca="1">INDIRECT("'"&amp;$A196&amp;"'!G14")</f>
        <v>0</v>
      </c>
      <c r="K196" s="3">
        <f t="array" aca="1" ref="K196" ca="1">INDIRECT("'"&amp;$A196&amp;"'!H14")</f>
        <v>0</v>
      </c>
      <c r="L196" s="3">
        <f t="array" aca="1" ref="L196" ca="1">INDIRECT("'"&amp;$A196&amp;"'!I14")</f>
        <v>0</v>
      </c>
      <c r="M196" s="3">
        <f t="array" aca="1" ref="M196" ca="1">INDIRECT("'"&amp;$A196&amp;"'!J14")</f>
        <v>0</v>
      </c>
      <c r="N196" s="3">
        <f t="array" aca="1" ref="N196" ca="1">INDIRECT("'"&amp;$A196&amp;"'!K14")</f>
        <v>0</v>
      </c>
      <c r="O196" s="3">
        <f t="array" aca="1" ref="O196" ca="1">INDIRECT("'"&amp;$A196&amp;"'!L14")</f>
        <v>0</v>
      </c>
      <c r="P196" s="3">
        <f t="array" aca="1" ref="P196" ca="1">INDIRECT("'"&amp;$A196&amp;"'!M14")</f>
        <v>0</v>
      </c>
      <c r="Q196" s="3">
        <f t="array" aca="1" ref="Q196" ca="1">INDIRECT("'"&amp;$A196&amp;"'!N14")</f>
        <v>0</v>
      </c>
      <c r="R196" s="3">
        <f t="array" aca="1" ref="R196" ca="1">INDIRECT("'"&amp;$A196&amp;"'!O14")</f>
        <v>0</v>
      </c>
      <c r="S196" s="3">
        <f t="array" aca="1" ref="S196" ca="1">INDIRECT("'"&amp;$A196&amp;"'!P14")</f>
        <v>0</v>
      </c>
      <c r="T196" s="3">
        <f t="array" aca="1" ref="T196" ca="1">INDIRECT("'"&amp;$A196&amp;"'!Q14")</f>
        <v>0</v>
      </c>
      <c r="U196" s="3">
        <f t="array" aca="1" ref="U196" ca="1">INDIRECT("'"&amp;$A196&amp;"'!R14")</f>
        <v>0</v>
      </c>
      <c r="V196" s="3">
        <f t="array" aca="1" ref="V196" ca="1">INDIRECT("'"&amp;$A196&amp;"'!S14")</f>
        <v>0</v>
      </c>
      <c r="W196" s="3">
        <f t="array" aca="1" ref="W196" ca="1">INDIRECT("'"&amp;$A196&amp;"'!T14")</f>
        <v>0</v>
      </c>
      <c r="X196" s="3">
        <f t="array" aca="1" ref="X196" ca="1">INDIRECT("'"&amp;$A196&amp;"'!U14")</f>
        <v>0</v>
      </c>
      <c r="Y196" s="3">
        <f t="array" aca="1" ref="Y196" ca="1">INDIRECT("'"&amp;$A196&amp;"'!V14")</f>
        <v>0</v>
      </c>
      <c r="Z196" s="3">
        <f t="array" aca="1" ref="Z196" ca="1">INDIRECT("'"&amp;$A196&amp;"'!W14")</f>
        <v>0</v>
      </c>
      <c r="AA196" s="3">
        <f t="array" aca="1" ref="AA196" ca="1">INDIRECT("'"&amp;$A196&amp;"'!X14")</f>
        <v>0</v>
      </c>
      <c r="AB196" s="3">
        <f t="array" aca="1" ref="AB196" ca="1">INDIRECT("'"&amp;$A196&amp;"'!Y14")</f>
        <v>0</v>
      </c>
      <c r="AC196" s="3">
        <f t="array" aca="1" ref="AC196" ca="1">INDIRECT("'"&amp;$A196&amp;"'!Z14")</f>
        <v>0</v>
      </c>
      <c r="AD196" s="32">
        <f t="array" aca="1" ref="AD196" ca="1">INDIRECT("'"&amp;$A196&amp;"'!AA14")</f>
        <v>0</v>
      </c>
      <c r="AE196" s="83">
        <f t="array" aca="1" ref="AE196" ca="1">INDIRECT("'"&amp;$A195&amp;"'!J4")</f>
        <v>0</v>
      </c>
      <c r="AF196" s="53"/>
    </row>
    <row r="197" spans="1:32">
      <c r="A197" s="58">
        <v>66</v>
      </c>
      <c r="B197" s="105">
        <f>INDEX(data!$I$2:$I$91,MATCH(A197*1,data!$G$2:$G$91,0))</f>
        <v>46250</v>
      </c>
      <c r="C197" s="66" t="str">
        <f>HYPERLINK("#'" &amp; A197 &amp; "'!A1", "编辑")</f>
        <v>编辑</v>
      </c>
      <c r="D197" s="54" t="s">
        <v>6</v>
      </c>
      <c r="E197" s="81">
        <f t="array" aca="1" ref="E197" ca="1">INDIRECT("'"&amp;$A198&amp;"'!I2")</f>
        <v>18</v>
      </c>
      <c r="F197" s="29">
        <f t="array" aca="1" ref="F197" ca="1">INDIRECT("'"&amp;$A197&amp;"'!C8")</f>
        <v>0</v>
      </c>
      <c r="G197" s="30">
        <f t="array" aca="1" ref="G197" ca="1">INDIRECT("'"&amp;$A197&amp;"'!D8")</f>
        <v>0</v>
      </c>
      <c r="H197" s="30">
        <f t="array" aca="1" ref="H197" ca="1">INDIRECT("'"&amp;$A197&amp;"'!E8")</f>
        <v>0</v>
      </c>
      <c r="I197" s="30">
        <f t="array" aca="1" ref="I197" ca="1">INDIRECT("'"&amp;$A197&amp;"'!F8")</f>
        <v>0</v>
      </c>
      <c r="J197" s="30">
        <f t="array" aca="1" ref="J197" ca="1">INDIRECT("'"&amp;$A197&amp;"'!G8")</f>
        <v>0</v>
      </c>
      <c r="K197" s="30">
        <f t="array" aca="1" ref="K197" ca="1">INDIRECT("'"&amp;$A197&amp;"'!H8")</f>
        <v>0</v>
      </c>
      <c r="L197" s="30">
        <f t="array" aca="1" ref="L197" ca="1">INDIRECT("'"&amp;$A197&amp;"'!I8")</f>
        <v>0</v>
      </c>
      <c r="M197" s="30">
        <f t="array" aca="1" ref="M197" ca="1">INDIRECT("'"&amp;$A197&amp;"'!J8")</f>
        <v>0</v>
      </c>
      <c r="N197" s="30">
        <f t="array" aca="1" ref="N197" ca="1">INDIRECT("'"&amp;$A197&amp;"'!K8")</f>
        <v>0</v>
      </c>
      <c r="O197" s="30">
        <f t="array" aca="1" ref="O197" ca="1">INDIRECT("'"&amp;$A197&amp;"'!L8")</f>
        <v>0</v>
      </c>
      <c r="P197" s="30">
        <f t="array" aca="1" ref="P197" ca="1">INDIRECT("'"&amp;$A197&amp;"'!M8")</f>
        <v>0</v>
      </c>
      <c r="Q197" s="30">
        <f t="array" aca="1" ref="Q197" ca="1">INDIRECT("'"&amp;$A197&amp;"'!N8")</f>
        <v>0</v>
      </c>
      <c r="R197" s="30">
        <f t="array" aca="1" ref="R197" ca="1">INDIRECT("'"&amp;$A197&amp;"'!O8")</f>
        <v>0</v>
      </c>
      <c r="S197" s="30">
        <f t="array" aca="1" ref="S197" ca="1">INDIRECT("'"&amp;$A197&amp;"'!P8")</f>
        <v>0</v>
      </c>
      <c r="T197" s="30">
        <f t="array" aca="1" ref="T197" ca="1">INDIRECT("'"&amp;$A197&amp;"'!Q8")</f>
        <v>0</v>
      </c>
      <c r="U197" s="30">
        <f t="array" aca="1" ref="U197" ca="1">INDIRECT("'"&amp;$A197&amp;"'!R8")</f>
        <v>0</v>
      </c>
      <c r="V197" s="30">
        <f t="array" aca="1" ref="V197" ca="1">INDIRECT("'"&amp;$A197&amp;"'!S8")</f>
        <v>0</v>
      </c>
      <c r="W197" s="30">
        <f t="array" aca="1" ref="W197" ca="1">INDIRECT("'"&amp;$A197&amp;"'!T8")</f>
        <v>0</v>
      </c>
      <c r="X197" s="30">
        <f t="array" aca="1" ref="X197" ca="1">INDIRECT("'"&amp;$A197&amp;"'!U8")</f>
        <v>0</v>
      </c>
      <c r="Y197" s="30">
        <f t="array" aca="1" ref="Y197" ca="1">INDIRECT("'"&amp;$A197&amp;"'!V8")</f>
        <v>0</v>
      </c>
      <c r="Z197" s="30">
        <f t="array" aca="1" ref="Z197" ca="1">INDIRECT("'"&amp;$A197&amp;"'!W8")</f>
        <v>0</v>
      </c>
      <c r="AA197" s="30">
        <f t="array" aca="1" ref="AA197" ca="1">INDIRECT("'"&amp;$A197&amp;"'!X8")</f>
        <v>0</v>
      </c>
      <c r="AB197" s="30">
        <f t="array" aca="1" ref="AB197" ca="1">INDIRECT("'"&amp;$A197&amp;"'!Y8")</f>
        <v>0</v>
      </c>
      <c r="AC197" s="30">
        <f t="array" aca="1" ref="AC197" ca="1">INDIRECT("'"&amp;$A197&amp;"'!Z8")</f>
        <v>0</v>
      </c>
      <c r="AD197" s="31">
        <f t="array" aca="1" ref="AD197" ca="1">INDIRECT("'"&amp;$A197&amp;"'!AA8")</f>
        <v>0</v>
      </c>
      <c r="AE197" s="81">
        <f t="array" aca="1" ref="AE197" ca="1">INDIRECT("'"&amp;$A198&amp;"'!J2")</f>
        <v>0</v>
      </c>
      <c r="AF197" s="53" t="str">
        <f t="array" aca="1" ref="AF197" ca="1">INDIRECT("'"&amp;$A198&amp;"'!AD1")</f>
        <v/>
      </c>
    </row>
    <row r="198" spans="1:32">
      <c r="A198" s="58">
        <v>66</v>
      </c>
      <c r="B198" s="106"/>
      <c r="C198" s="67" t="str">
        <f t="array" aca="1" ref="C198" ca="1">CONCATENATE("粮 ",INDIRECT("'"&amp;$A198&amp;"'!D4"))</f>
        <v>粮 110800</v>
      </c>
      <c r="D198" s="55" t="s">
        <v>7</v>
      </c>
      <c r="E198" s="82">
        <f t="array" aca="1" ref="E198" ca="1">INDIRECT("'"&amp;$A198&amp;"'!I3")</f>
        <v>18</v>
      </c>
      <c r="F198" s="52">
        <f t="array" aca="1" ref="F198" ca="1">INDIRECT("'"&amp;$A198&amp;"'!C11")</f>
        <v>0</v>
      </c>
      <c r="G198" s="3">
        <f t="array" aca="1" ref="G198" ca="1">INDIRECT("'"&amp;$A198&amp;"'!D11")</f>
        <v>0</v>
      </c>
      <c r="H198" s="3">
        <f t="array" aca="1" ref="H198" ca="1">INDIRECT("'"&amp;$A198&amp;"'!E11")</f>
        <v>0</v>
      </c>
      <c r="I198" s="3">
        <f t="array" aca="1" ref="I198" ca="1">INDIRECT("'"&amp;$A198&amp;"'!F11")</f>
        <v>0</v>
      </c>
      <c r="J198" s="3">
        <f t="array" aca="1" ref="J198" ca="1">INDIRECT("'"&amp;$A198&amp;"'!G11")</f>
        <v>0</v>
      </c>
      <c r="K198" s="3">
        <f t="array" aca="1" ref="K198" ca="1">INDIRECT("'"&amp;$A198&amp;"'!H11")</f>
        <v>0</v>
      </c>
      <c r="L198" s="3">
        <f t="array" aca="1" ref="L198" ca="1">INDIRECT("'"&amp;$A198&amp;"'!I11")</f>
        <v>0</v>
      </c>
      <c r="M198" s="3">
        <f t="array" aca="1" ref="M198" ca="1">INDIRECT("'"&amp;$A198&amp;"'!J11")</f>
        <v>0</v>
      </c>
      <c r="N198" s="3">
        <f t="array" aca="1" ref="N198" ca="1">INDIRECT("'"&amp;$A198&amp;"'!K11")</f>
        <v>0</v>
      </c>
      <c r="O198" s="3">
        <f t="array" aca="1" ref="O198" ca="1">INDIRECT("'"&amp;$A198&amp;"'!L11")</f>
        <v>0</v>
      </c>
      <c r="P198" s="3">
        <f t="array" aca="1" ref="P198" ca="1">INDIRECT("'"&amp;$A198&amp;"'!M11")</f>
        <v>0</v>
      </c>
      <c r="Q198" s="3">
        <f t="array" aca="1" ref="Q198" ca="1">INDIRECT("'"&amp;$A198&amp;"'!N11")</f>
        <v>0</v>
      </c>
      <c r="R198" s="3">
        <f t="array" aca="1" ref="R198" ca="1">INDIRECT("'"&amp;$A198&amp;"'!O11")</f>
        <v>0</v>
      </c>
      <c r="S198" s="3">
        <f t="array" aca="1" ref="S198" ca="1">INDIRECT("'"&amp;$A198&amp;"'!P11")</f>
        <v>0</v>
      </c>
      <c r="T198" s="3">
        <f t="array" aca="1" ref="T198" ca="1">INDIRECT("'"&amp;$A198&amp;"'!Q11")</f>
        <v>0</v>
      </c>
      <c r="U198" s="3">
        <f t="array" aca="1" ref="U198" ca="1">INDIRECT("'"&amp;$A198&amp;"'!R11")</f>
        <v>0</v>
      </c>
      <c r="V198" s="3">
        <f t="array" aca="1" ref="V198" ca="1">INDIRECT("'"&amp;$A198&amp;"'!S11")</f>
        <v>0</v>
      </c>
      <c r="W198" s="3">
        <f t="array" aca="1" ref="W198" ca="1">INDIRECT("'"&amp;$A198&amp;"'!T11")</f>
        <v>0</v>
      </c>
      <c r="X198" s="3">
        <f t="array" aca="1" ref="X198" ca="1">INDIRECT("'"&amp;$A198&amp;"'!U11")</f>
        <v>0</v>
      </c>
      <c r="Y198" s="3">
        <f t="array" aca="1" ref="Y198" ca="1">INDIRECT("'"&amp;$A198&amp;"'!V11")</f>
        <v>0</v>
      </c>
      <c r="Z198" s="3">
        <f t="array" aca="1" ref="Z198" ca="1">INDIRECT("'"&amp;$A198&amp;"'!W11")</f>
        <v>0</v>
      </c>
      <c r="AA198" s="3">
        <f t="array" aca="1" ref="AA198" ca="1">INDIRECT("'"&amp;$A198&amp;"'!X11")</f>
        <v>0</v>
      </c>
      <c r="AB198" s="3">
        <f t="array" aca="1" ref="AB198" ca="1">INDIRECT("'"&amp;$A198&amp;"'!Y11")</f>
        <v>0</v>
      </c>
      <c r="AC198" s="3">
        <f t="array" aca="1" ref="AC198" ca="1">INDIRECT("'"&amp;$A198&amp;"'!Z11")</f>
        <v>0</v>
      </c>
      <c r="AD198" s="32">
        <f t="array" aca="1" ref="AD198" ca="1">INDIRECT("'"&amp;$A198&amp;"'!AA11")</f>
        <v>0</v>
      </c>
      <c r="AE198" s="82">
        <f t="array" aca="1" ref="AE198" ca="1">INDIRECT("'"&amp;$A198&amp;"'!J3")</f>
        <v>0</v>
      </c>
      <c r="AF198" s="53" t="str">
        <f t="array" aca="1" ref="AF198" ca="1">INDIRECT("'"&amp;$A198&amp;"'!AC1")</f>
        <v/>
      </c>
    </row>
    <row r="199" spans="1:32" ht="15.75" customHeight="1" thickBot="1">
      <c r="A199" s="58">
        <v>66</v>
      </c>
      <c r="B199" s="107"/>
      <c r="C199" s="77" t="str">
        <f t="array" aca="1" ref="C199" ca="1">CONCATENATE("分 ",INDIRECT("'"&amp;$A198&amp;"'!D6"))</f>
        <v>分 0</v>
      </c>
      <c r="D199" s="56" t="s">
        <v>8</v>
      </c>
      <c r="E199" s="83">
        <f t="array" aca="1" ref="E199" ca="1">INDIRECT("'"&amp;$A198&amp;"'!I4")</f>
        <v>18</v>
      </c>
      <c r="F199" s="52">
        <f t="array" aca="1" ref="F199" ca="1">INDIRECT("'"&amp;$A199&amp;"'!C14")</f>
        <v>0</v>
      </c>
      <c r="G199" s="3">
        <f t="array" aca="1" ref="G199" ca="1">INDIRECT("'"&amp;$A199&amp;"'!D14")</f>
        <v>0</v>
      </c>
      <c r="H199" s="3">
        <f t="array" aca="1" ref="H199" ca="1">INDIRECT("'"&amp;$A199&amp;"'!E14")</f>
        <v>0</v>
      </c>
      <c r="I199" s="3">
        <f t="array" aca="1" ref="I199" ca="1">INDIRECT("'"&amp;$A199&amp;"'!F14")</f>
        <v>0</v>
      </c>
      <c r="J199" s="3">
        <f t="array" aca="1" ref="J199" ca="1">INDIRECT("'"&amp;$A199&amp;"'!G14")</f>
        <v>0</v>
      </c>
      <c r="K199" s="3">
        <f t="array" aca="1" ref="K199" ca="1">INDIRECT("'"&amp;$A199&amp;"'!H14")</f>
        <v>0</v>
      </c>
      <c r="L199" s="3">
        <f t="array" aca="1" ref="L199" ca="1">INDIRECT("'"&amp;$A199&amp;"'!I14")</f>
        <v>0</v>
      </c>
      <c r="M199" s="3">
        <f t="array" aca="1" ref="M199" ca="1">INDIRECT("'"&amp;$A199&amp;"'!J14")</f>
        <v>0</v>
      </c>
      <c r="N199" s="3">
        <f t="array" aca="1" ref="N199" ca="1">INDIRECT("'"&amp;$A199&amp;"'!K14")</f>
        <v>0</v>
      </c>
      <c r="O199" s="3">
        <f t="array" aca="1" ref="O199" ca="1">INDIRECT("'"&amp;$A199&amp;"'!L14")</f>
        <v>0</v>
      </c>
      <c r="P199" s="3">
        <f t="array" aca="1" ref="P199" ca="1">INDIRECT("'"&amp;$A199&amp;"'!M14")</f>
        <v>0</v>
      </c>
      <c r="Q199" s="3">
        <f t="array" aca="1" ref="Q199" ca="1">INDIRECT("'"&amp;$A199&amp;"'!N14")</f>
        <v>0</v>
      </c>
      <c r="R199" s="3">
        <f t="array" aca="1" ref="R199" ca="1">INDIRECT("'"&amp;$A199&amp;"'!O14")</f>
        <v>0</v>
      </c>
      <c r="S199" s="3">
        <f t="array" aca="1" ref="S199" ca="1">INDIRECT("'"&amp;$A199&amp;"'!P14")</f>
        <v>0</v>
      </c>
      <c r="T199" s="3">
        <f t="array" aca="1" ref="T199" ca="1">INDIRECT("'"&amp;$A199&amp;"'!Q14")</f>
        <v>0</v>
      </c>
      <c r="U199" s="3">
        <f t="array" aca="1" ref="U199" ca="1">INDIRECT("'"&amp;$A199&amp;"'!R14")</f>
        <v>0</v>
      </c>
      <c r="V199" s="3">
        <f t="array" aca="1" ref="V199" ca="1">INDIRECT("'"&amp;$A199&amp;"'!S14")</f>
        <v>0</v>
      </c>
      <c r="W199" s="3">
        <f t="array" aca="1" ref="W199" ca="1">INDIRECT("'"&amp;$A199&amp;"'!T14")</f>
        <v>0</v>
      </c>
      <c r="X199" s="3">
        <f t="array" aca="1" ref="X199" ca="1">INDIRECT("'"&amp;$A199&amp;"'!U14")</f>
        <v>0</v>
      </c>
      <c r="Y199" s="3">
        <f t="array" aca="1" ref="Y199" ca="1">INDIRECT("'"&amp;$A199&amp;"'!V14")</f>
        <v>0</v>
      </c>
      <c r="Z199" s="3">
        <f t="array" aca="1" ref="Z199" ca="1">INDIRECT("'"&amp;$A199&amp;"'!W14")</f>
        <v>0</v>
      </c>
      <c r="AA199" s="3">
        <f t="array" aca="1" ref="AA199" ca="1">INDIRECT("'"&amp;$A199&amp;"'!X14")</f>
        <v>0</v>
      </c>
      <c r="AB199" s="3">
        <f t="array" aca="1" ref="AB199" ca="1">INDIRECT("'"&amp;$A199&amp;"'!Y14")</f>
        <v>0</v>
      </c>
      <c r="AC199" s="3">
        <f t="array" aca="1" ref="AC199" ca="1">INDIRECT("'"&amp;$A199&amp;"'!Z14")</f>
        <v>0</v>
      </c>
      <c r="AD199" s="32">
        <f t="array" aca="1" ref="AD199" ca="1">INDIRECT("'"&amp;$A199&amp;"'!AA14")</f>
        <v>0</v>
      </c>
      <c r="AE199" s="83">
        <f t="array" aca="1" ref="AE199" ca="1">INDIRECT("'"&amp;$A198&amp;"'!J4")</f>
        <v>0</v>
      </c>
      <c r="AF199" s="53"/>
    </row>
    <row r="200" spans="1:32">
      <c r="A200" s="58">
        <v>67</v>
      </c>
      <c r="B200" s="105">
        <f>INDEX(data!$I$2:$I$91,MATCH(A200*1,data!$G$2:$G$91,0))</f>
        <v>46251</v>
      </c>
      <c r="C200" s="66" t="str">
        <f>HYPERLINK("#'" &amp; A200 &amp; "'!A1", "编辑")</f>
        <v>编辑</v>
      </c>
      <c r="D200" s="54" t="s">
        <v>6</v>
      </c>
      <c r="E200" s="81">
        <f t="array" aca="1" ref="E200" ca="1">INDIRECT("'"&amp;$A201&amp;"'!I2")</f>
        <v>18</v>
      </c>
      <c r="F200" s="29">
        <f t="array" aca="1" ref="F200" ca="1">INDIRECT("'"&amp;$A200&amp;"'!C8")</f>
        <v>0</v>
      </c>
      <c r="G200" s="30">
        <f t="array" aca="1" ref="G200" ca="1">INDIRECT("'"&amp;$A200&amp;"'!D8")</f>
        <v>0</v>
      </c>
      <c r="H200" s="30">
        <f t="array" aca="1" ref="H200" ca="1">INDIRECT("'"&amp;$A200&amp;"'!E8")</f>
        <v>0</v>
      </c>
      <c r="I200" s="30">
        <f t="array" aca="1" ref="I200" ca="1">INDIRECT("'"&amp;$A200&amp;"'!F8")</f>
        <v>0</v>
      </c>
      <c r="J200" s="30">
        <f t="array" aca="1" ref="J200" ca="1">INDIRECT("'"&amp;$A200&amp;"'!G8")</f>
        <v>0</v>
      </c>
      <c r="K200" s="30">
        <f t="array" aca="1" ref="K200" ca="1">INDIRECT("'"&amp;$A200&amp;"'!H8")</f>
        <v>0</v>
      </c>
      <c r="L200" s="30">
        <f t="array" aca="1" ref="L200" ca="1">INDIRECT("'"&amp;$A200&amp;"'!I8")</f>
        <v>0</v>
      </c>
      <c r="M200" s="30">
        <f t="array" aca="1" ref="M200" ca="1">INDIRECT("'"&amp;$A200&amp;"'!J8")</f>
        <v>0</v>
      </c>
      <c r="N200" s="30">
        <f t="array" aca="1" ref="N200" ca="1">INDIRECT("'"&amp;$A200&amp;"'!K8")</f>
        <v>0</v>
      </c>
      <c r="O200" s="30">
        <f t="array" aca="1" ref="O200" ca="1">INDIRECT("'"&amp;$A200&amp;"'!L8")</f>
        <v>0</v>
      </c>
      <c r="P200" s="30">
        <f t="array" aca="1" ref="P200" ca="1">INDIRECT("'"&amp;$A200&amp;"'!M8")</f>
        <v>0</v>
      </c>
      <c r="Q200" s="30">
        <f t="array" aca="1" ref="Q200" ca="1">INDIRECT("'"&amp;$A200&amp;"'!N8")</f>
        <v>0</v>
      </c>
      <c r="R200" s="30">
        <f t="array" aca="1" ref="R200" ca="1">INDIRECT("'"&amp;$A200&amp;"'!O8")</f>
        <v>0</v>
      </c>
      <c r="S200" s="30">
        <f t="array" aca="1" ref="S200" ca="1">INDIRECT("'"&amp;$A200&amp;"'!P8")</f>
        <v>0</v>
      </c>
      <c r="T200" s="30">
        <f t="array" aca="1" ref="T200" ca="1">INDIRECT("'"&amp;$A200&amp;"'!Q8")</f>
        <v>0</v>
      </c>
      <c r="U200" s="30">
        <f t="array" aca="1" ref="U200" ca="1">INDIRECT("'"&amp;$A200&amp;"'!R8")</f>
        <v>0</v>
      </c>
      <c r="V200" s="30">
        <f t="array" aca="1" ref="V200" ca="1">INDIRECT("'"&amp;$A200&amp;"'!S8")</f>
        <v>0</v>
      </c>
      <c r="W200" s="30">
        <f t="array" aca="1" ref="W200" ca="1">INDIRECT("'"&amp;$A200&amp;"'!T8")</f>
        <v>0</v>
      </c>
      <c r="X200" s="30">
        <f t="array" aca="1" ref="X200" ca="1">INDIRECT("'"&amp;$A200&amp;"'!U8")</f>
        <v>0</v>
      </c>
      <c r="Y200" s="30">
        <f t="array" aca="1" ref="Y200" ca="1">INDIRECT("'"&amp;$A200&amp;"'!V8")</f>
        <v>0</v>
      </c>
      <c r="Z200" s="30">
        <f t="array" aca="1" ref="Z200" ca="1">INDIRECT("'"&amp;$A200&amp;"'!W8")</f>
        <v>0</v>
      </c>
      <c r="AA200" s="30">
        <f t="array" aca="1" ref="AA200" ca="1">INDIRECT("'"&amp;$A200&amp;"'!X8")</f>
        <v>0</v>
      </c>
      <c r="AB200" s="30">
        <f t="array" aca="1" ref="AB200" ca="1">INDIRECT("'"&amp;$A200&amp;"'!Y8")</f>
        <v>0</v>
      </c>
      <c r="AC200" s="30">
        <f t="array" aca="1" ref="AC200" ca="1">INDIRECT("'"&amp;$A200&amp;"'!Z8")</f>
        <v>0</v>
      </c>
      <c r="AD200" s="31">
        <f t="array" aca="1" ref="AD200" ca="1">INDIRECT("'"&amp;$A200&amp;"'!AA8")</f>
        <v>0</v>
      </c>
      <c r="AE200" s="81">
        <f t="array" aca="1" ref="AE200" ca="1">INDIRECT("'"&amp;$A201&amp;"'!J2")</f>
        <v>0</v>
      </c>
      <c r="AF200" s="53" t="str">
        <f t="array" aca="1" ref="AF200" ca="1">INDIRECT("'"&amp;$A201&amp;"'!AD1")</f>
        <v/>
      </c>
    </row>
    <row r="201" spans="1:32">
      <c r="A201" s="58">
        <v>67</v>
      </c>
      <c r="B201" s="106"/>
      <c r="C201" s="67" t="str">
        <f t="array" aca="1" ref="C201" ca="1">CONCATENATE("粮 ",INDIRECT("'"&amp;$A201&amp;"'!D4"))</f>
        <v>粮 112400</v>
      </c>
      <c r="D201" s="55" t="s">
        <v>7</v>
      </c>
      <c r="E201" s="82">
        <f t="array" aca="1" ref="E201" ca="1">INDIRECT("'"&amp;$A201&amp;"'!I3")</f>
        <v>18</v>
      </c>
      <c r="F201" s="52">
        <f t="array" aca="1" ref="F201" ca="1">INDIRECT("'"&amp;$A201&amp;"'!C11")</f>
        <v>0</v>
      </c>
      <c r="G201" s="3">
        <f t="array" aca="1" ref="G201" ca="1">INDIRECT("'"&amp;$A201&amp;"'!D11")</f>
        <v>0</v>
      </c>
      <c r="H201" s="3">
        <f t="array" aca="1" ref="H201" ca="1">INDIRECT("'"&amp;$A201&amp;"'!E11")</f>
        <v>0</v>
      </c>
      <c r="I201" s="3">
        <f t="array" aca="1" ref="I201" ca="1">INDIRECT("'"&amp;$A201&amp;"'!F11")</f>
        <v>0</v>
      </c>
      <c r="J201" s="3">
        <f t="array" aca="1" ref="J201" ca="1">INDIRECT("'"&amp;$A201&amp;"'!G11")</f>
        <v>0</v>
      </c>
      <c r="K201" s="3">
        <f t="array" aca="1" ref="K201" ca="1">INDIRECT("'"&amp;$A201&amp;"'!H11")</f>
        <v>0</v>
      </c>
      <c r="L201" s="3">
        <f t="array" aca="1" ref="L201" ca="1">INDIRECT("'"&amp;$A201&amp;"'!I11")</f>
        <v>0</v>
      </c>
      <c r="M201" s="3">
        <f t="array" aca="1" ref="M201" ca="1">INDIRECT("'"&amp;$A201&amp;"'!J11")</f>
        <v>0</v>
      </c>
      <c r="N201" s="3">
        <f t="array" aca="1" ref="N201" ca="1">INDIRECT("'"&amp;$A201&amp;"'!K11")</f>
        <v>0</v>
      </c>
      <c r="O201" s="3">
        <f t="array" aca="1" ref="O201" ca="1">INDIRECT("'"&amp;$A201&amp;"'!L11")</f>
        <v>0</v>
      </c>
      <c r="P201" s="3">
        <f t="array" aca="1" ref="P201" ca="1">INDIRECT("'"&amp;$A201&amp;"'!M11")</f>
        <v>0</v>
      </c>
      <c r="Q201" s="3">
        <f t="array" aca="1" ref="Q201" ca="1">INDIRECT("'"&amp;$A201&amp;"'!N11")</f>
        <v>0</v>
      </c>
      <c r="R201" s="3">
        <f t="array" aca="1" ref="R201" ca="1">INDIRECT("'"&amp;$A201&amp;"'!O11")</f>
        <v>0</v>
      </c>
      <c r="S201" s="3">
        <f t="array" aca="1" ref="S201" ca="1">INDIRECT("'"&amp;$A201&amp;"'!P11")</f>
        <v>0</v>
      </c>
      <c r="T201" s="3">
        <f t="array" aca="1" ref="T201" ca="1">INDIRECT("'"&amp;$A201&amp;"'!Q11")</f>
        <v>0</v>
      </c>
      <c r="U201" s="3">
        <f t="array" aca="1" ref="U201" ca="1">INDIRECT("'"&amp;$A201&amp;"'!R11")</f>
        <v>0</v>
      </c>
      <c r="V201" s="3">
        <f t="array" aca="1" ref="V201" ca="1">INDIRECT("'"&amp;$A201&amp;"'!S11")</f>
        <v>0</v>
      </c>
      <c r="W201" s="3">
        <f t="array" aca="1" ref="W201" ca="1">INDIRECT("'"&amp;$A201&amp;"'!T11")</f>
        <v>0</v>
      </c>
      <c r="X201" s="3">
        <f t="array" aca="1" ref="X201" ca="1">INDIRECT("'"&amp;$A201&amp;"'!U11")</f>
        <v>0</v>
      </c>
      <c r="Y201" s="3">
        <f t="array" aca="1" ref="Y201" ca="1">INDIRECT("'"&amp;$A201&amp;"'!V11")</f>
        <v>0</v>
      </c>
      <c r="Z201" s="3">
        <f t="array" aca="1" ref="Z201" ca="1">INDIRECT("'"&amp;$A201&amp;"'!W11")</f>
        <v>0</v>
      </c>
      <c r="AA201" s="3">
        <f t="array" aca="1" ref="AA201" ca="1">INDIRECT("'"&amp;$A201&amp;"'!X11")</f>
        <v>0</v>
      </c>
      <c r="AB201" s="3">
        <f t="array" aca="1" ref="AB201" ca="1">INDIRECT("'"&amp;$A201&amp;"'!Y11")</f>
        <v>0</v>
      </c>
      <c r="AC201" s="3">
        <f t="array" aca="1" ref="AC201" ca="1">INDIRECT("'"&amp;$A201&amp;"'!Z11")</f>
        <v>0</v>
      </c>
      <c r="AD201" s="32">
        <f t="array" aca="1" ref="AD201" ca="1">INDIRECT("'"&amp;$A201&amp;"'!AA11")</f>
        <v>0</v>
      </c>
      <c r="AE201" s="82">
        <f t="array" aca="1" ref="AE201" ca="1">INDIRECT("'"&amp;$A201&amp;"'!J3")</f>
        <v>0</v>
      </c>
      <c r="AF201" s="53" t="str">
        <f t="array" aca="1" ref="AF201" ca="1">INDIRECT("'"&amp;$A201&amp;"'!AC1")</f>
        <v/>
      </c>
    </row>
    <row r="202" spans="1:32" ht="15.75" customHeight="1" thickBot="1">
      <c r="A202" s="58">
        <v>67</v>
      </c>
      <c r="B202" s="107"/>
      <c r="C202" s="77" t="str">
        <f t="array" aca="1" ref="C202" ca="1">CONCATENATE("分 ",INDIRECT("'"&amp;$A201&amp;"'!D6"))</f>
        <v>分 0</v>
      </c>
      <c r="D202" s="56" t="s">
        <v>8</v>
      </c>
      <c r="E202" s="83">
        <f t="array" aca="1" ref="E202" ca="1">INDIRECT("'"&amp;$A201&amp;"'!I4")</f>
        <v>18</v>
      </c>
      <c r="F202" s="52">
        <f t="array" aca="1" ref="F202" ca="1">INDIRECT("'"&amp;$A202&amp;"'!C14")</f>
        <v>0</v>
      </c>
      <c r="G202" s="3">
        <f t="array" aca="1" ref="G202" ca="1">INDIRECT("'"&amp;$A202&amp;"'!D14")</f>
        <v>0</v>
      </c>
      <c r="H202" s="3">
        <f t="array" aca="1" ref="H202" ca="1">INDIRECT("'"&amp;$A202&amp;"'!E14")</f>
        <v>0</v>
      </c>
      <c r="I202" s="3">
        <f t="array" aca="1" ref="I202" ca="1">INDIRECT("'"&amp;$A202&amp;"'!F14")</f>
        <v>0</v>
      </c>
      <c r="J202" s="3">
        <f t="array" aca="1" ref="J202" ca="1">INDIRECT("'"&amp;$A202&amp;"'!G14")</f>
        <v>0</v>
      </c>
      <c r="K202" s="3">
        <f t="array" aca="1" ref="K202" ca="1">INDIRECT("'"&amp;$A202&amp;"'!H14")</f>
        <v>0</v>
      </c>
      <c r="L202" s="3">
        <f t="array" aca="1" ref="L202" ca="1">INDIRECT("'"&amp;$A202&amp;"'!I14")</f>
        <v>0</v>
      </c>
      <c r="M202" s="3">
        <f t="array" aca="1" ref="M202" ca="1">INDIRECT("'"&amp;$A202&amp;"'!J14")</f>
        <v>0</v>
      </c>
      <c r="N202" s="3">
        <f t="array" aca="1" ref="N202" ca="1">INDIRECT("'"&amp;$A202&amp;"'!K14")</f>
        <v>0</v>
      </c>
      <c r="O202" s="3">
        <f t="array" aca="1" ref="O202" ca="1">INDIRECT("'"&amp;$A202&amp;"'!L14")</f>
        <v>0</v>
      </c>
      <c r="P202" s="3">
        <f t="array" aca="1" ref="P202" ca="1">INDIRECT("'"&amp;$A202&amp;"'!M14")</f>
        <v>0</v>
      </c>
      <c r="Q202" s="3">
        <f t="array" aca="1" ref="Q202" ca="1">INDIRECT("'"&amp;$A202&amp;"'!N14")</f>
        <v>0</v>
      </c>
      <c r="R202" s="3">
        <f t="array" aca="1" ref="R202" ca="1">INDIRECT("'"&amp;$A202&amp;"'!O14")</f>
        <v>0</v>
      </c>
      <c r="S202" s="3">
        <f t="array" aca="1" ref="S202" ca="1">INDIRECT("'"&amp;$A202&amp;"'!P14")</f>
        <v>0</v>
      </c>
      <c r="T202" s="3">
        <f t="array" aca="1" ref="T202" ca="1">INDIRECT("'"&amp;$A202&amp;"'!Q14")</f>
        <v>0</v>
      </c>
      <c r="U202" s="3">
        <f t="array" aca="1" ref="U202" ca="1">INDIRECT("'"&amp;$A202&amp;"'!R14")</f>
        <v>0</v>
      </c>
      <c r="V202" s="3">
        <f t="array" aca="1" ref="V202" ca="1">INDIRECT("'"&amp;$A202&amp;"'!S14")</f>
        <v>0</v>
      </c>
      <c r="W202" s="3">
        <f t="array" aca="1" ref="W202" ca="1">INDIRECT("'"&amp;$A202&amp;"'!T14")</f>
        <v>0</v>
      </c>
      <c r="X202" s="3">
        <f t="array" aca="1" ref="X202" ca="1">INDIRECT("'"&amp;$A202&amp;"'!U14")</f>
        <v>0</v>
      </c>
      <c r="Y202" s="3">
        <f t="array" aca="1" ref="Y202" ca="1">INDIRECT("'"&amp;$A202&amp;"'!V14")</f>
        <v>0</v>
      </c>
      <c r="Z202" s="3">
        <f t="array" aca="1" ref="Z202" ca="1">INDIRECT("'"&amp;$A202&amp;"'!W14")</f>
        <v>0</v>
      </c>
      <c r="AA202" s="3">
        <f t="array" aca="1" ref="AA202" ca="1">INDIRECT("'"&amp;$A202&amp;"'!X14")</f>
        <v>0</v>
      </c>
      <c r="AB202" s="3">
        <f t="array" aca="1" ref="AB202" ca="1">INDIRECT("'"&amp;$A202&amp;"'!Y14")</f>
        <v>0</v>
      </c>
      <c r="AC202" s="3">
        <f t="array" aca="1" ref="AC202" ca="1">INDIRECT("'"&amp;$A202&amp;"'!Z14")</f>
        <v>0</v>
      </c>
      <c r="AD202" s="32">
        <f t="array" aca="1" ref="AD202" ca="1">INDIRECT("'"&amp;$A202&amp;"'!AA14")</f>
        <v>0</v>
      </c>
      <c r="AE202" s="83">
        <f t="array" aca="1" ref="AE202" ca="1">INDIRECT("'"&amp;$A201&amp;"'!J4")</f>
        <v>0</v>
      </c>
      <c r="AF202" s="53"/>
    </row>
    <row r="203" spans="1:32">
      <c r="A203" s="58">
        <v>68</v>
      </c>
      <c r="B203" s="105">
        <f>INDEX(data!$I$2:$I$91,MATCH(A203*1,data!$G$2:$G$91,0))</f>
        <v>46252</v>
      </c>
      <c r="C203" s="66" t="str">
        <f>HYPERLINK("#'" &amp; A203 &amp; "'!A1", "编辑")</f>
        <v>编辑</v>
      </c>
      <c r="D203" s="54" t="s">
        <v>6</v>
      </c>
      <c r="E203" s="81">
        <f t="array" aca="1" ref="E203" ca="1">INDIRECT("'"&amp;$A204&amp;"'!I2")</f>
        <v>18</v>
      </c>
      <c r="F203" s="29">
        <f t="array" aca="1" ref="F203" ca="1">INDIRECT("'"&amp;$A203&amp;"'!C8")</f>
        <v>0</v>
      </c>
      <c r="G203" s="30">
        <f t="array" aca="1" ref="G203" ca="1">INDIRECT("'"&amp;$A203&amp;"'!D8")</f>
        <v>0</v>
      </c>
      <c r="H203" s="30">
        <f t="array" aca="1" ref="H203" ca="1">INDIRECT("'"&amp;$A203&amp;"'!E8")</f>
        <v>0</v>
      </c>
      <c r="I203" s="30">
        <f t="array" aca="1" ref="I203" ca="1">INDIRECT("'"&amp;$A203&amp;"'!F8")</f>
        <v>0</v>
      </c>
      <c r="J203" s="30">
        <f t="array" aca="1" ref="J203" ca="1">INDIRECT("'"&amp;$A203&amp;"'!G8")</f>
        <v>0</v>
      </c>
      <c r="K203" s="30">
        <f t="array" aca="1" ref="K203" ca="1">INDIRECT("'"&amp;$A203&amp;"'!H8")</f>
        <v>0</v>
      </c>
      <c r="L203" s="30">
        <f t="array" aca="1" ref="L203" ca="1">INDIRECT("'"&amp;$A203&amp;"'!I8")</f>
        <v>0</v>
      </c>
      <c r="M203" s="30">
        <f t="array" aca="1" ref="M203" ca="1">INDIRECT("'"&amp;$A203&amp;"'!J8")</f>
        <v>0</v>
      </c>
      <c r="N203" s="30">
        <f t="array" aca="1" ref="N203" ca="1">INDIRECT("'"&amp;$A203&amp;"'!K8")</f>
        <v>0</v>
      </c>
      <c r="O203" s="30">
        <f t="array" aca="1" ref="O203" ca="1">INDIRECT("'"&amp;$A203&amp;"'!L8")</f>
        <v>0</v>
      </c>
      <c r="P203" s="30">
        <f t="array" aca="1" ref="P203" ca="1">INDIRECT("'"&amp;$A203&amp;"'!M8")</f>
        <v>0</v>
      </c>
      <c r="Q203" s="30">
        <f t="array" aca="1" ref="Q203" ca="1">INDIRECT("'"&amp;$A203&amp;"'!N8")</f>
        <v>0</v>
      </c>
      <c r="R203" s="30">
        <f t="array" aca="1" ref="R203" ca="1">INDIRECT("'"&amp;$A203&amp;"'!O8")</f>
        <v>0</v>
      </c>
      <c r="S203" s="30">
        <f t="array" aca="1" ref="S203" ca="1">INDIRECT("'"&amp;$A203&amp;"'!P8")</f>
        <v>0</v>
      </c>
      <c r="T203" s="30">
        <f t="array" aca="1" ref="T203" ca="1">INDIRECT("'"&amp;$A203&amp;"'!Q8")</f>
        <v>0</v>
      </c>
      <c r="U203" s="30">
        <f t="array" aca="1" ref="U203" ca="1">INDIRECT("'"&amp;$A203&amp;"'!R8")</f>
        <v>0</v>
      </c>
      <c r="V203" s="30">
        <f t="array" aca="1" ref="V203" ca="1">INDIRECT("'"&amp;$A203&amp;"'!S8")</f>
        <v>0</v>
      </c>
      <c r="W203" s="30">
        <f t="array" aca="1" ref="W203" ca="1">INDIRECT("'"&amp;$A203&amp;"'!T8")</f>
        <v>0</v>
      </c>
      <c r="X203" s="30">
        <f t="array" aca="1" ref="X203" ca="1">INDIRECT("'"&amp;$A203&amp;"'!U8")</f>
        <v>0</v>
      </c>
      <c r="Y203" s="30">
        <f t="array" aca="1" ref="Y203" ca="1">INDIRECT("'"&amp;$A203&amp;"'!V8")</f>
        <v>0</v>
      </c>
      <c r="Z203" s="30">
        <f t="array" aca="1" ref="Z203" ca="1">INDIRECT("'"&amp;$A203&amp;"'!W8")</f>
        <v>0</v>
      </c>
      <c r="AA203" s="30">
        <f t="array" aca="1" ref="AA203" ca="1">INDIRECT("'"&amp;$A203&amp;"'!X8")</f>
        <v>0</v>
      </c>
      <c r="AB203" s="30">
        <f t="array" aca="1" ref="AB203" ca="1">INDIRECT("'"&amp;$A203&amp;"'!Y8")</f>
        <v>0</v>
      </c>
      <c r="AC203" s="30">
        <f t="array" aca="1" ref="AC203" ca="1">INDIRECT("'"&amp;$A203&amp;"'!Z8")</f>
        <v>0</v>
      </c>
      <c r="AD203" s="31">
        <f t="array" aca="1" ref="AD203" ca="1">INDIRECT("'"&amp;$A203&amp;"'!AA8")</f>
        <v>0</v>
      </c>
      <c r="AE203" s="81">
        <f t="array" aca="1" ref="AE203" ca="1">INDIRECT("'"&amp;$A204&amp;"'!J2")</f>
        <v>0</v>
      </c>
      <c r="AF203" s="53" t="str">
        <f t="array" aca="1" ref="AF203" ca="1">INDIRECT("'"&amp;$A204&amp;"'!AD1")</f>
        <v/>
      </c>
    </row>
    <row r="204" spans="1:32">
      <c r="A204" s="58">
        <v>68</v>
      </c>
      <c r="B204" s="106"/>
      <c r="C204" s="67" t="str">
        <f t="array" aca="1" ref="C204" ca="1">CONCATENATE("粮 ",INDIRECT("'"&amp;$A204&amp;"'!D4"))</f>
        <v>粮 114000</v>
      </c>
      <c r="D204" s="55" t="s">
        <v>7</v>
      </c>
      <c r="E204" s="82">
        <f t="array" aca="1" ref="E204" ca="1">INDIRECT("'"&amp;$A204&amp;"'!I3")</f>
        <v>18</v>
      </c>
      <c r="F204" s="52">
        <f t="array" aca="1" ref="F204" ca="1">INDIRECT("'"&amp;$A204&amp;"'!C11")</f>
        <v>0</v>
      </c>
      <c r="G204" s="3">
        <f t="array" aca="1" ref="G204" ca="1">INDIRECT("'"&amp;$A204&amp;"'!D11")</f>
        <v>0</v>
      </c>
      <c r="H204" s="3">
        <f t="array" aca="1" ref="H204" ca="1">INDIRECT("'"&amp;$A204&amp;"'!E11")</f>
        <v>0</v>
      </c>
      <c r="I204" s="3">
        <f t="array" aca="1" ref="I204" ca="1">INDIRECT("'"&amp;$A204&amp;"'!F11")</f>
        <v>0</v>
      </c>
      <c r="J204" s="3">
        <f t="array" aca="1" ref="J204" ca="1">INDIRECT("'"&amp;$A204&amp;"'!G11")</f>
        <v>0</v>
      </c>
      <c r="K204" s="3">
        <f t="array" aca="1" ref="K204" ca="1">INDIRECT("'"&amp;$A204&amp;"'!H11")</f>
        <v>0</v>
      </c>
      <c r="L204" s="3">
        <f t="array" aca="1" ref="L204" ca="1">INDIRECT("'"&amp;$A204&amp;"'!I11")</f>
        <v>0</v>
      </c>
      <c r="M204" s="3">
        <f t="array" aca="1" ref="M204" ca="1">INDIRECT("'"&amp;$A204&amp;"'!J11")</f>
        <v>0</v>
      </c>
      <c r="N204" s="3">
        <f t="array" aca="1" ref="N204" ca="1">INDIRECT("'"&amp;$A204&amp;"'!K11")</f>
        <v>0</v>
      </c>
      <c r="O204" s="3">
        <f t="array" aca="1" ref="O204" ca="1">INDIRECT("'"&amp;$A204&amp;"'!L11")</f>
        <v>0</v>
      </c>
      <c r="P204" s="3">
        <f t="array" aca="1" ref="P204" ca="1">INDIRECT("'"&amp;$A204&amp;"'!M11")</f>
        <v>0</v>
      </c>
      <c r="Q204" s="3">
        <f t="array" aca="1" ref="Q204" ca="1">INDIRECT("'"&amp;$A204&amp;"'!N11")</f>
        <v>0</v>
      </c>
      <c r="R204" s="3">
        <f t="array" aca="1" ref="R204" ca="1">INDIRECT("'"&amp;$A204&amp;"'!O11")</f>
        <v>0</v>
      </c>
      <c r="S204" s="3">
        <f t="array" aca="1" ref="S204" ca="1">INDIRECT("'"&amp;$A204&amp;"'!P11")</f>
        <v>0</v>
      </c>
      <c r="T204" s="3">
        <f t="array" aca="1" ref="T204" ca="1">INDIRECT("'"&amp;$A204&amp;"'!Q11")</f>
        <v>0</v>
      </c>
      <c r="U204" s="3">
        <f t="array" aca="1" ref="U204" ca="1">INDIRECT("'"&amp;$A204&amp;"'!R11")</f>
        <v>0</v>
      </c>
      <c r="V204" s="3">
        <f t="array" aca="1" ref="V204" ca="1">INDIRECT("'"&amp;$A204&amp;"'!S11")</f>
        <v>0</v>
      </c>
      <c r="W204" s="3">
        <f t="array" aca="1" ref="W204" ca="1">INDIRECT("'"&amp;$A204&amp;"'!T11")</f>
        <v>0</v>
      </c>
      <c r="X204" s="3">
        <f t="array" aca="1" ref="X204" ca="1">INDIRECT("'"&amp;$A204&amp;"'!U11")</f>
        <v>0</v>
      </c>
      <c r="Y204" s="3">
        <f t="array" aca="1" ref="Y204" ca="1">INDIRECT("'"&amp;$A204&amp;"'!V11")</f>
        <v>0</v>
      </c>
      <c r="Z204" s="3">
        <f t="array" aca="1" ref="Z204" ca="1">INDIRECT("'"&amp;$A204&amp;"'!W11")</f>
        <v>0</v>
      </c>
      <c r="AA204" s="3">
        <f t="array" aca="1" ref="AA204" ca="1">INDIRECT("'"&amp;$A204&amp;"'!X11")</f>
        <v>0</v>
      </c>
      <c r="AB204" s="3">
        <f t="array" aca="1" ref="AB204" ca="1">INDIRECT("'"&amp;$A204&amp;"'!Y11")</f>
        <v>0</v>
      </c>
      <c r="AC204" s="3">
        <f t="array" aca="1" ref="AC204" ca="1">INDIRECT("'"&amp;$A204&amp;"'!Z11")</f>
        <v>0</v>
      </c>
      <c r="AD204" s="32">
        <f t="array" aca="1" ref="AD204" ca="1">INDIRECT("'"&amp;$A204&amp;"'!AA11")</f>
        <v>0</v>
      </c>
      <c r="AE204" s="82">
        <f t="array" aca="1" ref="AE204" ca="1">INDIRECT("'"&amp;$A204&amp;"'!J3")</f>
        <v>0</v>
      </c>
      <c r="AF204" s="53" t="str">
        <f t="array" aca="1" ref="AF204" ca="1">INDIRECT("'"&amp;$A204&amp;"'!AC1")</f>
        <v/>
      </c>
    </row>
    <row r="205" spans="1:32" ht="15.75" customHeight="1" thickBot="1">
      <c r="A205" s="58">
        <v>68</v>
      </c>
      <c r="B205" s="107"/>
      <c r="C205" s="77" t="str">
        <f t="array" aca="1" ref="C205" ca="1">CONCATENATE("分 ",INDIRECT("'"&amp;$A204&amp;"'!D6"))</f>
        <v>分 0</v>
      </c>
      <c r="D205" s="56" t="s">
        <v>8</v>
      </c>
      <c r="E205" s="83">
        <f t="array" aca="1" ref="E205" ca="1">INDIRECT("'"&amp;$A204&amp;"'!I4")</f>
        <v>18</v>
      </c>
      <c r="F205" s="52">
        <f t="array" aca="1" ref="F205" ca="1">INDIRECT("'"&amp;$A205&amp;"'!C14")</f>
        <v>0</v>
      </c>
      <c r="G205" s="3">
        <f t="array" aca="1" ref="G205" ca="1">INDIRECT("'"&amp;$A205&amp;"'!D14")</f>
        <v>0</v>
      </c>
      <c r="H205" s="3">
        <f t="array" aca="1" ref="H205" ca="1">INDIRECT("'"&amp;$A205&amp;"'!E14")</f>
        <v>0</v>
      </c>
      <c r="I205" s="3">
        <f t="array" aca="1" ref="I205" ca="1">INDIRECT("'"&amp;$A205&amp;"'!F14")</f>
        <v>0</v>
      </c>
      <c r="J205" s="3">
        <f t="array" aca="1" ref="J205" ca="1">INDIRECT("'"&amp;$A205&amp;"'!G14")</f>
        <v>0</v>
      </c>
      <c r="K205" s="3">
        <f t="array" aca="1" ref="K205" ca="1">INDIRECT("'"&amp;$A205&amp;"'!H14")</f>
        <v>0</v>
      </c>
      <c r="L205" s="3">
        <f t="array" aca="1" ref="L205" ca="1">INDIRECT("'"&amp;$A205&amp;"'!I14")</f>
        <v>0</v>
      </c>
      <c r="M205" s="3">
        <f t="array" aca="1" ref="M205" ca="1">INDIRECT("'"&amp;$A205&amp;"'!J14")</f>
        <v>0</v>
      </c>
      <c r="N205" s="3">
        <f t="array" aca="1" ref="N205" ca="1">INDIRECT("'"&amp;$A205&amp;"'!K14")</f>
        <v>0</v>
      </c>
      <c r="O205" s="3">
        <f t="array" aca="1" ref="O205" ca="1">INDIRECT("'"&amp;$A205&amp;"'!L14")</f>
        <v>0</v>
      </c>
      <c r="P205" s="3">
        <f t="array" aca="1" ref="P205" ca="1">INDIRECT("'"&amp;$A205&amp;"'!M14")</f>
        <v>0</v>
      </c>
      <c r="Q205" s="3">
        <f t="array" aca="1" ref="Q205" ca="1">INDIRECT("'"&amp;$A205&amp;"'!N14")</f>
        <v>0</v>
      </c>
      <c r="R205" s="3">
        <f t="array" aca="1" ref="R205" ca="1">INDIRECT("'"&amp;$A205&amp;"'!O14")</f>
        <v>0</v>
      </c>
      <c r="S205" s="3">
        <f t="array" aca="1" ref="S205" ca="1">INDIRECT("'"&amp;$A205&amp;"'!P14")</f>
        <v>0</v>
      </c>
      <c r="T205" s="3">
        <f t="array" aca="1" ref="T205" ca="1">INDIRECT("'"&amp;$A205&amp;"'!Q14")</f>
        <v>0</v>
      </c>
      <c r="U205" s="3">
        <f t="array" aca="1" ref="U205" ca="1">INDIRECT("'"&amp;$A205&amp;"'!R14")</f>
        <v>0</v>
      </c>
      <c r="V205" s="3">
        <f t="array" aca="1" ref="V205" ca="1">INDIRECT("'"&amp;$A205&amp;"'!S14")</f>
        <v>0</v>
      </c>
      <c r="W205" s="3">
        <f t="array" aca="1" ref="W205" ca="1">INDIRECT("'"&amp;$A205&amp;"'!T14")</f>
        <v>0</v>
      </c>
      <c r="X205" s="3">
        <f t="array" aca="1" ref="X205" ca="1">INDIRECT("'"&amp;$A205&amp;"'!U14")</f>
        <v>0</v>
      </c>
      <c r="Y205" s="3">
        <f t="array" aca="1" ref="Y205" ca="1">INDIRECT("'"&amp;$A205&amp;"'!V14")</f>
        <v>0</v>
      </c>
      <c r="Z205" s="3">
        <f t="array" aca="1" ref="Z205" ca="1">INDIRECT("'"&amp;$A205&amp;"'!W14")</f>
        <v>0</v>
      </c>
      <c r="AA205" s="3">
        <f t="array" aca="1" ref="AA205" ca="1">INDIRECT("'"&amp;$A205&amp;"'!X14")</f>
        <v>0</v>
      </c>
      <c r="AB205" s="3">
        <f t="array" aca="1" ref="AB205" ca="1">INDIRECT("'"&amp;$A205&amp;"'!Y14")</f>
        <v>0</v>
      </c>
      <c r="AC205" s="3">
        <f t="array" aca="1" ref="AC205" ca="1">INDIRECT("'"&amp;$A205&amp;"'!Z14")</f>
        <v>0</v>
      </c>
      <c r="AD205" s="32">
        <f t="array" aca="1" ref="AD205" ca="1">INDIRECT("'"&amp;$A205&amp;"'!AA14")</f>
        <v>0</v>
      </c>
      <c r="AE205" s="83">
        <f t="array" aca="1" ref="AE205" ca="1">INDIRECT("'"&amp;$A204&amp;"'!J4")</f>
        <v>0</v>
      </c>
      <c r="AF205" s="53"/>
    </row>
    <row r="206" spans="1:32">
      <c r="A206" s="58">
        <v>69</v>
      </c>
      <c r="B206" s="105">
        <f>INDEX(data!$I$2:$I$91,MATCH(A206*1,data!$G$2:$G$91,0))</f>
        <v>46253</v>
      </c>
      <c r="C206" s="66" t="str">
        <f>HYPERLINK("#'" &amp; A206 &amp; "'!A1", "编辑")</f>
        <v>编辑</v>
      </c>
      <c r="D206" s="54" t="s">
        <v>6</v>
      </c>
      <c r="E206" s="81">
        <f t="array" aca="1" ref="E206" ca="1">INDIRECT("'"&amp;$A207&amp;"'!I2")</f>
        <v>18</v>
      </c>
      <c r="F206" s="29">
        <f t="array" aca="1" ref="F206" ca="1">INDIRECT("'"&amp;$A206&amp;"'!C8")</f>
        <v>0</v>
      </c>
      <c r="G206" s="30">
        <f t="array" aca="1" ref="G206" ca="1">INDIRECT("'"&amp;$A206&amp;"'!D8")</f>
        <v>0</v>
      </c>
      <c r="H206" s="30">
        <f t="array" aca="1" ref="H206" ca="1">INDIRECT("'"&amp;$A206&amp;"'!E8")</f>
        <v>0</v>
      </c>
      <c r="I206" s="30">
        <f t="array" aca="1" ref="I206" ca="1">INDIRECT("'"&amp;$A206&amp;"'!F8")</f>
        <v>0</v>
      </c>
      <c r="J206" s="30">
        <f t="array" aca="1" ref="J206" ca="1">INDIRECT("'"&amp;$A206&amp;"'!G8")</f>
        <v>0</v>
      </c>
      <c r="K206" s="30">
        <f t="array" aca="1" ref="K206" ca="1">INDIRECT("'"&amp;$A206&amp;"'!H8")</f>
        <v>0</v>
      </c>
      <c r="L206" s="30">
        <f t="array" aca="1" ref="L206" ca="1">INDIRECT("'"&amp;$A206&amp;"'!I8")</f>
        <v>0</v>
      </c>
      <c r="M206" s="30">
        <f t="array" aca="1" ref="M206" ca="1">INDIRECT("'"&amp;$A206&amp;"'!J8")</f>
        <v>0</v>
      </c>
      <c r="N206" s="30">
        <f t="array" aca="1" ref="N206" ca="1">INDIRECT("'"&amp;$A206&amp;"'!K8")</f>
        <v>0</v>
      </c>
      <c r="O206" s="30">
        <f t="array" aca="1" ref="O206" ca="1">INDIRECT("'"&amp;$A206&amp;"'!L8")</f>
        <v>0</v>
      </c>
      <c r="P206" s="30">
        <f t="array" aca="1" ref="P206" ca="1">INDIRECT("'"&amp;$A206&amp;"'!M8")</f>
        <v>0</v>
      </c>
      <c r="Q206" s="30">
        <f t="array" aca="1" ref="Q206" ca="1">INDIRECT("'"&amp;$A206&amp;"'!N8")</f>
        <v>0</v>
      </c>
      <c r="R206" s="30">
        <f t="array" aca="1" ref="R206" ca="1">INDIRECT("'"&amp;$A206&amp;"'!O8")</f>
        <v>0</v>
      </c>
      <c r="S206" s="30">
        <f t="array" aca="1" ref="S206" ca="1">INDIRECT("'"&amp;$A206&amp;"'!P8")</f>
        <v>0</v>
      </c>
      <c r="T206" s="30">
        <f t="array" aca="1" ref="T206" ca="1">INDIRECT("'"&amp;$A206&amp;"'!Q8")</f>
        <v>0</v>
      </c>
      <c r="U206" s="30">
        <f t="array" aca="1" ref="U206" ca="1">INDIRECT("'"&amp;$A206&amp;"'!R8")</f>
        <v>0</v>
      </c>
      <c r="V206" s="30">
        <f t="array" aca="1" ref="V206" ca="1">INDIRECT("'"&amp;$A206&amp;"'!S8")</f>
        <v>0</v>
      </c>
      <c r="W206" s="30">
        <f t="array" aca="1" ref="W206" ca="1">INDIRECT("'"&amp;$A206&amp;"'!T8")</f>
        <v>0</v>
      </c>
      <c r="X206" s="30">
        <f t="array" aca="1" ref="X206" ca="1">INDIRECT("'"&amp;$A206&amp;"'!U8")</f>
        <v>0</v>
      </c>
      <c r="Y206" s="30">
        <f t="array" aca="1" ref="Y206" ca="1">INDIRECT("'"&amp;$A206&amp;"'!V8")</f>
        <v>0</v>
      </c>
      <c r="Z206" s="30">
        <f t="array" aca="1" ref="Z206" ca="1">INDIRECT("'"&amp;$A206&amp;"'!W8")</f>
        <v>0</v>
      </c>
      <c r="AA206" s="30">
        <f t="array" aca="1" ref="AA206" ca="1">INDIRECT("'"&amp;$A206&amp;"'!X8")</f>
        <v>0</v>
      </c>
      <c r="AB206" s="30">
        <f t="array" aca="1" ref="AB206" ca="1">INDIRECT("'"&amp;$A206&amp;"'!Y8")</f>
        <v>0</v>
      </c>
      <c r="AC206" s="30">
        <f t="array" aca="1" ref="AC206" ca="1">INDIRECT("'"&amp;$A206&amp;"'!Z8")</f>
        <v>0</v>
      </c>
      <c r="AD206" s="31">
        <f t="array" aca="1" ref="AD206" ca="1">INDIRECT("'"&amp;$A206&amp;"'!AA8")</f>
        <v>0</v>
      </c>
      <c r="AE206" s="81">
        <f t="array" aca="1" ref="AE206" ca="1">INDIRECT("'"&amp;$A207&amp;"'!J2")</f>
        <v>0</v>
      </c>
      <c r="AF206" s="53" t="str">
        <f t="array" aca="1" ref="AF206" ca="1">INDIRECT("'"&amp;$A207&amp;"'!AD1")</f>
        <v/>
      </c>
    </row>
    <row r="207" spans="1:32">
      <c r="A207" s="58">
        <v>69</v>
      </c>
      <c r="B207" s="106"/>
      <c r="C207" s="67" t="str">
        <f t="array" aca="1" ref="C207" ca="1">CONCATENATE("粮 ",INDIRECT("'"&amp;$A207&amp;"'!D4"))</f>
        <v>粮 115600</v>
      </c>
      <c r="D207" s="55" t="s">
        <v>7</v>
      </c>
      <c r="E207" s="82">
        <f t="array" aca="1" ref="E207" ca="1">INDIRECT("'"&amp;$A207&amp;"'!I3")</f>
        <v>18</v>
      </c>
      <c r="F207" s="52">
        <f t="array" aca="1" ref="F207" ca="1">INDIRECT("'"&amp;$A207&amp;"'!C11")</f>
        <v>0</v>
      </c>
      <c r="G207" s="3">
        <f t="array" aca="1" ref="G207" ca="1">INDIRECT("'"&amp;$A207&amp;"'!D11")</f>
        <v>0</v>
      </c>
      <c r="H207" s="3">
        <f t="array" aca="1" ref="H207" ca="1">INDIRECT("'"&amp;$A207&amp;"'!E11")</f>
        <v>0</v>
      </c>
      <c r="I207" s="3">
        <f t="array" aca="1" ref="I207" ca="1">INDIRECT("'"&amp;$A207&amp;"'!F11")</f>
        <v>0</v>
      </c>
      <c r="J207" s="3">
        <f t="array" aca="1" ref="J207" ca="1">INDIRECT("'"&amp;$A207&amp;"'!G11")</f>
        <v>0</v>
      </c>
      <c r="K207" s="3">
        <f t="array" aca="1" ref="K207" ca="1">INDIRECT("'"&amp;$A207&amp;"'!H11")</f>
        <v>0</v>
      </c>
      <c r="L207" s="3">
        <f t="array" aca="1" ref="L207" ca="1">INDIRECT("'"&amp;$A207&amp;"'!I11")</f>
        <v>0</v>
      </c>
      <c r="M207" s="3">
        <f t="array" aca="1" ref="M207" ca="1">INDIRECT("'"&amp;$A207&amp;"'!J11")</f>
        <v>0</v>
      </c>
      <c r="N207" s="3">
        <f t="array" aca="1" ref="N207" ca="1">INDIRECT("'"&amp;$A207&amp;"'!K11")</f>
        <v>0</v>
      </c>
      <c r="O207" s="3">
        <f t="array" aca="1" ref="O207" ca="1">INDIRECT("'"&amp;$A207&amp;"'!L11")</f>
        <v>0</v>
      </c>
      <c r="P207" s="3">
        <f t="array" aca="1" ref="P207" ca="1">INDIRECT("'"&amp;$A207&amp;"'!M11")</f>
        <v>0</v>
      </c>
      <c r="Q207" s="3">
        <f t="array" aca="1" ref="Q207" ca="1">INDIRECT("'"&amp;$A207&amp;"'!N11")</f>
        <v>0</v>
      </c>
      <c r="R207" s="3">
        <f t="array" aca="1" ref="R207" ca="1">INDIRECT("'"&amp;$A207&amp;"'!O11")</f>
        <v>0</v>
      </c>
      <c r="S207" s="3">
        <f t="array" aca="1" ref="S207" ca="1">INDIRECT("'"&amp;$A207&amp;"'!P11")</f>
        <v>0</v>
      </c>
      <c r="T207" s="3">
        <f t="array" aca="1" ref="T207" ca="1">INDIRECT("'"&amp;$A207&amp;"'!Q11")</f>
        <v>0</v>
      </c>
      <c r="U207" s="3">
        <f t="array" aca="1" ref="U207" ca="1">INDIRECT("'"&amp;$A207&amp;"'!R11")</f>
        <v>0</v>
      </c>
      <c r="V207" s="3">
        <f t="array" aca="1" ref="V207" ca="1">INDIRECT("'"&amp;$A207&amp;"'!S11")</f>
        <v>0</v>
      </c>
      <c r="W207" s="3">
        <f t="array" aca="1" ref="W207" ca="1">INDIRECT("'"&amp;$A207&amp;"'!T11")</f>
        <v>0</v>
      </c>
      <c r="X207" s="3">
        <f t="array" aca="1" ref="X207" ca="1">INDIRECT("'"&amp;$A207&amp;"'!U11")</f>
        <v>0</v>
      </c>
      <c r="Y207" s="3">
        <f t="array" aca="1" ref="Y207" ca="1">INDIRECT("'"&amp;$A207&amp;"'!V11")</f>
        <v>0</v>
      </c>
      <c r="Z207" s="3">
        <f t="array" aca="1" ref="Z207" ca="1">INDIRECT("'"&amp;$A207&amp;"'!W11")</f>
        <v>0</v>
      </c>
      <c r="AA207" s="3">
        <f t="array" aca="1" ref="AA207" ca="1">INDIRECT("'"&amp;$A207&amp;"'!X11")</f>
        <v>0</v>
      </c>
      <c r="AB207" s="3">
        <f t="array" aca="1" ref="AB207" ca="1">INDIRECT("'"&amp;$A207&amp;"'!Y11")</f>
        <v>0</v>
      </c>
      <c r="AC207" s="3">
        <f t="array" aca="1" ref="AC207" ca="1">INDIRECT("'"&amp;$A207&amp;"'!Z11")</f>
        <v>0</v>
      </c>
      <c r="AD207" s="32">
        <f t="array" aca="1" ref="AD207" ca="1">INDIRECT("'"&amp;$A207&amp;"'!AA11")</f>
        <v>0</v>
      </c>
      <c r="AE207" s="82">
        <f t="array" aca="1" ref="AE207" ca="1">INDIRECT("'"&amp;$A207&amp;"'!J3")</f>
        <v>0</v>
      </c>
      <c r="AF207" s="53" t="str">
        <f t="array" aca="1" ref="AF207" ca="1">INDIRECT("'"&amp;$A207&amp;"'!AC1")</f>
        <v/>
      </c>
    </row>
    <row r="208" spans="1:32" ht="15.75" customHeight="1" thickBot="1">
      <c r="A208" s="58">
        <v>69</v>
      </c>
      <c r="B208" s="107"/>
      <c r="C208" s="77" t="str">
        <f t="array" aca="1" ref="C208" ca="1">CONCATENATE("分 ",INDIRECT("'"&amp;$A207&amp;"'!D6"))</f>
        <v>分 0</v>
      </c>
      <c r="D208" s="56" t="s">
        <v>8</v>
      </c>
      <c r="E208" s="83">
        <f t="array" aca="1" ref="E208" ca="1">INDIRECT("'"&amp;$A207&amp;"'!I4")</f>
        <v>18</v>
      </c>
      <c r="F208" s="52">
        <f t="array" aca="1" ref="F208" ca="1">INDIRECT("'"&amp;$A208&amp;"'!C14")</f>
        <v>0</v>
      </c>
      <c r="G208" s="3">
        <f t="array" aca="1" ref="G208" ca="1">INDIRECT("'"&amp;$A208&amp;"'!D14")</f>
        <v>0</v>
      </c>
      <c r="H208" s="3">
        <f t="array" aca="1" ref="H208" ca="1">INDIRECT("'"&amp;$A208&amp;"'!E14")</f>
        <v>0</v>
      </c>
      <c r="I208" s="3">
        <f t="array" aca="1" ref="I208" ca="1">INDIRECT("'"&amp;$A208&amp;"'!F14")</f>
        <v>0</v>
      </c>
      <c r="J208" s="3">
        <f t="array" aca="1" ref="J208" ca="1">INDIRECT("'"&amp;$A208&amp;"'!G14")</f>
        <v>0</v>
      </c>
      <c r="K208" s="3">
        <f t="array" aca="1" ref="K208" ca="1">INDIRECT("'"&amp;$A208&amp;"'!H14")</f>
        <v>0</v>
      </c>
      <c r="L208" s="3">
        <f t="array" aca="1" ref="L208" ca="1">INDIRECT("'"&amp;$A208&amp;"'!I14")</f>
        <v>0</v>
      </c>
      <c r="M208" s="3">
        <f t="array" aca="1" ref="M208" ca="1">INDIRECT("'"&amp;$A208&amp;"'!J14")</f>
        <v>0</v>
      </c>
      <c r="N208" s="3">
        <f t="array" aca="1" ref="N208" ca="1">INDIRECT("'"&amp;$A208&amp;"'!K14")</f>
        <v>0</v>
      </c>
      <c r="O208" s="3">
        <f t="array" aca="1" ref="O208" ca="1">INDIRECT("'"&amp;$A208&amp;"'!L14")</f>
        <v>0</v>
      </c>
      <c r="P208" s="3">
        <f t="array" aca="1" ref="P208" ca="1">INDIRECT("'"&amp;$A208&amp;"'!M14")</f>
        <v>0</v>
      </c>
      <c r="Q208" s="3">
        <f t="array" aca="1" ref="Q208" ca="1">INDIRECT("'"&amp;$A208&amp;"'!N14")</f>
        <v>0</v>
      </c>
      <c r="R208" s="3">
        <f t="array" aca="1" ref="R208" ca="1">INDIRECT("'"&amp;$A208&amp;"'!O14")</f>
        <v>0</v>
      </c>
      <c r="S208" s="3">
        <f t="array" aca="1" ref="S208" ca="1">INDIRECT("'"&amp;$A208&amp;"'!P14")</f>
        <v>0</v>
      </c>
      <c r="T208" s="3">
        <f t="array" aca="1" ref="T208" ca="1">INDIRECT("'"&amp;$A208&amp;"'!Q14")</f>
        <v>0</v>
      </c>
      <c r="U208" s="3">
        <f t="array" aca="1" ref="U208" ca="1">INDIRECT("'"&amp;$A208&amp;"'!R14")</f>
        <v>0</v>
      </c>
      <c r="V208" s="3">
        <f t="array" aca="1" ref="V208" ca="1">INDIRECT("'"&amp;$A208&amp;"'!S14")</f>
        <v>0</v>
      </c>
      <c r="W208" s="3">
        <f t="array" aca="1" ref="W208" ca="1">INDIRECT("'"&amp;$A208&amp;"'!T14")</f>
        <v>0</v>
      </c>
      <c r="X208" s="3">
        <f t="array" aca="1" ref="X208" ca="1">INDIRECT("'"&amp;$A208&amp;"'!U14")</f>
        <v>0</v>
      </c>
      <c r="Y208" s="3">
        <f t="array" aca="1" ref="Y208" ca="1">INDIRECT("'"&amp;$A208&amp;"'!V14")</f>
        <v>0</v>
      </c>
      <c r="Z208" s="3">
        <f t="array" aca="1" ref="Z208" ca="1">INDIRECT("'"&amp;$A208&amp;"'!W14")</f>
        <v>0</v>
      </c>
      <c r="AA208" s="3">
        <f t="array" aca="1" ref="AA208" ca="1">INDIRECT("'"&amp;$A208&amp;"'!X14")</f>
        <v>0</v>
      </c>
      <c r="AB208" s="3">
        <f t="array" aca="1" ref="AB208" ca="1">INDIRECT("'"&amp;$A208&amp;"'!Y14")</f>
        <v>0</v>
      </c>
      <c r="AC208" s="3">
        <f t="array" aca="1" ref="AC208" ca="1">INDIRECT("'"&amp;$A208&amp;"'!Z14")</f>
        <v>0</v>
      </c>
      <c r="AD208" s="32">
        <f t="array" aca="1" ref="AD208" ca="1">INDIRECT("'"&amp;$A208&amp;"'!AA14")</f>
        <v>0</v>
      </c>
      <c r="AE208" s="83">
        <f t="array" aca="1" ref="AE208" ca="1">INDIRECT("'"&amp;$A207&amp;"'!J4")</f>
        <v>0</v>
      </c>
      <c r="AF208" s="53"/>
    </row>
    <row r="209" spans="1:32">
      <c r="A209" s="58">
        <v>70</v>
      </c>
      <c r="B209" s="105">
        <f>INDEX(data!$I$2:$I$91,MATCH(A209*1,data!$G$2:$G$91,0))</f>
        <v>46254</v>
      </c>
      <c r="C209" s="66" t="str">
        <f>HYPERLINK("#'" &amp; A209 &amp; "'!A1", "编辑")</f>
        <v>编辑</v>
      </c>
      <c r="D209" s="54" t="s">
        <v>6</v>
      </c>
      <c r="E209" s="81">
        <f t="array" aca="1" ref="E209" ca="1">INDIRECT("'"&amp;$A210&amp;"'!I2")</f>
        <v>18</v>
      </c>
      <c r="F209" s="29">
        <f t="array" aca="1" ref="F209" ca="1">INDIRECT("'"&amp;$A209&amp;"'!C8")</f>
        <v>0</v>
      </c>
      <c r="G209" s="30">
        <f t="array" aca="1" ref="G209" ca="1">INDIRECT("'"&amp;$A209&amp;"'!D8")</f>
        <v>0</v>
      </c>
      <c r="H209" s="30">
        <f t="array" aca="1" ref="H209" ca="1">INDIRECT("'"&amp;$A209&amp;"'!E8")</f>
        <v>0</v>
      </c>
      <c r="I209" s="30">
        <f t="array" aca="1" ref="I209" ca="1">INDIRECT("'"&amp;$A209&amp;"'!F8")</f>
        <v>0</v>
      </c>
      <c r="J209" s="30">
        <f t="array" aca="1" ref="J209" ca="1">INDIRECT("'"&amp;$A209&amp;"'!G8")</f>
        <v>0</v>
      </c>
      <c r="K209" s="30">
        <f t="array" aca="1" ref="K209" ca="1">INDIRECT("'"&amp;$A209&amp;"'!H8")</f>
        <v>0</v>
      </c>
      <c r="L209" s="30">
        <f t="array" aca="1" ref="L209" ca="1">INDIRECT("'"&amp;$A209&amp;"'!I8")</f>
        <v>0</v>
      </c>
      <c r="M209" s="30">
        <f t="array" aca="1" ref="M209" ca="1">INDIRECT("'"&amp;$A209&amp;"'!J8")</f>
        <v>0</v>
      </c>
      <c r="N209" s="30">
        <f t="array" aca="1" ref="N209" ca="1">INDIRECT("'"&amp;$A209&amp;"'!K8")</f>
        <v>0</v>
      </c>
      <c r="O209" s="30">
        <f t="array" aca="1" ref="O209" ca="1">INDIRECT("'"&amp;$A209&amp;"'!L8")</f>
        <v>0</v>
      </c>
      <c r="P209" s="30">
        <f t="array" aca="1" ref="P209" ca="1">INDIRECT("'"&amp;$A209&amp;"'!M8")</f>
        <v>0</v>
      </c>
      <c r="Q209" s="30">
        <f t="array" aca="1" ref="Q209" ca="1">INDIRECT("'"&amp;$A209&amp;"'!N8")</f>
        <v>0</v>
      </c>
      <c r="R209" s="30">
        <f t="array" aca="1" ref="R209" ca="1">INDIRECT("'"&amp;$A209&amp;"'!O8")</f>
        <v>0</v>
      </c>
      <c r="S209" s="30">
        <f t="array" aca="1" ref="S209" ca="1">INDIRECT("'"&amp;$A209&amp;"'!P8")</f>
        <v>0</v>
      </c>
      <c r="T209" s="30">
        <f t="array" aca="1" ref="T209" ca="1">INDIRECT("'"&amp;$A209&amp;"'!Q8")</f>
        <v>0</v>
      </c>
      <c r="U209" s="30">
        <f t="array" aca="1" ref="U209" ca="1">INDIRECT("'"&amp;$A209&amp;"'!R8")</f>
        <v>0</v>
      </c>
      <c r="V209" s="30">
        <f t="array" aca="1" ref="V209" ca="1">INDIRECT("'"&amp;$A209&amp;"'!S8")</f>
        <v>0</v>
      </c>
      <c r="W209" s="30">
        <f t="array" aca="1" ref="W209" ca="1">INDIRECT("'"&amp;$A209&amp;"'!T8")</f>
        <v>0</v>
      </c>
      <c r="X209" s="30">
        <f t="array" aca="1" ref="X209" ca="1">INDIRECT("'"&amp;$A209&amp;"'!U8")</f>
        <v>0</v>
      </c>
      <c r="Y209" s="30">
        <f t="array" aca="1" ref="Y209" ca="1">INDIRECT("'"&amp;$A209&amp;"'!V8")</f>
        <v>0</v>
      </c>
      <c r="Z209" s="30">
        <f t="array" aca="1" ref="Z209" ca="1">INDIRECT("'"&amp;$A209&amp;"'!W8")</f>
        <v>0</v>
      </c>
      <c r="AA209" s="30">
        <f t="array" aca="1" ref="AA209" ca="1">INDIRECT("'"&amp;$A209&amp;"'!X8")</f>
        <v>0</v>
      </c>
      <c r="AB209" s="30">
        <f t="array" aca="1" ref="AB209" ca="1">INDIRECT("'"&amp;$A209&amp;"'!Y8")</f>
        <v>0</v>
      </c>
      <c r="AC209" s="30">
        <f t="array" aca="1" ref="AC209" ca="1">INDIRECT("'"&amp;$A209&amp;"'!Z8")</f>
        <v>0</v>
      </c>
      <c r="AD209" s="31">
        <f t="array" aca="1" ref="AD209" ca="1">INDIRECT("'"&amp;$A209&amp;"'!AA8")</f>
        <v>0</v>
      </c>
      <c r="AE209" s="81">
        <f t="array" aca="1" ref="AE209" ca="1">INDIRECT("'"&amp;$A210&amp;"'!J2")</f>
        <v>0</v>
      </c>
      <c r="AF209" s="53" t="str">
        <f t="array" aca="1" ref="AF209" ca="1">INDIRECT("'"&amp;$A210&amp;"'!AD1")</f>
        <v/>
      </c>
    </row>
    <row r="210" spans="1:32">
      <c r="A210" s="58">
        <v>70</v>
      </c>
      <c r="B210" s="106"/>
      <c r="C210" s="67" t="str">
        <f t="array" aca="1" ref="C210" ca="1">CONCATENATE("粮 ",INDIRECT("'"&amp;$A210&amp;"'!D4"))</f>
        <v>粮 117200</v>
      </c>
      <c r="D210" s="55" t="s">
        <v>7</v>
      </c>
      <c r="E210" s="82">
        <f t="array" aca="1" ref="E210" ca="1">INDIRECT("'"&amp;$A210&amp;"'!I3")</f>
        <v>18</v>
      </c>
      <c r="F210" s="52">
        <f t="array" aca="1" ref="F210" ca="1">INDIRECT("'"&amp;$A210&amp;"'!C11")</f>
        <v>0</v>
      </c>
      <c r="G210" s="3">
        <f t="array" aca="1" ref="G210" ca="1">INDIRECT("'"&amp;$A210&amp;"'!D11")</f>
        <v>0</v>
      </c>
      <c r="H210" s="3">
        <f t="array" aca="1" ref="H210" ca="1">INDIRECT("'"&amp;$A210&amp;"'!E11")</f>
        <v>0</v>
      </c>
      <c r="I210" s="3">
        <f t="array" aca="1" ref="I210" ca="1">INDIRECT("'"&amp;$A210&amp;"'!F11")</f>
        <v>0</v>
      </c>
      <c r="J210" s="3">
        <f t="array" aca="1" ref="J210" ca="1">INDIRECT("'"&amp;$A210&amp;"'!G11")</f>
        <v>0</v>
      </c>
      <c r="K210" s="3">
        <f t="array" aca="1" ref="K210" ca="1">INDIRECT("'"&amp;$A210&amp;"'!H11")</f>
        <v>0</v>
      </c>
      <c r="L210" s="3">
        <f t="array" aca="1" ref="L210" ca="1">INDIRECT("'"&amp;$A210&amp;"'!I11")</f>
        <v>0</v>
      </c>
      <c r="M210" s="3">
        <f t="array" aca="1" ref="M210" ca="1">INDIRECT("'"&amp;$A210&amp;"'!J11")</f>
        <v>0</v>
      </c>
      <c r="N210" s="3">
        <f t="array" aca="1" ref="N210" ca="1">INDIRECT("'"&amp;$A210&amp;"'!K11")</f>
        <v>0</v>
      </c>
      <c r="O210" s="3">
        <f t="array" aca="1" ref="O210" ca="1">INDIRECT("'"&amp;$A210&amp;"'!L11")</f>
        <v>0</v>
      </c>
      <c r="P210" s="3">
        <f t="array" aca="1" ref="P210" ca="1">INDIRECT("'"&amp;$A210&amp;"'!M11")</f>
        <v>0</v>
      </c>
      <c r="Q210" s="3">
        <f t="array" aca="1" ref="Q210" ca="1">INDIRECT("'"&amp;$A210&amp;"'!N11")</f>
        <v>0</v>
      </c>
      <c r="R210" s="3">
        <f t="array" aca="1" ref="R210" ca="1">INDIRECT("'"&amp;$A210&amp;"'!O11")</f>
        <v>0</v>
      </c>
      <c r="S210" s="3">
        <f t="array" aca="1" ref="S210" ca="1">INDIRECT("'"&amp;$A210&amp;"'!P11")</f>
        <v>0</v>
      </c>
      <c r="T210" s="3">
        <f t="array" aca="1" ref="T210" ca="1">INDIRECT("'"&amp;$A210&amp;"'!Q11")</f>
        <v>0</v>
      </c>
      <c r="U210" s="3">
        <f t="array" aca="1" ref="U210" ca="1">INDIRECT("'"&amp;$A210&amp;"'!R11")</f>
        <v>0</v>
      </c>
      <c r="V210" s="3">
        <f t="array" aca="1" ref="V210" ca="1">INDIRECT("'"&amp;$A210&amp;"'!S11")</f>
        <v>0</v>
      </c>
      <c r="W210" s="3">
        <f t="array" aca="1" ref="W210" ca="1">INDIRECT("'"&amp;$A210&amp;"'!T11")</f>
        <v>0</v>
      </c>
      <c r="X210" s="3">
        <f t="array" aca="1" ref="X210" ca="1">INDIRECT("'"&amp;$A210&amp;"'!U11")</f>
        <v>0</v>
      </c>
      <c r="Y210" s="3">
        <f t="array" aca="1" ref="Y210" ca="1">INDIRECT("'"&amp;$A210&amp;"'!V11")</f>
        <v>0</v>
      </c>
      <c r="Z210" s="3">
        <f t="array" aca="1" ref="Z210" ca="1">INDIRECT("'"&amp;$A210&amp;"'!W11")</f>
        <v>0</v>
      </c>
      <c r="AA210" s="3">
        <f t="array" aca="1" ref="AA210" ca="1">INDIRECT("'"&amp;$A210&amp;"'!X11")</f>
        <v>0</v>
      </c>
      <c r="AB210" s="3">
        <f t="array" aca="1" ref="AB210" ca="1">INDIRECT("'"&amp;$A210&amp;"'!Y11")</f>
        <v>0</v>
      </c>
      <c r="AC210" s="3">
        <f t="array" aca="1" ref="AC210" ca="1">INDIRECT("'"&amp;$A210&amp;"'!Z11")</f>
        <v>0</v>
      </c>
      <c r="AD210" s="32">
        <f t="array" aca="1" ref="AD210" ca="1">INDIRECT("'"&amp;$A210&amp;"'!AA11")</f>
        <v>0</v>
      </c>
      <c r="AE210" s="82">
        <f t="array" aca="1" ref="AE210" ca="1">INDIRECT("'"&amp;$A210&amp;"'!J3")</f>
        <v>0</v>
      </c>
      <c r="AF210" s="53" t="str">
        <f t="array" aca="1" ref="AF210" ca="1">INDIRECT("'"&amp;$A210&amp;"'!AC1")</f>
        <v/>
      </c>
    </row>
    <row r="211" spans="1:32" ht="15.75" customHeight="1" thickBot="1">
      <c r="A211" s="58">
        <v>70</v>
      </c>
      <c r="B211" s="107"/>
      <c r="C211" s="77" t="str">
        <f t="array" aca="1" ref="C211" ca="1">CONCATENATE("分 ",INDIRECT("'"&amp;$A210&amp;"'!D6"))</f>
        <v>分 0</v>
      </c>
      <c r="D211" s="56" t="s">
        <v>8</v>
      </c>
      <c r="E211" s="83">
        <f t="array" aca="1" ref="E211" ca="1">INDIRECT("'"&amp;$A210&amp;"'!I4")</f>
        <v>18</v>
      </c>
      <c r="F211" s="52">
        <f t="array" aca="1" ref="F211" ca="1">INDIRECT("'"&amp;$A211&amp;"'!C14")</f>
        <v>0</v>
      </c>
      <c r="G211" s="3">
        <f t="array" aca="1" ref="G211" ca="1">INDIRECT("'"&amp;$A211&amp;"'!D14")</f>
        <v>0</v>
      </c>
      <c r="H211" s="3">
        <f t="array" aca="1" ref="H211" ca="1">INDIRECT("'"&amp;$A211&amp;"'!E14")</f>
        <v>0</v>
      </c>
      <c r="I211" s="3">
        <f t="array" aca="1" ref="I211" ca="1">INDIRECT("'"&amp;$A211&amp;"'!F14")</f>
        <v>0</v>
      </c>
      <c r="J211" s="3">
        <f t="array" aca="1" ref="J211" ca="1">INDIRECT("'"&amp;$A211&amp;"'!G14")</f>
        <v>0</v>
      </c>
      <c r="K211" s="3">
        <f t="array" aca="1" ref="K211" ca="1">INDIRECT("'"&amp;$A211&amp;"'!H14")</f>
        <v>0</v>
      </c>
      <c r="L211" s="3">
        <f t="array" aca="1" ref="L211" ca="1">INDIRECT("'"&amp;$A211&amp;"'!I14")</f>
        <v>0</v>
      </c>
      <c r="M211" s="3">
        <f t="array" aca="1" ref="M211" ca="1">INDIRECT("'"&amp;$A211&amp;"'!J14")</f>
        <v>0</v>
      </c>
      <c r="N211" s="3">
        <f t="array" aca="1" ref="N211" ca="1">INDIRECT("'"&amp;$A211&amp;"'!K14")</f>
        <v>0</v>
      </c>
      <c r="O211" s="3">
        <f t="array" aca="1" ref="O211" ca="1">INDIRECT("'"&amp;$A211&amp;"'!L14")</f>
        <v>0</v>
      </c>
      <c r="P211" s="3">
        <f t="array" aca="1" ref="P211" ca="1">INDIRECT("'"&amp;$A211&amp;"'!M14")</f>
        <v>0</v>
      </c>
      <c r="Q211" s="3">
        <f t="array" aca="1" ref="Q211" ca="1">INDIRECT("'"&amp;$A211&amp;"'!N14")</f>
        <v>0</v>
      </c>
      <c r="R211" s="3">
        <f t="array" aca="1" ref="R211" ca="1">INDIRECT("'"&amp;$A211&amp;"'!O14")</f>
        <v>0</v>
      </c>
      <c r="S211" s="3">
        <f t="array" aca="1" ref="S211" ca="1">INDIRECT("'"&amp;$A211&amp;"'!P14")</f>
        <v>0</v>
      </c>
      <c r="T211" s="3">
        <f t="array" aca="1" ref="T211" ca="1">INDIRECT("'"&amp;$A211&amp;"'!Q14")</f>
        <v>0</v>
      </c>
      <c r="U211" s="3">
        <f t="array" aca="1" ref="U211" ca="1">INDIRECT("'"&amp;$A211&amp;"'!R14")</f>
        <v>0</v>
      </c>
      <c r="V211" s="3">
        <f t="array" aca="1" ref="V211" ca="1">INDIRECT("'"&amp;$A211&amp;"'!S14")</f>
        <v>0</v>
      </c>
      <c r="W211" s="3">
        <f t="array" aca="1" ref="W211" ca="1">INDIRECT("'"&amp;$A211&amp;"'!T14")</f>
        <v>0</v>
      </c>
      <c r="X211" s="3">
        <f t="array" aca="1" ref="X211" ca="1">INDIRECT("'"&amp;$A211&amp;"'!U14")</f>
        <v>0</v>
      </c>
      <c r="Y211" s="3">
        <f t="array" aca="1" ref="Y211" ca="1">INDIRECT("'"&amp;$A211&amp;"'!V14")</f>
        <v>0</v>
      </c>
      <c r="Z211" s="3">
        <f t="array" aca="1" ref="Z211" ca="1">INDIRECT("'"&amp;$A211&amp;"'!W14")</f>
        <v>0</v>
      </c>
      <c r="AA211" s="3">
        <f t="array" aca="1" ref="AA211" ca="1">INDIRECT("'"&amp;$A211&amp;"'!X14")</f>
        <v>0</v>
      </c>
      <c r="AB211" s="3">
        <f t="array" aca="1" ref="AB211" ca="1">INDIRECT("'"&amp;$A211&amp;"'!Y14")</f>
        <v>0</v>
      </c>
      <c r="AC211" s="3">
        <f t="array" aca="1" ref="AC211" ca="1">INDIRECT("'"&amp;$A211&amp;"'!Z14")</f>
        <v>0</v>
      </c>
      <c r="AD211" s="32">
        <f t="array" aca="1" ref="AD211" ca="1">INDIRECT("'"&amp;$A211&amp;"'!AA14")</f>
        <v>0</v>
      </c>
      <c r="AE211" s="83">
        <f t="array" aca="1" ref="AE211" ca="1">INDIRECT("'"&amp;$A210&amp;"'!J4")</f>
        <v>0</v>
      </c>
      <c r="AF211" s="53"/>
    </row>
    <row r="212" spans="1:32">
      <c r="A212" s="58">
        <v>71</v>
      </c>
      <c r="B212" s="105">
        <f>INDEX(data!$I$2:$I$91,MATCH(A212*1,data!$G$2:$G$91,0))</f>
        <v>46255</v>
      </c>
      <c r="C212" s="66" t="str">
        <f>HYPERLINK("#'" &amp; A212 &amp; "'!A1", "编辑")</f>
        <v>编辑</v>
      </c>
      <c r="D212" s="54" t="s">
        <v>6</v>
      </c>
      <c r="E212" s="81">
        <f t="array" aca="1" ref="E212" ca="1">INDIRECT("'"&amp;$A213&amp;"'!I2")</f>
        <v>18</v>
      </c>
      <c r="F212" s="29">
        <f t="array" aca="1" ref="F212" ca="1">INDIRECT("'"&amp;$A212&amp;"'!C8")</f>
        <v>0</v>
      </c>
      <c r="G212" s="30">
        <f t="array" aca="1" ref="G212" ca="1">INDIRECT("'"&amp;$A212&amp;"'!D8")</f>
        <v>0</v>
      </c>
      <c r="H212" s="30">
        <f t="array" aca="1" ref="H212" ca="1">INDIRECT("'"&amp;$A212&amp;"'!E8")</f>
        <v>0</v>
      </c>
      <c r="I212" s="30">
        <f t="array" aca="1" ref="I212" ca="1">INDIRECT("'"&amp;$A212&amp;"'!F8")</f>
        <v>0</v>
      </c>
      <c r="J212" s="30">
        <f t="array" aca="1" ref="J212" ca="1">INDIRECT("'"&amp;$A212&amp;"'!G8")</f>
        <v>0</v>
      </c>
      <c r="K212" s="30">
        <f t="array" aca="1" ref="K212" ca="1">INDIRECT("'"&amp;$A212&amp;"'!H8")</f>
        <v>0</v>
      </c>
      <c r="L212" s="30">
        <f t="array" aca="1" ref="L212" ca="1">INDIRECT("'"&amp;$A212&amp;"'!I8")</f>
        <v>0</v>
      </c>
      <c r="M212" s="30">
        <f t="array" aca="1" ref="M212" ca="1">INDIRECT("'"&amp;$A212&amp;"'!J8")</f>
        <v>0</v>
      </c>
      <c r="N212" s="30">
        <f t="array" aca="1" ref="N212" ca="1">INDIRECT("'"&amp;$A212&amp;"'!K8")</f>
        <v>0</v>
      </c>
      <c r="O212" s="30">
        <f t="array" aca="1" ref="O212" ca="1">INDIRECT("'"&amp;$A212&amp;"'!L8")</f>
        <v>0</v>
      </c>
      <c r="P212" s="30">
        <f t="array" aca="1" ref="P212" ca="1">INDIRECT("'"&amp;$A212&amp;"'!M8")</f>
        <v>0</v>
      </c>
      <c r="Q212" s="30">
        <f t="array" aca="1" ref="Q212" ca="1">INDIRECT("'"&amp;$A212&amp;"'!N8")</f>
        <v>0</v>
      </c>
      <c r="R212" s="30">
        <f t="array" aca="1" ref="R212" ca="1">INDIRECT("'"&amp;$A212&amp;"'!O8")</f>
        <v>0</v>
      </c>
      <c r="S212" s="30">
        <f t="array" aca="1" ref="S212" ca="1">INDIRECT("'"&amp;$A212&amp;"'!P8")</f>
        <v>0</v>
      </c>
      <c r="T212" s="30">
        <f t="array" aca="1" ref="T212" ca="1">INDIRECT("'"&amp;$A212&amp;"'!Q8")</f>
        <v>0</v>
      </c>
      <c r="U212" s="30">
        <f t="array" aca="1" ref="U212" ca="1">INDIRECT("'"&amp;$A212&amp;"'!R8")</f>
        <v>0</v>
      </c>
      <c r="V212" s="30">
        <f t="array" aca="1" ref="V212" ca="1">INDIRECT("'"&amp;$A212&amp;"'!S8")</f>
        <v>0</v>
      </c>
      <c r="W212" s="30">
        <f t="array" aca="1" ref="W212" ca="1">INDIRECT("'"&amp;$A212&amp;"'!T8")</f>
        <v>0</v>
      </c>
      <c r="X212" s="30">
        <f t="array" aca="1" ref="X212" ca="1">INDIRECT("'"&amp;$A212&amp;"'!U8")</f>
        <v>0</v>
      </c>
      <c r="Y212" s="30">
        <f t="array" aca="1" ref="Y212" ca="1">INDIRECT("'"&amp;$A212&amp;"'!V8")</f>
        <v>0</v>
      </c>
      <c r="Z212" s="30">
        <f t="array" aca="1" ref="Z212" ca="1">INDIRECT("'"&amp;$A212&amp;"'!W8")</f>
        <v>0</v>
      </c>
      <c r="AA212" s="30">
        <f t="array" aca="1" ref="AA212" ca="1">INDIRECT("'"&amp;$A212&amp;"'!X8")</f>
        <v>0</v>
      </c>
      <c r="AB212" s="30">
        <f t="array" aca="1" ref="AB212" ca="1">INDIRECT("'"&amp;$A212&amp;"'!Y8")</f>
        <v>0</v>
      </c>
      <c r="AC212" s="30">
        <f t="array" aca="1" ref="AC212" ca="1">INDIRECT("'"&amp;$A212&amp;"'!Z8")</f>
        <v>0</v>
      </c>
      <c r="AD212" s="31">
        <f t="array" aca="1" ref="AD212" ca="1">INDIRECT("'"&amp;$A212&amp;"'!AA8")</f>
        <v>0</v>
      </c>
      <c r="AE212" s="81">
        <f t="array" aca="1" ref="AE212" ca="1">INDIRECT("'"&amp;$A213&amp;"'!J2")</f>
        <v>0</v>
      </c>
      <c r="AF212" s="53" t="str">
        <f t="array" aca="1" ref="AF212" ca="1">INDIRECT("'"&amp;$A213&amp;"'!AD1")</f>
        <v/>
      </c>
    </row>
    <row r="213" spans="1:32">
      <c r="A213" s="58">
        <v>71</v>
      </c>
      <c r="B213" s="106"/>
      <c r="C213" s="67" t="str">
        <f t="array" aca="1" ref="C213" ca="1">CONCATENATE("粮 ",INDIRECT("'"&amp;$A213&amp;"'!D4"))</f>
        <v>粮 118800</v>
      </c>
      <c r="D213" s="55" t="s">
        <v>7</v>
      </c>
      <c r="E213" s="82">
        <f t="array" aca="1" ref="E213" ca="1">INDIRECT("'"&amp;$A213&amp;"'!I3")</f>
        <v>18</v>
      </c>
      <c r="F213" s="52">
        <f t="array" aca="1" ref="F213" ca="1">INDIRECT("'"&amp;$A213&amp;"'!C11")</f>
        <v>0</v>
      </c>
      <c r="G213" s="3">
        <f t="array" aca="1" ref="G213" ca="1">INDIRECT("'"&amp;$A213&amp;"'!D11")</f>
        <v>0</v>
      </c>
      <c r="H213" s="3">
        <f t="array" aca="1" ref="H213" ca="1">INDIRECT("'"&amp;$A213&amp;"'!E11")</f>
        <v>0</v>
      </c>
      <c r="I213" s="3">
        <f t="array" aca="1" ref="I213" ca="1">INDIRECT("'"&amp;$A213&amp;"'!F11")</f>
        <v>0</v>
      </c>
      <c r="J213" s="3">
        <f t="array" aca="1" ref="J213" ca="1">INDIRECT("'"&amp;$A213&amp;"'!G11")</f>
        <v>0</v>
      </c>
      <c r="K213" s="3">
        <f t="array" aca="1" ref="K213" ca="1">INDIRECT("'"&amp;$A213&amp;"'!H11")</f>
        <v>0</v>
      </c>
      <c r="L213" s="3">
        <f t="array" aca="1" ref="L213" ca="1">INDIRECT("'"&amp;$A213&amp;"'!I11")</f>
        <v>0</v>
      </c>
      <c r="M213" s="3">
        <f t="array" aca="1" ref="M213" ca="1">INDIRECT("'"&amp;$A213&amp;"'!J11")</f>
        <v>0</v>
      </c>
      <c r="N213" s="3">
        <f t="array" aca="1" ref="N213" ca="1">INDIRECT("'"&amp;$A213&amp;"'!K11")</f>
        <v>0</v>
      </c>
      <c r="O213" s="3">
        <f t="array" aca="1" ref="O213" ca="1">INDIRECT("'"&amp;$A213&amp;"'!L11")</f>
        <v>0</v>
      </c>
      <c r="P213" s="3">
        <f t="array" aca="1" ref="P213" ca="1">INDIRECT("'"&amp;$A213&amp;"'!M11")</f>
        <v>0</v>
      </c>
      <c r="Q213" s="3">
        <f t="array" aca="1" ref="Q213" ca="1">INDIRECT("'"&amp;$A213&amp;"'!N11")</f>
        <v>0</v>
      </c>
      <c r="R213" s="3">
        <f t="array" aca="1" ref="R213" ca="1">INDIRECT("'"&amp;$A213&amp;"'!O11")</f>
        <v>0</v>
      </c>
      <c r="S213" s="3">
        <f t="array" aca="1" ref="S213" ca="1">INDIRECT("'"&amp;$A213&amp;"'!P11")</f>
        <v>0</v>
      </c>
      <c r="T213" s="3">
        <f t="array" aca="1" ref="T213" ca="1">INDIRECT("'"&amp;$A213&amp;"'!Q11")</f>
        <v>0</v>
      </c>
      <c r="U213" s="3">
        <f t="array" aca="1" ref="U213" ca="1">INDIRECT("'"&amp;$A213&amp;"'!R11")</f>
        <v>0</v>
      </c>
      <c r="V213" s="3">
        <f t="array" aca="1" ref="V213" ca="1">INDIRECT("'"&amp;$A213&amp;"'!S11")</f>
        <v>0</v>
      </c>
      <c r="W213" s="3">
        <f t="array" aca="1" ref="W213" ca="1">INDIRECT("'"&amp;$A213&amp;"'!T11")</f>
        <v>0</v>
      </c>
      <c r="X213" s="3">
        <f t="array" aca="1" ref="X213" ca="1">INDIRECT("'"&amp;$A213&amp;"'!U11")</f>
        <v>0</v>
      </c>
      <c r="Y213" s="3">
        <f t="array" aca="1" ref="Y213" ca="1">INDIRECT("'"&amp;$A213&amp;"'!V11")</f>
        <v>0</v>
      </c>
      <c r="Z213" s="3">
        <f t="array" aca="1" ref="Z213" ca="1">INDIRECT("'"&amp;$A213&amp;"'!W11")</f>
        <v>0</v>
      </c>
      <c r="AA213" s="3">
        <f t="array" aca="1" ref="AA213" ca="1">INDIRECT("'"&amp;$A213&amp;"'!X11")</f>
        <v>0</v>
      </c>
      <c r="AB213" s="3">
        <f t="array" aca="1" ref="AB213" ca="1">INDIRECT("'"&amp;$A213&amp;"'!Y11")</f>
        <v>0</v>
      </c>
      <c r="AC213" s="3">
        <f t="array" aca="1" ref="AC213" ca="1">INDIRECT("'"&amp;$A213&amp;"'!Z11")</f>
        <v>0</v>
      </c>
      <c r="AD213" s="32">
        <f t="array" aca="1" ref="AD213" ca="1">INDIRECT("'"&amp;$A213&amp;"'!AA11")</f>
        <v>0</v>
      </c>
      <c r="AE213" s="82">
        <f t="array" aca="1" ref="AE213" ca="1">INDIRECT("'"&amp;$A213&amp;"'!J3")</f>
        <v>0</v>
      </c>
      <c r="AF213" s="53" t="str">
        <f t="array" aca="1" ref="AF213" ca="1">INDIRECT("'"&amp;$A213&amp;"'!AC1")</f>
        <v/>
      </c>
    </row>
    <row r="214" spans="1:32" ht="15.75" customHeight="1" thickBot="1">
      <c r="A214" s="58">
        <v>71</v>
      </c>
      <c r="B214" s="107"/>
      <c r="C214" s="77" t="str">
        <f t="array" aca="1" ref="C214" ca="1">CONCATENATE("分 ",INDIRECT("'"&amp;$A213&amp;"'!D6"))</f>
        <v>分 0</v>
      </c>
      <c r="D214" s="56" t="s">
        <v>8</v>
      </c>
      <c r="E214" s="83">
        <f t="array" aca="1" ref="E214" ca="1">INDIRECT("'"&amp;$A213&amp;"'!I4")</f>
        <v>18</v>
      </c>
      <c r="F214" s="52">
        <f t="array" aca="1" ref="F214" ca="1">INDIRECT("'"&amp;$A214&amp;"'!C14")</f>
        <v>0</v>
      </c>
      <c r="G214" s="3">
        <f t="array" aca="1" ref="G214" ca="1">INDIRECT("'"&amp;$A214&amp;"'!D14")</f>
        <v>0</v>
      </c>
      <c r="H214" s="3">
        <f t="array" aca="1" ref="H214" ca="1">INDIRECT("'"&amp;$A214&amp;"'!E14")</f>
        <v>0</v>
      </c>
      <c r="I214" s="3">
        <f t="array" aca="1" ref="I214" ca="1">INDIRECT("'"&amp;$A214&amp;"'!F14")</f>
        <v>0</v>
      </c>
      <c r="J214" s="3">
        <f t="array" aca="1" ref="J214" ca="1">INDIRECT("'"&amp;$A214&amp;"'!G14")</f>
        <v>0</v>
      </c>
      <c r="K214" s="3">
        <f t="array" aca="1" ref="K214" ca="1">INDIRECT("'"&amp;$A214&amp;"'!H14")</f>
        <v>0</v>
      </c>
      <c r="L214" s="3">
        <f t="array" aca="1" ref="L214" ca="1">INDIRECT("'"&amp;$A214&amp;"'!I14")</f>
        <v>0</v>
      </c>
      <c r="M214" s="3">
        <f t="array" aca="1" ref="M214" ca="1">INDIRECT("'"&amp;$A214&amp;"'!J14")</f>
        <v>0</v>
      </c>
      <c r="N214" s="3">
        <f t="array" aca="1" ref="N214" ca="1">INDIRECT("'"&amp;$A214&amp;"'!K14")</f>
        <v>0</v>
      </c>
      <c r="O214" s="3">
        <f t="array" aca="1" ref="O214" ca="1">INDIRECT("'"&amp;$A214&amp;"'!L14")</f>
        <v>0</v>
      </c>
      <c r="P214" s="3">
        <f t="array" aca="1" ref="P214" ca="1">INDIRECT("'"&amp;$A214&amp;"'!M14")</f>
        <v>0</v>
      </c>
      <c r="Q214" s="3">
        <f t="array" aca="1" ref="Q214" ca="1">INDIRECT("'"&amp;$A214&amp;"'!N14")</f>
        <v>0</v>
      </c>
      <c r="R214" s="3">
        <f t="array" aca="1" ref="R214" ca="1">INDIRECT("'"&amp;$A214&amp;"'!O14")</f>
        <v>0</v>
      </c>
      <c r="S214" s="3">
        <f t="array" aca="1" ref="S214" ca="1">INDIRECT("'"&amp;$A214&amp;"'!P14")</f>
        <v>0</v>
      </c>
      <c r="T214" s="3">
        <f t="array" aca="1" ref="T214" ca="1">INDIRECT("'"&amp;$A214&amp;"'!Q14")</f>
        <v>0</v>
      </c>
      <c r="U214" s="3">
        <f t="array" aca="1" ref="U214" ca="1">INDIRECT("'"&amp;$A214&amp;"'!R14")</f>
        <v>0</v>
      </c>
      <c r="V214" s="3">
        <f t="array" aca="1" ref="V214" ca="1">INDIRECT("'"&amp;$A214&amp;"'!S14")</f>
        <v>0</v>
      </c>
      <c r="W214" s="3">
        <f t="array" aca="1" ref="W214" ca="1">INDIRECT("'"&amp;$A214&amp;"'!T14")</f>
        <v>0</v>
      </c>
      <c r="X214" s="3">
        <f t="array" aca="1" ref="X214" ca="1">INDIRECT("'"&amp;$A214&amp;"'!U14")</f>
        <v>0</v>
      </c>
      <c r="Y214" s="3">
        <f t="array" aca="1" ref="Y214" ca="1">INDIRECT("'"&amp;$A214&amp;"'!V14")</f>
        <v>0</v>
      </c>
      <c r="Z214" s="3">
        <f t="array" aca="1" ref="Z214" ca="1">INDIRECT("'"&amp;$A214&amp;"'!W14")</f>
        <v>0</v>
      </c>
      <c r="AA214" s="3">
        <f t="array" aca="1" ref="AA214" ca="1">INDIRECT("'"&amp;$A214&amp;"'!X14")</f>
        <v>0</v>
      </c>
      <c r="AB214" s="3">
        <f t="array" aca="1" ref="AB214" ca="1">INDIRECT("'"&amp;$A214&amp;"'!Y14")</f>
        <v>0</v>
      </c>
      <c r="AC214" s="3">
        <f t="array" aca="1" ref="AC214" ca="1">INDIRECT("'"&amp;$A214&amp;"'!Z14")</f>
        <v>0</v>
      </c>
      <c r="AD214" s="32">
        <f t="array" aca="1" ref="AD214" ca="1">INDIRECT("'"&amp;$A214&amp;"'!AA14")</f>
        <v>0</v>
      </c>
      <c r="AE214" s="83">
        <f t="array" aca="1" ref="AE214" ca="1">INDIRECT("'"&amp;$A213&amp;"'!J4")</f>
        <v>0</v>
      </c>
      <c r="AF214" s="53"/>
    </row>
    <row r="215" spans="1:32">
      <c r="A215" s="58">
        <v>72</v>
      </c>
      <c r="B215" s="105">
        <f>INDEX(data!$I$2:$I$91,MATCH(A215*1,data!$G$2:$G$91,0))</f>
        <v>46256</v>
      </c>
      <c r="C215" s="66" t="str">
        <f>HYPERLINK("#'" &amp; A215 &amp; "'!A1", "编辑")</f>
        <v>编辑</v>
      </c>
      <c r="D215" s="54" t="s">
        <v>6</v>
      </c>
      <c r="E215" s="81">
        <f t="array" aca="1" ref="E215" ca="1">INDIRECT("'"&amp;$A216&amp;"'!I2")</f>
        <v>18</v>
      </c>
      <c r="F215" s="29">
        <f t="array" aca="1" ref="F215" ca="1">INDIRECT("'"&amp;$A215&amp;"'!C8")</f>
        <v>0</v>
      </c>
      <c r="G215" s="30">
        <f t="array" aca="1" ref="G215" ca="1">INDIRECT("'"&amp;$A215&amp;"'!D8")</f>
        <v>0</v>
      </c>
      <c r="H215" s="30">
        <f t="array" aca="1" ref="H215" ca="1">INDIRECT("'"&amp;$A215&amp;"'!E8")</f>
        <v>0</v>
      </c>
      <c r="I215" s="30">
        <f t="array" aca="1" ref="I215" ca="1">INDIRECT("'"&amp;$A215&amp;"'!F8")</f>
        <v>0</v>
      </c>
      <c r="J215" s="30">
        <f t="array" aca="1" ref="J215" ca="1">INDIRECT("'"&amp;$A215&amp;"'!G8")</f>
        <v>0</v>
      </c>
      <c r="K215" s="30">
        <f t="array" aca="1" ref="K215" ca="1">INDIRECT("'"&amp;$A215&amp;"'!H8")</f>
        <v>0</v>
      </c>
      <c r="L215" s="30">
        <f t="array" aca="1" ref="L215" ca="1">INDIRECT("'"&amp;$A215&amp;"'!I8")</f>
        <v>0</v>
      </c>
      <c r="M215" s="30">
        <f t="array" aca="1" ref="M215" ca="1">INDIRECT("'"&amp;$A215&amp;"'!J8")</f>
        <v>0</v>
      </c>
      <c r="N215" s="30">
        <f t="array" aca="1" ref="N215" ca="1">INDIRECT("'"&amp;$A215&amp;"'!K8")</f>
        <v>0</v>
      </c>
      <c r="O215" s="30">
        <f t="array" aca="1" ref="O215" ca="1">INDIRECT("'"&amp;$A215&amp;"'!L8")</f>
        <v>0</v>
      </c>
      <c r="P215" s="30">
        <f t="array" aca="1" ref="P215" ca="1">INDIRECT("'"&amp;$A215&amp;"'!M8")</f>
        <v>0</v>
      </c>
      <c r="Q215" s="30">
        <f t="array" aca="1" ref="Q215" ca="1">INDIRECT("'"&amp;$A215&amp;"'!N8")</f>
        <v>0</v>
      </c>
      <c r="R215" s="30">
        <f t="array" aca="1" ref="R215" ca="1">INDIRECT("'"&amp;$A215&amp;"'!O8")</f>
        <v>0</v>
      </c>
      <c r="S215" s="30">
        <f t="array" aca="1" ref="S215" ca="1">INDIRECT("'"&amp;$A215&amp;"'!P8")</f>
        <v>0</v>
      </c>
      <c r="T215" s="30">
        <f t="array" aca="1" ref="T215" ca="1">INDIRECT("'"&amp;$A215&amp;"'!Q8")</f>
        <v>0</v>
      </c>
      <c r="U215" s="30">
        <f t="array" aca="1" ref="U215" ca="1">INDIRECT("'"&amp;$A215&amp;"'!R8")</f>
        <v>0</v>
      </c>
      <c r="V215" s="30">
        <f t="array" aca="1" ref="V215" ca="1">INDIRECT("'"&amp;$A215&amp;"'!S8")</f>
        <v>0</v>
      </c>
      <c r="W215" s="30">
        <f t="array" aca="1" ref="W215" ca="1">INDIRECT("'"&amp;$A215&amp;"'!T8")</f>
        <v>0</v>
      </c>
      <c r="X215" s="30">
        <f t="array" aca="1" ref="X215" ca="1">INDIRECT("'"&amp;$A215&amp;"'!U8")</f>
        <v>0</v>
      </c>
      <c r="Y215" s="30">
        <f t="array" aca="1" ref="Y215" ca="1">INDIRECT("'"&amp;$A215&amp;"'!V8")</f>
        <v>0</v>
      </c>
      <c r="Z215" s="30">
        <f t="array" aca="1" ref="Z215" ca="1">INDIRECT("'"&amp;$A215&amp;"'!W8")</f>
        <v>0</v>
      </c>
      <c r="AA215" s="30">
        <f t="array" aca="1" ref="AA215" ca="1">INDIRECT("'"&amp;$A215&amp;"'!X8")</f>
        <v>0</v>
      </c>
      <c r="AB215" s="30">
        <f t="array" aca="1" ref="AB215" ca="1">INDIRECT("'"&amp;$A215&amp;"'!Y8")</f>
        <v>0</v>
      </c>
      <c r="AC215" s="30">
        <f t="array" aca="1" ref="AC215" ca="1">INDIRECT("'"&amp;$A215&amp;"'!Z8")</f>
        <v>0</v>
      </c>
      <c r="AD215" s="31">
        <f t="array" aca="1" ref="AD215" ca="1">INDIRECT("'"&amp;$A215&amp;"'!AA8")</f>
        <v>0</v>
      </c>
      <c r="AE215" s="81">
        <f t="array" aca="1" ref="AE215" ca="1">INDIRECT("'"&amp;$A216&amp;"'!J2")</f>
        <v>0</v>
      </c>
      <c r="AF215" s="53" t="str">
        <f t="array" aca="1" ref="AF215" ca="1">INDIRECT("'"&amp;$A216&amp;"'!AD1")</f>
        <v/>
      </c>
    </row>
    <row r="216" spans="1:32">
      <c r="A216" s="58">
        <v>72</v>
      </c>
      <c r="B216" s="106"/>
      <c r="C216" s="67" t="str">
        <f t="array" aca="1" ref="C216" ca="1">CONCATENATE("粮 ",INDIRECT("'"&amp;$A216&amp;"'!D4"))</f>
        <v>粮 120400</v>
      </c>
      <c r="D216" s="55" t="s">
        <v>7</v>
      </c>
      <c r="E216" s="82">
        <f t="array" aca="1" ref="E216" ca="1">INDIRECT("'"&amp;$A216&amp;"'!I3")</f>
        <v>18</v>
      </c>
      <c r="F216" s="52">
        <f t="array" aca="1" ref="F216" ca="1">INDIRECT("'"&amp;$A216&amp;"'!C11")</f>
        <v>0</v>
      </c>
      <c r="G216" s="3">
        <f t="array" aca="1" ref="G216" ca="1">INDIRECT("'"&amp;$A216&amp;"'!D11")</f>
        <v>0</v>
      </c>
      <c r="H216" s="3">
        <f t="array" aca="1" ref="H216" ca="1">INDIRECT("'"&amp;$A216&amp;"'!E11")</f>
        <v>0</v>
      </c>
      <c r="I216" s="3">
        <f t="array" aca="1" ref="I216" ca="1">INDIRECT("'"&amp;$A216&amp;"'!F11")</f>
        <v>0</v>
      </c>
      <c r="J216" s="3">
        <f t="array" aca="1" ref="J216" ca="1">INDIRECT("'"&amp;$A216&amp;"'!G11")</f>
        <v>0</v>
      </c>
      <c r="K216" s="3">
        <f t="array" aca="1" ref="K216" ca="1">INDIRECT("'"&amp;$A216&amp;"'!H11")</f>
        <v>0</v>
      </c>
      <c r="L216" s="3">
        <f t="array" aca="1" ref="L216" ca="1">INDIRECT("'"&amp;$A216&amp;"'!I11")</f>
        <v>0</v>
      </c>
      <c r="M216" s="3">
        <f t="array" aca="1" ref="M216" ca="1">INDIRECT("'"&amp;$A216&amp;"'!J11")</f>
        <v>0</v>
      </c>
      <c r="N216" s="3">
        <f t="array" aca="1" ref="N216" ca="1">INDIRECT("'"&amp;$A216&amp;"'!K11")</f>
        <v>0</v>
      </c>
      <c r="O216" s="3">
        <f t="array" aca="1" ref="O216" ca="1">INDIRECT("'"&amp;$A216&amp;"'!L11")</f>
        <v>0</v>
      </c>
      <c r="P216" s="3">
        <f t="array" aca="1" ref="P216" ca="1">INDIRECT("'"&amp;$A216&amp;"'!M11")</f>
        <v>0</v>
      </c>
      <c r="Q216" s="3">
        <f t="array" aca="1" ref="Q216" ca="1">INDIRECT("'"&amp;$A216&amp;"'!N11")</f>
        <v>0</v>
      </c>
      <c r="R216" s="3">
        <f t="array" aca="1" ref="R216" ca="1">INDIRECT("'"&amp;$A216&amp;"'!O11")</f>
        <v>0</v>
      </c>
      <c r="S216" s="3">
        <f t="array" aca="1" ref="S216" ca="1">INDIRECT("'"&amp;$A216&amp;"'!P11")</f>
        <v>0</v>
      </c>
      <c r="T216" s="3">
        <f t="array" aca="1" ref="T216" ca="1">INDIRECT("'"&amp;$A216&amp;"'!Q11")</f>
        <v>0</v>
      </c>
      <c r="U216" s="3">
        <f t="array" aca="1" ref="U216" ca="1">INDIRECT("'"&amp;$A216&amp;"'!R11")</f>
        <v>0</v>
      </c>
      <c r="V216" s="3">
        <f t="array" aca="1" ref="V216" ca="1">INDIRECT("'"&amp;$A216&amp;"'!S11")</f>
        <v>0</v>
      </c>
      <c r="W216" s="3">
        <f t="array" aca="1" ref="W216" ca="1">INDIRECT("'"&amp;$A216&amp;"'!T11")</f>
        <v>0</v>
      </c>
      <c r="X216" s="3">
        <f t="array" aca="1" ref="X216" ca="1">INDIRECT("'"&amp;$A216&amp;"'!U11")</f>
        <v>0</v>
      </c>
      <c r="Y216" s="3">
        <f t="array" aca="1" ref="Y216" ca="1">INDIRECT("'"&amp;$A216&amp;"'!V11")</f>
        <v>0</v>
      </c>
      <c r="Z216" s="3">
        <f t="array" aca="1" ref="Z216" ca="1">INDIRECT("'"&amp;$A216&amp;"'!W11")</f>
        <v>0</v>
      </c>
      <c r="AA216" s="3">
        <f t="array" aca="1" ref="AA216" ca="1">INDIRECT("'"&amp;$A216&amp;"'!X11")</f>
        <v>0</v>
      </c>
      <c r="AB216" s="3">
        <f t="array" aca="1" ref="AB216" ca="1">INDIRECT("'"&amp;$A216&amp;"'!Y11")</f>
        <v>0</v>
      </c>
      <c r="AC216" s="3">
        <f t="array" aca="1" ref="AC216" ca="1">INDIRECT("'"&amp;$A216&amp;"'!Z11")</f>
        <v>0</v>
      </c>
      <c r="AD216" s="32">
        <f t="array" aca="1" ref="AD216" ca="1">INDIRECT("'"&amp;$A216&amp;"'!AA11")</f>
        <v>0</v>
      </c>
      <c r="AE216" s="82">
        <f t="array" aca="1" ref="AE216" ca="1">INDIRECT("'"&amp;$A216&amp;"'!J3")</f>
        <v>0</v>
      </c>
      <c r="AF216" s="53" t="str">
        <f t="array" aca="1" ref="AF216" ca="1">INDIRECT("'"&amp;$A216&amp;"'!AC1")</f>
        <v/>
      </c>
    </row>
    <row r="217" spans="1:32" ht="15.75" customHeight="1" thickBot="1">
      <c r="A217" s="58">
        <v>72</v>
      </c>
      <c r="B217" s="107"/>
      <c r="C217" s="77" t="str">
        <f t="array" aca="1" ref="C217" ca="1">CONCATENATE("分 ",INDIRECT("'"&amp;$A216&amp;"'!D6"))</f>
        <v>分 0</v>
      </c>
      <c r="D217" s="56" t="s">
        <v>8</v>
      </c>
      <c r="E217" s="83">
        <f t="array" aca="1" ref="E217" ca="1">INDIRECT("'"&amp;$A216&amp;"'!I4")</f>
        <v>18</v>
      </c>
      <c r="F217" s="52">
        <f t="array" aca="1" ref="F217" ca="1">INDIRECT("'"&amp;$A217&amp;"'!C14")</f>
        <v>0</v>
      </c>
      <c r="G217" s="3">
        <f t="array" aca="1" ref="G217" ca="1">INDIRECT("'"&amp;$A217&amp;"'!D14")</f>
        <v>0</v>
      </c>
      <c r="H217" s="3">
        <f t="array" aca="1" ref="H217" ca="1">INDIRECT("'"&amp;$A217&amp;"'!E14")</f>
        <v>0</v>
      </c>
      <c r="I217" s="3">
        <f t="array" aca="1" ref="I217" ca="1">INDIRECT("'"&amp;$A217&amp;"'!F14")</f>
        <v>0</v>
      </c>
      <c r="J217" s="3">
        <f t="array" aca="1" ref="J217" ca="1">INDIRECT("'"&amp;$A217&amp;"'!G14")</f>
        <v>0</v>
      </c>
      <c r="K217" s="3">
        <f t="array" aca="1" ref="K217" ca="1">INDIRECT("'"&amp;$A217&amp;"'!H14")</f>
        <v>0</v>
      </c>
      <c r="L217" s="3">
        <f t="array" aca="1" ref="L217" ca="1">INDIRECT("'"&amp;$A217&amp;"'!I14")</f>
        <v>0</v>
      </c>
      <c r="M217" s="3">
        <f t="array" aca="1" ref="M217" ca="1">INDIRECT("'"&amp;$A217&amp;"'!J14")</f>
        <v>0</v>
      </c>
      <c r="N217" s="3">
        <f t="array" aca="1" ref="N217" ca="1">INDIRECT("'"&amp;$A217&amp;"'!K14")</f>
        <v>0</v>
      </c>
      <c r="O217" s="3">
        <f t="array" aca="1" ref="O217" ca="1">INDIRECT("'"&amp;$A217&amp;"'!L14")</f>
        <v>0</v>
      </c>
      <c r="P217" s="3">
        <f t="array" aca="1" ref="P217" ca="1">INDIRECT("'"&amp;$A217&amp;"'!M14")</f>
        <v>0</v>
      </c>
      <c r="Q217" s="3">
        <f t="array" aca="1" ref="Q217" ca="1">INDIRECT("'"&amp;$A217&amp;"'!N14")</f>
        <v>0</v>
      </c>
      <c r="R217" s="3">
        <f t="array" aca="1" ref="R217" ca="1">INDIRECT("'"&amp;$A217&amp;"'!O14")</f>
        <v>0</v>
      </c>
      <c r="S217" s="3">
        <f t="array" aca="1" ref="S217" ca="1">INDIRECT("'"&amp;$A217&amp;"'!P14")</f>
        <v>0</v>
      </c>
      <c r="T217" s="3">
        <f t="array" aca="1" ref="T217" ca="1">INDIRECT("'"&amp;$A217&amp;"'!Q14")</f>
        <v>0</v>
      </c>
      <c r="U217" s="3">
        <f t="array" aca="1" ref="U217" ca="1">INDIRECT("'"&amp;$A217&amp;"'!R14")</f>
        <v>0</v>
      </c>
      <c r="V217" s="3">
        <f t="array" aca="1" ref="V217" ca="1">INDIRECT("'"&amp;$A217&amp;"'!S14")</f>
        <v>0</v>
      </c>
      <c r="W217" s="3">
        <f t="array" aca="1" ref="W217" ca="1">INDIRECT("'"&amp;$A217&amp;"'!T14")</f>
        <v>0</v>
      </c>
      <c r="X217" s="3">
        <f t="array" aca="1" ref="X217" ca="1">INDIRECT("'"&amp;$A217&amp;"'!U14")</f>
        <v>0</v>
      </c>
      <c r="Y217" s="3">
        <f t="array" aca="1" ref="Y217" ca="1">INDIRECT("'"&amp;$A217&amp;"'!V14")</f>
        <v>0</v>
      </c>
      <c r="Z217" s="3">
        <f t="array" aca="1" ref="Z217" ca="1">INDIRECT("'"&amp;$A217&amp;"'!W14")</f>
        <v>0</v>
      </c>
      <c r="AA217" s="3">
        <f t="array" aca="1" ref="AA217" ca="1">INDIRECT("'"&amp;$A217&amp;"'!X14")</f>
        <v>0</v>
      </c>
      <c r="AB217" s="3">
        <f t="array" aca="1" ref="AB217" ca="1">INDIRECT("'"&amp;$A217&amp;"'!Y14")</f>
        <v>0</v>
      </c>
      <c r="AC217" s="3">
        <f t="array" aca="1" ref="AC217" ca="1">INDIRECT("'"&amp;$A217&amp;"'!Z14")</f>
        <v>0</v>
      </c>
      <c r="AD217" s="32">
        <f t="array" aca="1" ref="AD217" ca="1">INDIRECT("'"&amp;$A217&amp;"'!AA14")</f>
        <v>0</v>
      </c>
      <c r="AE217" s="83">
        <f t="array" aca="1" ref="AE217" ca="1">INDIRECT("'"&amp;$A216&amp;"'!J4")</f>
        <v>0</v>
      </c>
      <c r="AF217" s="53"/>
    </row>
    <row r="218" spans="1:32">
      <c r="A218" s="58">
        <v>73</v>
      </c>
      <c r="B218" s="105">
        <f>INDEX(data!$I$2:$I$91,MATCH(A218*1,data!$G$2:$G$91,0))</f>
        <v>46257</v>
      </c>
      <c r="C218" s="66" t="str">
        <f>HYPERLINK("#'" &amp; A218 &amp; "'!A1", "编辑")</f>
        <v>编辑</v>
      </c>
      <c r="D218" s="54" t="s">
        <v>6</v>
      </c>
      <c r="E218" s="81">
        <f t="array" aca="1" ref="E218" ca="1">INDIRECT("'"&amp;$A219&amp;"'!I2")</f>
        <v>18</v>
      </c>
      <c r="F218" s="29">
        <f t="array" aca="1" ref="F218" ca="1">INDIRECT("'"&amp;$A218&amp;"'!C8")</f>
        <v>0</v>
      </c>
      <c r="G218" s="30">
        <f t="array" aca="1" ref="G218" ca="1">INDIRECT("'"&amp;$A218&amp;"'!D8")</f>
        <v>0</v>
      </c>
      <c r="H218" s="30">
        <f t="array" aca="1" ref="H218" ca="1">INDIRECT("'"&amp;$A218&amp;"'!E8")</f>
        <v>0</v>
      </c>
      <c r="I218" s="30">
        <f t="array" aca="1" ref="I218" ca="1">INDIRECT("'"&amp;$A218&amp;"'!F8")</f>
        <v>0</v>
      </c>
      <c r="J218" s="30">
        <f t="array" aca="1" ref="J218" ca="1">INDIRECT("'"&amp;$A218&amp;"'!G8")</f>
        <v>0</v>
      </c>
      <c r="K218" s="30">
        <f t="array" aca="1" ref="K218" ca="1">INDIRECT("'"&amp;$A218&amp;"'!H8")</f>
        <v>0</v>
      </c>
      <c r="L218" s="30">
        <f t="array" aca="1" ref="L218" ca="1">INDIRECT("'"&amp;$A218&amp;"'!I8")</f>
        <v>0</v>
      </c>
      <c r="M218" s="30">
        <f t="array" aca="1" ref="M218" ca="1">INDIRECT("'"&amp;$A218&amp;"'!J8")</f>
        <v>0</v>
      </c>
      <c r="N218" s="30">
        <f t="array" aca="1" ref="N218" ca="1">INDIRECT("'"&amp;$A218&amp;"'!K8")</f>
        <v>0</v>
      </c>
      <c r="O218" s="30">
        <f t="array" aca="1" ref="O218" ca="1">INDIRECT("'"&amp;$A218&amp;"'!L8")</f>
        <v>0</v>
      </c>
      <c r="P218" s="30">
        <f t="array" aca="1" ref="P218" ca="1">INDIRECT("'"&amp;$A218&amp;"'!M8")</f>
        <v>0</v>
      </c>
      <c r="Q218" s="30">
        <f t="array" aca="1" ref="Q218" ca="1">INDIRECT("'"&amp;$A218&amp;"'!N8")</f>
        <v>0</v>
      </c>
      <c r="R218" s="30">
        <f t="array" aca="1" ref="R218" ca="1">INDIRECT("'"&amp;$A218&amp;"'!O8")</f>
        <v>0</v>
      </c>
      <c r="S218" s="30">
        <f t="array" aca="1" ref="S218" ca="1">INDIRECT("'"&amp;$A218&amp;"'!P8")</f>
        <v>0</v>
      </c>
      <c r="T218" s="30">
        <f t="array" aca="1" ref="T218" ca="1">INDIRECT("'"&amp;$A218&amp;"'!Q8")</f>
        <v>0</v>
      </c>
      <c r="U218" s="30">
        <f t="array" aca="1" ref="U218" ca="1">INDIRECT("'"&amp;$A218&amp;"'!R8")</f>
        <v>0</v>
      </c>
      <c r="V218" s="30">
        <f t="array" aca="1" ref="V218" ca="1">INDIRECT("'"&amp;$A218&amp;"'!S8")</f>
        <v>0</v>
      </c>
      <c r="W218" s="30">
        <f t="array" aca="1" ref="W218" ca="1">INDIRECT("'"&amp;$A218&amp;"'!T8")</f>
        <v>0</v>
      </c>
      <c r="X218" s="30">
        <f t="array" aca="1" ref="X218" ca="1">INDIRECT("'"&amp;$A218&amp;"'!U8")</f>
        <v>0</v>
      </c>
      <c r="Y218" s="30">
        <f t="array" aca="1" ref="Y218" ca="1">INDIRECT("'"&amp;$A218&amp;"'!V8")</f>
        <v>0</v>
      </c>
      <c r="Z218" s="30">
        <f t="array" aca="1" ref="Z218" ca="1">INDIRECT("'"&amp;$A218&amp;"'!W8")</f>
        <v>0</v>
      </c>
      <c r="AA218" s="30">
        <f t="array" aca="1" ref="AA218" ca="1">INDIRECT("'"&amp;$A218&amp;"'!X8")</f>
        <v>0</v>
      </c>
      <c r="AB218" s="30">
        <f t="array" aca="1" ref="AB218" ca="1">INDIRECT("'"&amp;$A218&amp;"'!Y8")</f>
        <v>0</v>
      </c>
      <c r="AC218" s="30">
        <f t="array" aca="1" ref="AC218" ca="1">INDIRECT("'"&amp;$A218&amp;"'!Z8")</f>
        <v>0</v>
      </c>
      <c r="AD218" s="31">
        <f t="array" aca="1" ref="AD218" ca="1">INDIRECT("'"&amp;$A218&amp;"'!AA8")</f>
        <v>0</v>
      </c>
      <c r="AE218" s="81">
        <f t="array" aca="1" ref="AE218" ca="1">INDIRECT("'"&amp;$A219&amp;"'!J2")</f>
        <v>0</v>
      </c>
      <c r="AF218" s="53" t="str">
        <f t="array" aca="1" ref="AF218" ca="1">INDIRECT("'"&amp;$A219&amp;"'!AD1")</f>
        <v/>
      </c>
    </row>
    <row r="219" spans="1:32">
      <c r="A219" s="58">
        <v>73</v>
      </c>
      <c r="B219" s="106"/>
      <c r="C219" s="67" t="str">
        <f t="array" aca="1" ref="C219" ca="1">CONCATENATE("粮 ",INDIRECT("'"&amp;$A219&amp;"'!D4"))</f>
        <v>粮 122000</v>
      </c>
      <c r="D219" s="55" t="s">
        <v>7</v>
      </c>
      <c r="E219" s="82">
        <f t="array" aca="1" ref="E219" ca="1">INDIRECT("'"&amp;$A219&amp;"'!I3")</f>
        <v>18</v>
      </c>
      <c r="F219" s="52">
        <f t="array" aca="1" ref="F219" ca="1">INDIRECT("'"&amp;$A219&amp;"'!C11")</f>
        <v>0</v>
      </c>
      <c r="G219" s="3">
        <f t="array" aca="1" ref="G219" ca="1">INDIRECT("'"&amp;$A219&amp;"'!D11")</f>
        <v>0</v>
      </c>
      <c r="H219" s="3">
        <f t="array" aca="1" ref="H219" ca="1">INDIRECT("'"&amp;$A219&amp;"'!E11")</f>
        <v>0</v>
      </c>
      <c r="I219" s="3">
        <f t="array" aca="1" ref="I219" ca="1">INDIRECT("'"&amp;$A219&amp;"'!F11")</f>
        <v>0</v>
      </c>
      <c r="J219" s="3">
        <f t="array" aca="1" ref="J219" ca="1">INDIRECT("'"&amp;$A219&amp;"'!G11")</f>
        <v>0</v>
      </c>
      <c r="K219" s="3">
        <f t="array" aca="1" ref="K219" ca="1">INDIRECT("'"&amp;$A219&amp;"'!H11")</f>
        <v>0</v>
      </c>
      <c r="L219" s="3">
        <f t="array" aca="1" ref="L219" ca="1">INDIRECT("'"&amp;$A219&amp;"'!I11")</f>
        <v>0</v>
      </c>
      <c r="M219" s="3">
        <f t="array" aca="1" ref="M219" ca="1">INDIRECT("'"&amp;$A219&amp;"'!J11")</f>
        <v>0</v>
      </c>
      <c r="N219" s="3">
        <f t="array" aca="1" ref="N219" ca="1">INDIRECT("'"&amp;$A219&amp;"'!K11")</f>
        <v>0</v>
      </c>
      <c r="O219" s="3">
        <f t="array" aca="1" ref="O219" ca="1">INDIRECT("'"&amp;$A219&amp;"'!L11")</f>
        <v>0</v>
      </c>
      <c r="P219" s="3">
        <f t="array" aca="1" ref="P219" ca="1">INDIRECT("'"&amp;$A219&amp;"'!M11")</f>
        <v>0</v>
      </c>
      <c r="Q219" s="3">
        <f t="array" aca="1" ref="Q219" ca="1">INDIRECT("'"&amp;$A219&amp;"'!N11")</f>
        <v>0</v>
      </c>
      <c r="R219" s="3">
        <f t="array" aca="1" ref="R219" ca="1">INDIRECT("'"&amp;$A219&amp;"'!O11")</f>
        <v>0</v>
      </c>
      <c r="S219" s="3">
        <f t="array" aca="1" ref="S219" ca="1">INDIRECT("'"&amp;$A219&amp;"'!P11")</f>
        <v>0</v>
      </c>
      <c r="T219" s="3">
        <f t="array" aca="1" ref="T219" ca="1">INDIRECT("'"&amp;$A219&amp;"'!Q11")</f>
        <v>0</v>
      </c>
      <c r="U219" s="3">
        <f t="array" aca="1" ref="U219" ca="1">INDIRECT("'"&amp;$A219&amp;"'!R11")</f>
        <v>0</v>
      </c>
      <c r="V219" s="3">
        <f t="array" aca="1" ref="V219" ca="1">INDIRECT("'"&amp;$A219&amp;"'!S11")</f>
        <v>0</v>
      </c>
      <c r="W219" s="3">
        <f t="array" aca="1" ref="W219" ca="1">INDIRECT("'"&amp;$A219&amp;"'!T11")</f>
        <v>0</v>
      </c>
      <c r="X219" s="3">
        <f t="array" aca="1" ref="X219" ca="1">INDIRECT("'"&amp;$A219&amp;"'!U11")</f>
        <v>0</v>
      </c>
      <c r="Y219" s="3">
        <f t="array" aca="1" ref="Y219" ca="1">INDIRECT("'"&amp;$A219&amp;"'!V11")</f>
        <v>0</v>
      </c>
      <c r="Z219" s="3">
        <f t="array" aca="1" ref="Z219" ca="1">INDIRECT("'"&amp;$A219&amp;"'!W11")</f>
        <v>0</v>
      </c>
      <c r="AA219" s="3">
        <f t="array" aca="1" ref="AA219" ca="1">INDIRECT("'"&amp;$A219&amp;"'!X11")</f>
        <v>0</v>
      </c>
      <c r="AB219" s="3">
        <f t="array" aca="1" ref="AB219" ca="1">INDIRECT("'"&amp;$A219&amp;"'!Y11")</f>
        <v>0</v>
      </c>
      <c r="AC219" s="3">
        <f t="array" aca="1" ref="AC219" ca="1">INDIRECT("'"&amp;$A219&amp;"'!Z11")</f>
        <v>0</v>
      </c>
      <c r="AD219" s="32">
        <f t="array" aca="1" ref="AD219" ca="1">INDIRECT("'"&amp;$A219&amp;"'!AA11")</f>
        <v>0</v>
      </c>
      <c r="AE219" s="82">
        <f t="array" aca="1" ref="AE219" ca="1">INDIRECT("'"&amp;$A219&amp;"'!J3")</f>
        <v>0</v>
      </c>
      <c r="AF219" s="53" t="str">
        <f t="array" aca="1" ref="AF219" ca="1">INDIRECT("'"&amp;$A219&amp;"'!AC1")</f>
        <v/>
      </c>
    </row>
    <row r="220" spans="1:32" ht="15.75" customHeight="1" thickBot="1">
      <c r="A220" s="58">
        <v>73</v>
      </c>
      <c r="B220" s="107"/>
      <c r="C220" s="77" t="str">
        <f t="array" aca="1" ref="C220" ca="1">CONCATENATE("分 ",INDIRECT("'"&amp;$A219&amp;"'!D6"))</f>
        <v>分 0</v>
      </c>
      <c r="D220" s="56" t="s">
        <v>8</v>
      </c>
      <c r="E220" s="83">
        <f t="array" aca="1" ref="E220" ca="1">INDIRECT("'"&amp;$A219&amp;"'!I4")</f>
        <v>18</v>
      </c>
      <c r="F220" s="52">
        <f t="array" aca="1" ref="F220" ca="1">INDIRECT("'"&amp;$A220&amp;"'!C14")</f>
        <v>0</v>
      </c>
      <c r="G220" s="3">
        <f t="array" aca="1" ref="G220" ca="1">INDIRECT("'"&amp;$A220&amp;"'!D14")</f>
        <v>0</v>
      </c>
      <c r="H220" s="3">
        <f t="array" aca="1" ref="H220" ca="1">INDIRECT("'"&amp;$A220&amp;"'!E14")</f>
        <v>0</v>
      </c>
      <c r="I220" s="3">
        <f t="array" aca="1" ref="I220" ca="1">INDIRECT("'"&amp;$A220&amp;"'!F14")</f>
        <v>0</v>
      </c>
      <c r="J220" s="3">
        <f t="array" aca="1" ref="J220" ca="1">INDIRECT("'"&amp;$A220&amp;"'!G14")</f>
        <v>0</v>
      </c>
      <c r="K220" s="3">
        <f t="array" aca="1" ref="K220" ca="1">INDIRECT("'"&amp;$A220&amp;"'!H14")</f>
        <v>0</v>
      </c>
      <c r="L220" s="3">
        <f t="array" aca="1" ref="L220" ca="1">INDIRECT("'"&amp;$A220&amp;"'!I14")</f>
        <v>0</v>
      </c>
      <c r="M220" s="3">
        <f t="array" aca="1" ref="M220" ca="1">INDIRECT("'"&amp;$A220&amp;"'!J14")</f>
        <v>0</v>
      </c>
      <c r="N220" s="3">
        <f t="array" aca="1" ref="N220" ca="1">INDIRECT("'"&amp;$A220&amp;"'!K14")</f>
        <v>0</v>
      </c>
      <c r="O220" s="3">
        <f t="array" aca="1" ref="O220" ca="1">INDIRECT("'"&amp;$A220&amp;"'!L14")</f>
        <v>0</v>
      </c>
      <c r="P220" s="3">
        <f t="array" aca="1" ref="P220" ca="1">INDIRECT("'"&amp;$A220&amp;"'!M14")</f>
        <v>0</v>
      </c>
      <c r="Q220" s="3">
        <f t="array" aca="1" ref="Q220" ca="1">INDIRECT("'"&amp;$A220&amp;"'!N14")</f>
        <v>0</v>
      </c>
      <c r="R220" s="3">
        <f t="array" aca="1" ref="R220" ca="1">INDIRECT("'"&amp;$A220&amp;"'!O14")</f>
        <v>0</v>
      </c>
      <c r="S220" s="3">
        <f t="array" aca="1" ref="S220" ca="1">INDIRECT("'"&amp;$A220&amp;"'!P14")</f>
        <v>0</v>
      </c>
      <c r="T220" s="3">
        <f t="array" aca="1" ref="T220" ca="1">INDIRECT("'"&amp;$A220&amp;"'!Q14")</f>
        <v>0</v>
      </c>
      <c r="U220" s="3">
        <f t="array" aca="1" ref="U220" ca="1">INDIRECT("'"&amp;$A220&amp;"'!R14")</f>
        <v>0</v>
      </c>
      <c r="V220" s="3">
        <f t="array" aca="1" ref="V220" ca="1">INDIRECT("'"&amp;$A220&amp;"'!S14")</f>
        <v>0</v>
      </c>
      <c r="W220" s="3">
        <f t="array" aca="1" ref="W220" ca="1">INDIRECT("'"&amp;$A220&amp;"'!T14")</f>
        <v>0</v>
      </c>
      <c r="X220" s="3">
        <f t="array" aca="1" ref="X220" ca="1">INDIRECT("'"&amp;$A220&amp;"'!U14")</f>
        <v>0</v>
      </c>
      <c r="Y220" s="3">
        <f t="array" aca="1" ref="Y220" ca="1">INDIRECT("'"&amp;$A220&amp;"'!V14")</f>
        <v>0</v>
      </c>
      <c r="Z220" s="3">
        <f t="array" aca="1" ref="Z220" ca="1">INDIRECT("'"&amp;$A220&amp;"'!W14")</f>
        <v>0</v>
      </c>
      <c r="AA220" s="3">
        <f t="array" aca="1" ref="AA220" ca="1">INDIRECT("'"&amp;$A220&amp;"'!X14")</f>
        <v>0</v>
      </c>
      <c r="AB220" s="3">
        <f t="array" aca="1" ref="AB220" ca="1">INDIRECT("'"&amp;$A220&amp;"'!Y14")</f>
        <v>0</v>
      </c>
      <c r="AC220" s="3">
        <f t="array" aca="1" ref="AC220" ca="1">INDIRECT("'"&amp;$A220&amp;"'!Z14")</f>
        <v>0</v>
      </c>
      <c r="AD220" s="32">
        <f t="array" aca="1" ref="AD220" ca="1">INDIRECT("'"&amp;$A220&amp;"'!AA14")</f>
        <v>0</v>
      </c>
      <c r="AE220" s="83">
        <f t="array" aca="1" ref="AE220" ca="1">INDIRECT("'"&amp;$A219&amp;"'!J4")</f>
        <v>0</v>
      </c>
      <c r="AF220" s="53"/>
    </row>
    <row r="221" spans="1:32">
      <c r="A221" s="58">
        <v>74</v>
      </c>
      <c r="B221" s="105">
        <f>INDEX(data!$I$2:$I$91,MATCH(A221*1,data!$G$2:$G$91,0))</f>
        <v>46258</v>
      </c>
      <c r="C221" s="66" t="str">
        <f>HYPERLINK("#'" &amp; A221 &amp; "'!A1", "编辑")</f>
        <v>编辑</v>
      </c>
      <c r="D221" s="54" t="s">
        <v>6</v>
      </c>
      <c r="E221" s="81">
        <f t="array" aca="1" ref="E221" ca="1">INDIRECT("'"&amp;$A222&amp;"'!I2")</f>
        <v>18</v>
      </c>
      <c r="F221" s="29">
        <f t="array" aca="1" ref="F221" ca="1">INDIRECT("'"&amp;$A221&amp;"'!C8")</f>
        <v>0</v>
      </c>
      <c r="G221" s="30">
        <f t="array" aca="1" ref="G221" ca="1">INDIRECT("'"&amp;$A221&amp;"'!D8")</f>
        <v>0</v>
      </c>
      <c r="H221" s="30">
        <f t="array" aca="1" ref="H221" ca="1">INDIRECT("'"&amp;$A221&amp;"'!E8")</f>
        <v>0</v>
      </c>
      <c r="I221" s="30">
        <f t="array" aca="1" ref="I221" ca="1">INDIRECT("'"&amp;$A221&amp;"'!F8")</f>
        <v>0</v>
      </c>
      <c r="J221" s="30">
        <f t="array" aca="1" ref="J221" ca="1">INDIRECT("'"&amp;$A221&amp;"'!G8")</f>
        <v>0</v>
      </c>
      <c r="K221" s="30">
        <f t="array" aca="1" ref="K221" ca="1">INDIRECT("'"&amp;$A221&amp;"'!H8")</f>
        <v>0</v>
      </c>
      <c r="L221" s="30">
        <f t="array" aca="1" ref="L221" ca="1">INDIRECT("'"&amp;$A221&amp;"'!I8")</f>
        <v>0</v>
      </c>
      <c r="M221" s="30">
        <f t="array" aca="1" ref="M221" ca="1">INDIRECT("'"&amp;$A221&amp;"'!J8")</f>
        <v>0</v>
      </c>
      <c r="N221" s="30">
        <f t="array" aca="1" ref="N221" ca="1">INDIRECT("'"&amp;$A221&amp;"'!K8")</f>
        <v>0</v>
      </c>
      <c r="O221" s="30">
        <f t="array" aca="1" ref="O221" ca="1">INDIRECT("'"&amp;$A221&amp;"'!L8")</f>
        <v>0</v>
      </c>
      <c r="P221" s="30">
        <f t="array" aca="1" ref="P221" ca="1">INDIRECT("'"&amp;$A221&amp;"'!M8")</f>
        <v>0</v>
      </c>
      <c r="Q221" s="30">
        <f t="array" aca="1" ref="Q221" ca="1">INDIRECT("'"&amp;$A221&amp;"'!N8")</f>
        <v>0</v>
      </c>
      <c r="R221" s="30">
        <f t="array" aca="1" ref="R221" ca="1">INDIRECT("'"&amp;$A221&amp;"'!O8")</f>
        <v>0</v>
      </c>
      <c r="S221" s="30">
        <f t="array" aca="1" ref="S221" ca="1">INDIRECT("'"&amp;$A221&amp;"'!P8")</f>
        <v>0</v>
      </c>
      <c r="T221" s="30">
        <f t="array" aca="1" ref="T221" ca="1">INDIRECT("'"&amp;$A221&amp;"'!Q8")</f>
        <v>0</v>
      </c>
      <c r="U221" s="30">
        <f t="array" aca="1" ref="U221" ca="1">INDIRECT("'"&amp;$A221&amp;"'!R8")</f>
        <v>0</v>
      </c>
      <c r="V221" s="30">
        <f t="array" aca="1" ref="V221" ca="1">INDIRECT("'"&amp;$A221&amp;"'!S8")</f>
        <v>0</v>
      </c>
      <c r="W221" s="30">
        <f t="array" aca="1" ref="W221" ca="1">INDIRECT("'"&amp;$A221&amp;"'!T8")</f>
        <v>0</v>
      </c>
      <c r="X221" s="30">
        <f t="array" aca="1" ref="X221" ca="1">INDIRECT("'"&amp;$A221&amp;"'!U8")</f>
        <v>0</v>
      </c>
      <c r="Y221" s="30">
        <f t="array" aca="1" ref="Y221" ca="1">INDIRECT("'"&amp;$A221&amp;"'!V8")</f>
        <v>0</v>
      </c>
      <c r="Z221" s="30">
        <f t="array" aca="1" ref="Z221" ca="1">INDIRECT("'"&amp;$A221&amp;"'!W8")</f>
        <v>0</v>
      </c>
      <c r="AA221" s="30">
        <f t="array" aca="1" ref="AA221" ca="1">INDIRECT("'"&amp;$A221&amp;"'!X8")</f>
        <v>0</v>
      </c>
      <c r="AB221" s="30">
        <f t="array" aca="1" ref="AB221" ca="1">INDIRECT("'"&amp;$A221&amp;"'!Y8")</f>
        <v>0</v>
      </c>
      <c r="AC221" s="30">
        <f t="array" aca="1" ref="AC221" ca="1">INDIRECT("'"&amp;$A221&amp;"'!Z8")</f>
        <v>0</v>
      </c>
      <c r="AD221" s="31">
        <f t="array" aca="1" ref="AD221" ca="1">INDIRECT("'"&amp;$A221&amp;"'!AA8")</f>
        <v>0</v>
      </c>
      <c r="AE221" s="81">
        <f t="array" aca="1" ref="AE221" ca="1">INDIRECT("'"&amp;$A222&amp;"'!J2")</f>
        <v>0</v>
      </c>
      <c r="AF221" s="53" t="str">
        <f t="array" aca="1" ref="AF221" ca="1">INDIRECT("'"&amp;$A222&amp;"'!AD1")</f>
        <v/>
      </c>
    </row>
    <row r="222" spans="1:32">
      <c r="A222" s="58">
        <v>74</v>
      </c>
      <c r="B222" s="106"/>
      <c r="C222" s="67" t="str">
        <f t="array" aca="1" ref="C222" ca="1">CONCATENATE("粮 ",INDIRECT("'"&amp;$A222&amp;"'!D4"))</f>
        <v>粮 123600</v>
      </c>
      <c r="D222" s="55" t="s">
        <v>7</v>
      </c>
      <c r="E222" s="82">
        <f t="array" aca="1" ref="E222" ca="1">INDIRECT("'"&amp;$A222&amp;"'!I3")</f>
        <v>18</v>
      </c>
      <c r="F222" s="52">
        <f t="array" aca="1" ref="F222" ca="1">INDIRECT("'"&amp;$A222&amp;"'!C11")</f>
        <v>0</v>
      </c>
      <c r="G222" s="3">
        <f t="array" aca="1" ref="G222" ca="1">INDIRECT("'"&amp;$A222&amp;"'!D11")</f>
        <v>0</v>
      </c>
      <c r="H222" s="3">
        <f t="array" aca="1" ref="H222" ca="1">INDIRECT("'"&amp;$A222&amp;"'!E11")</f>
        <v>0</v>
      </c>
      <c r="I222" s="3">
        <f t="array" aca="1" ref="I222" ca="1">INDIRECT("'"&amp;$A222&amp;"'!F11")</f>
        <v>0</v>
      </c>
      <c r="J222" s="3">
        <f t="array" aca="1" ref="J222" ca="1">INDIRECT("'"&amp;$A222&amp;"'!G11")</f>
        <v>0</v>
      </c>
      <c r="K222" s="3">
        <f t="array" aca="1" ref="K222" ca="1">INDIRECT("'"&amp;$A222&amp;"'!H11")</f>
        <v>0</v>
      </c>
      <c r="L222" s="3">
        <f t="array" aca="1" ref="L222" ca="1">INDIRECT("'"&amp;$A222&amp;"'!I11")</f>
        <v>0</v>
      </c>
      <c r="M222" s="3">
        <f t="array" aca="1" ref="M222" ca="1">INDIRECT("'"&amp;$A222&amp;"'!J11")</f>
        <v>0</v>
      </c>
      <c r="N222" s="3">
        <f t="array" aca="1" ref="N222" ca="1">INDIRECT("'"&amp;$A222&amp;"'!K11")</f>
        <v>0</v>
      </c>
      <c r="O222" s="3">
        <f t="array" aca="1" ref="O222" ca="1">INDIRECT("'"&amp;$A222&amp;"'!L11")</f>
        <v>0</v>
      </c>
      <c r="P222" s="3">
        <f t="array" aca="1" ref="P222" ca="1">INDIRECT("'"&amp;$A222&amp;"'!M11")</f>
        <v>0</v>
      </c>
      <c r="Q222" s="3">
        <f t="array" aca="1" ref="Q222" ca="1">INDIRECT("'"&amp;$A222&amp;"'!N11")</f>
        <v>0</v>
      </c>
      <c r="R222" s="3">
        <f t="array" aca="1" ref="R222" ca="1">INDIRECT("'"&amp;$A222&amp;"'!O11")</f>
        <v>0</v>
      </c>
      <c r="S222" s="3">
        <f t="array" aca="1" ref="S222" ca="1">INDIRECT("'"&amp;$A222&amp;"'!P11")</f>
        <v>0</v>
      </c>
      <c r="T222" s="3">
        <f t="array" aca="1" ref="T222" ca="1">INDIRECT("'"&amp;$A222&amp;"'!Q11")</f>
        <v>0</v>
      </c>
      <c r="U222" s="3">
        <f t="array" aca="1" ref="U222" ca="1">INDIRECT("'"&amp;$A222&amp;"'!R11")</f>
        <v>0</v>
      </c>
      <c r="V222" s="3">
        <f t="array" aca="1" ref="V222" ca="1">INDIRECT("'"&amp;$A222&amp;"'!S11")</f>
        <v>0</v>
      </c>
      <c r="W222" s="3">
        <f t="array" aca="1" ref="W222" ca="1">INDIRECT("'"&amp;$A222&amp;"'!T11")</f>
        <v>0</v>
      </c>
      <c r="X222" s="3">
        <f t="array" aca="1" ref="X222" ca="1">INDIRECT("'"&amp;$A222&amp;"'!U11")</f>
        <v>0</v>
      </c>
      <c r="Y222" s="3">
        <f t="array" aca="1" ref="Y222" ca="1">INDIRECT("'"&amp;$A222&amp;"'!V11")</f>
        <v>0</v>
      </c>
      <c r="Z222" s="3">
        <f t="array" aca="1" ref="Z222" ca="1">INDIRECT("'"&amp;$A222&amp;"'!W11")</f>
        <v>0</v>
      </c>
      <c r="AA222" s="3">
        <f t="array" aca="1" ref="AA222" ca="1">INDIRECT("'"&amp;$A222&amp;"'!X11")</f>
        <v>0</v>
      </c>
      <c r="AB222" s="3">
        <f t="array" aca="1" ref="AB222" ca="1">INDIRECT("'"&amp;$A222&amp;"'!Y11")</f>
        <v>0</v>
      </c>
      <c r="AC222" s="3">
        <f t="array" aca="1" ref="AC222" ca="1">INDIRECT("'"&amp;$A222&amp;"'!Z11")</f>
        <v>0</v>
      </c>
      <c r="AD222" s="32">
        <f t="array" aca="1" ref="AD222" ca="1">INDIRECT("'"&amp;$A222&amp;"'!AA11")</f>
        <v>0</v>
      </c>
      <c r="AE222" s="82">
        <f t="array" aca="1" ref="AE222" ca="1">INDIRECT("'"&amp;$A222&amp;"'!J3")</f>
        <v>0</v>
      </c>
      <c r="AF222" s="53" t="str">
        <f t="array" aca="1" ref="AF222" ca="1">INDIRECT("'"&amp;$A222&amp;"'!AC1")</f>
        <v/>
      </c>
    </row>
    <row r="223" spans="1:32" ht="15.75" customHeight="1" thickBot="1">
      <c r="A223" s="58">
        <v>74</v>
      </c>
      <c r="B223" s="107"/>
      <c r="C223" s="77" t="str">
        <f t="array" aca="1" ref="C223" ca="1">CONCATENATE("分 ",INDIRECT("'"&amp;$A222&amp;"'!D6"))</f>
        <v>分 0</v>
      </c>
      <c r="D223" s="56" t="s">
        <v>8</v>
      </c>
      <c r="E223" s="83">
        <f t="array" aca="1" ref="E223" ca="1">INDIRECT("'"&amp;$A222&amp;"'!I4")</f>
        <v>18</v>
      </c>
      <c r="F223" s="52">
        <f t="array" aca="1" ref="F223" ca="1">INDIRECT("'"&amp;$A223&amp;"'!C14")</f>
        <v>0</v>
      </c>
      <c r="G223" s="3">
        <f t="array" aca="1" ref="G223" ca="1">INDIRECT("'"&amp;$A223&amp;"'!D14")</f>
        <v>0</v>
      </c>
      <c r="H223" s="3">
        <f t="array" aca="1" ref="H223" ca="1">INDIRECT("'"&amp;$A223&amp;"'!E14")</f>
        <v>0</v>
      </c>
      <c r="I223" s="3">
        <f t="array" aca="1" ref="I223" ca="1">INDIRECT("'"&amp;$A223&amp;"'!F14")</f>
        <v>0</v>
      </c>
      <c r="J223" s="3">
        <f t="array" aca="1" ref="J223" ca="1">INDIRECT("'"&amp;$A223&amp;"'!G14")</f>
        <v>0</v>
      </c>
      <c r="K223" s="3">
        <f t="array" aca="1" ref="K223" ca="1">INDIRECT("'"&amp;$A223&amp;"'!H14")</f>
        <v>0</v>
      </c>
      <c r="L223" s="3">
        <f t="array" aca="1" ref="L223" ca="1">INDIRECT("'"&amp;$A223&amp;"'!I14")</f>
        <v>0</v>
      </c>
      <c r="M223" s="3">
        <f t="array" aca="1" ref="M223" ca="1">INDIRECT("'"&amp;$A223&amp;"'!J14")</f>
        <v>0</v>
      </c>
      <c r="N223" s="3">
        <f t="array" aca="1" ref="N223" ca="1">INDIRECT("'"&amp;$A223&amp;"'!K14")</f>
        <v>0</v>
      </c>
      <c r="O223" s="3">
        <f t="array" aca="1" ref="O223" ca="1">INDIRECT("'"&amp;$A223&amp;"'!L14")</f>
        <v>0</v>
      </c>
      <c r="P223" s="3">
        <f t="array" aca="1" ref="P223" ca="1">INDIRECT("'"&amp;$A223&amp;"'!M14")</f>
        <v>0</v>
      </c>
      <c r="Q223" s="3">
        <f t="array" aca="1" ref="Q223" ca="1">INDIRECT("'"&amp;$A223&amp;"'!N14")</f>
        <v>0</v>
      </c>
      <c r="R223" s="3">
        <f t="array" aca="1" ref="R223" ca="1">INDIRECT("'"&amp;$A223&amp;"'!O14")</f>
        <v>0</v>
      </c>
      <c r="S223" s="3">
        <f t="array" aca="1" ref="S223" ca="1">INDIRECT("'"&amp;$A223&amp;"'!P14")</f>
        <v>0</v>
      </c>
      <c r="T223" s="3">
        <f t="array" aca="1" ref="T223" ca="1">INDIRECT("'"&amp;$A223&amp;"'!Q14")</f>
        <v>0</v>
      </c>
      <c r="U223" s="3">
        <f t="array" aca="1" ref="U223" ca="1">INDIRECT("'"&amp;$A223&amp;"'!R14")</f>
        <v>0</v>
      </c>
      <c r="V223" s="3">
        <f t="array" aca="1" ref="V223" ca="1">INDIRECT("'"&amp;$A223&amp;"'!S14")</f>
        <v>0</v>
      </c>
      <c r="W223" s="3">
        <f t="array" aca="1" ref="W223" ca="1">INDIRECT("'"&amp;$A223&amp;"'!T14")</f>
        <v>0</v>
      </c>
      <c r="X223" s="3">
        <f t="array" aca="1" ref="X223" ca="1">INDIRECT("'"&amp;$A223&amp;"'!U14")</f>
        <v>0</v>
      </c>
      <c r="Y223" s="3">
        <f t="array" aca="1" ref="Y223" ca="1">INDIRECT("'"&amp;$A223&amp;"'!V14")</f>
        <v>0</v>
      </c>
      <c r="Z223" s="3">
        <f t="array" aca="1" ref="Z223" ca="1">INDIRECT("'"&amp;$A223&amp;"'!W14")</f>
        <v>0</v>
      </c>
      <c r="AA223" s="3">
        <f t="array" aca="1" ref="AA223" ca="1">INDIRECT("'"&amp;$A223&amp;"'!X14")</f>
        <v>0</v>
      </c>
      <c r="AB223" s="3">
        <f t="array" aca="1" ref="AB223" ca="1">INDIRECT("'"&amp;$A223&amp;"'!Y14")</f>
        <v>0</v>
      </c>
      <c r="AC223" s="3">
        <f t="array" aca="1" ref="AC223" ca="1">INDIRECT("'"&amp;$A223&amp;"'!Z14")</f>
        <v>0</v>
      </c>
      <c r="AD223" s="32">
        <f t="array" aca="1" ref="AD223" ca="1">INDIRECT("'"&amp;$A223&amp;"'!AA14")</f>
        <v>0</v>
      </c>
      <c r="AE223" s="83">
        <f t="array" aca="1" ref="AE223" ca="1">INDIRECT("'"&amp;$A222&amp;"'!J4")</f>
        <v>0</v>
      </c>
      <c r="AF223" s="53"/>
    </row>
    <row r="224" spans="1:32">
      <c r="A224" s="58">
        <v>75</v>
      </c>
      <c r="B224" s="105">
        <f>INDEX(data!$I$2:$I$91,MATCH(A224*1,data!$G$2:$G$91,0))</f>
        <v>46259</v>
      </c>
      <c r="C224" s="66" t="str">
        <f>HYPERLINK("#'" &amp; A224 &amp; "'!A1", "编辑")</f>
        <v>编辑</v>
      </c>
      <c r="D224" s="54" t="s">
        <v>6</v>
      </c>
      <c r="E224" s="81">
        <f t="array" aca="1" ref="E224" ca="1">INDIRECT("'"&amp;$A225&amp;"'!I2")</f>
        <v>18</v>
      </c>
      <c r="F224" s="29">
        <f t="array" aca="1" ref="F224" ca="1">INDIRECT("'"&amp;$A224&amp;"'!C8")</f>
        <v>0</v>
      </c>
      <c r="G224" s="30">
        <f t="array" aca="1" ref="G224" ca="1">INDIRECT("'"&amp;$A224&amp;"'!D8")</f>
        <v>0</v>
      </c>
      <c r="H224" s="30">
        <f t="array" aca="1" ref="H224" ca="1">INDIRECT("'"&amp;$A224&amp;"'!E8")</f>
        <v>0</v>
      </c>
      <c r="I224" s="30">
        <f t="array" aca="1" ref="I224" ca="1">INDIRECT("'"&amp;$A224&amp;"'!F8")</f>
        <v>0</v>
      </c>
      <c r="J224" s="30">
        <f t="array" aca="1" ref="J224" ca="1">INDIRECT("'"&amp;$A224&amp;"'!G8")</f>
        <v>0</v>
      </c>
      <c r="K224" s="30">
        <f t="array" aca="1" ref="K224" ca="1">INDIRECT("'"&amp;$A224&amp;"'!H8")</f>
        <v>0</v>
      </c>
      <c r="L224" s="30">
        <f t="array" aca="1" ref="L224" ca="1">INDIRECT("'"&amp;$A224&amp;"'!I8")</f>
        <v>0</v>
      </c>
      <c r="M224" s="30">
        <f t="array" aca="1" ref="M224" ca="1">INDIRECT("'"&amp;$A224&amp;"'!J8")</f>
        <v>0</v>
      </c>
      <c r="N224" s="30">
        <f t="array" aca="1" ref="N224" ca="1">INDIRECT("'"&amp;$A224&amp;"'!K8")</f>
        <v>0</v>
      </c>
      <c r="O224" s="30">
        <f t="array" aca="1" ref="O224" ca="1">INDIRECT("'"&amp;$A224&amp;"'!L8")</f>
        <v>0</v>
      </c>
      <c r="P224" s="30">
        <f t="array" aca="1" ref="P224" ca="1">INDIRECT("'"&amp;$A224&amp;"'!M8")</f>
        <v>0</v>
      </c>
      <c r="Q224" s="30">
        <f t="array" aca="1" ref="Q224" ca="1">INDIRECT("'"&amp;$A224&amp;"'!N8")</f>
        <v>0</v>
      </c>
      <c r="R224" s="30">
        <f t="array" aca="1" ref="R224" ca="1">INDIRECT("'"&amp;$A224&amp;"'!O8")</f>
        <v>0</v>
      </c>
      <c r="S224" s="30">
        <f t="array" aca="1" ref="S224" ca="1">INDIRECT("'"&amp;$A224&amp;"'!P8")</f>
        <v>0</v>
      </c>
      <c r="T224" s="30">
        <f t="array" aca="1" ref="T224" ca="1">INDIRECT("'"&amp;$A224&amp;"'!Q8")</f>
        <v>0</v>
      </c>
      <c r="U224" s="30">
        <f t="array" aca="1" ref="U224" ca="1">INDIRECT("'"&amp;$A224&amp;"'!R8")</f>
        <v>0</v>
      </c>
      <c r="V224" s="30">
        <f t="array" aca="1" ref="V224" ca="1">INDIRECT("'"&amp;$A224&amp;"'!S8")</f>
        <v>0</v>
      </c>
      <c r="W224" s="30">
        <f t="array" aca="1" ref="W224" ca="1">INDIRECT("'"&amp;$A224&amp;"'!T8")</f>
        <v>0</v>
      </c>
      <c r="X224" s="30">
        <f t="array" aca="1" ref="X224" ca="1">INDIRECT("'"&amp;$A224&amp;"'!U8")</f>
        <v>0</v>
      </c>
      <c r="Y224" s="30">
        <f t="array" aca="1" ref="Y224" ca="1">INDIRECT("'"&amp;$A224&amp;"'!V8")</f>
        <v>0</v>
      </c>
      <c r="Z224" s="30">
        <f t="array" aca="1" ref="Z224" ca="1">INDIRECT("'"&amp;$A224&amp;"'!W8")</f>
        <v>0</v>
      </c>
      <c r="AA224" s="30">
        <f t="array" aca="1" ref="AA224" ca="1">INDIRECT("'"&amp;$A224&amp;"'!X8")</f>
        <v>0</v>
      </c>
      <c r="AB224" s="30">
        <f t="array" aca="1" ref="AB224" ca="1">INDIRECT("'"&amp;$A224&amp;"'!Y8")</f>
        <v>0</v>
      </c>
      <c r="AC224" s="30">
        <f t="array" aca="1" ref="AC224" ca="1">INDIRECT("'"&amp;$A224&amp;"'!Z8")</f>
        <v>0</v>
      </c>
      <c r="AD224" s="31">
        <f t="array" aca="1" ref="AD224" ca="1">INDIRECT("'"&amp;$A224&amp;"'!AA8")</f>
        <v>0</v>
      </c>
      <c r="AE224" s="81">
        <f t="array" aca="1" ref="AE224" ca="1">INDIRECT("'"&amp;$A225&amp;"'!J2")</f>
        <v>0</v>
      </c>
      <c r="AF224" s="53" t="str">
        <f t="array" aca="1" ref="AF224" ca="1">INDIRECT("'"&amp;$A225&amp;"'!AD1")</f>
        <v/>
      </c>
    </row>
    <row r="225" spans="1:32">
      <c r="A225" s="58">
        <v>75</v>
      </c>
      <c r="B225" s="106"/>
      <c r="C225" s="67" t="str">
        <f t="array" aca="1" ref="C225" ca="1">CONCATENATE("粮 ",INDIRECT("'"&amp;$A225&amp;"'!D4"))</f>
        <v>粮 125200</v>
      </c>
      <c r="D225" s="55" t="s">
        <v>7</v>
      </c>
      <c r="E225" s="82">
        <f t="array" aca="1" ref="E225" ca="1">INDIRECT("'"&amp;$A225&amp;"'!I3")</f>
        <v>18</v>
      </c>
      <c r="F225" s="52">
        <f t="array" aca="1" ref="F225" ca="1">INDIRECT("'"&amp;$A225&amp;"'!C11")</f>
        <v>0</v>
      </c>
      <c r="G225" s="3">
        <f t="array" aca="1" ref="G225" ca="1">INDIRECT("'"&amp;$A225&amp;"'!D11")</f>
        <v>0</v>
      </c>
      <c r="H225" s="3">
        <f t="array" aca="1" ref="H225" ca="1">INDIRECT("'"&amp;$A225&amp;"'!E11")</f>
        <v>0</v>
      </c>
      <c r="I225" s="3">
        <f t="array" aca="1" ref="I225" ca="1">INDIRECT("'"&amp;$A225&amp;"'!F11")</f>
        <v>0</v>
      </c>
      <c r="J225" s="3">
        <f t="array" aca="1" ref="J225" ca="1">INDIRECT("'"&amp;$A225&amp;"'!G11")</f>
        <v>0</v>
      </c>
      <c r="K225" s="3">
        <f t="array" aca="1" ref="K225" ca="1">INDIRECT("'"&amp;$A225&amp;"'!H11")</f>
        <v>0</v>
      </c>
      <c r="L225" s="3">
        <f t="array" aca="1" ref="L225" ca="1">INDIRECT("'"&amp;$A225&amp;"'!I11")</f>
        <v>0</v>
      </c>
      <c r="M225" s="3">
        <f t="array" aca="1" ref="M225" ca="1">INDIRECT("'"&amp;$A225&amp;"'!J11")</f>
        <v>0</v>
      </c>
      <c r="N225" s="3">
        <f t="array" aca="1" ref="N225" ca="1">INDIRECT("'"&amp;$A225&amp;"'!K11")</f>
        <v>0</v>
      </c>
      <c r="O225" s="3">
        <f t="array" aca="1" ref="O225" ca="1">INDIRECT("'"&amp;$A225&amp;"'!L11")</f>
        <v>0</v>
      </c>
      <c r="P225" s="3">
        <f t="array" aca="1" ref="P225" ca="1">INDIRECT("'"&amp;$A225&amp;"'!M11")</f>
        <v>0</v>
      </c>
      <c r="Q225" s="3">
        <f t="array" aca="1" ref="Q225" ca="1">INDIRECT("'"&amp;$A225&amp;"'!N11")</f>
        <v>0</v>
      </c>
      <c r="R225" s="3">
        <f t="array" aca="1" ref="R225" ca="1">INDIRECT("'"&amp;$A225&amp;"'!O11")</f>
        <v>0</v>
      </c>
      <c r="S225" s="3">
        <f t="array" aca="1" ref="S225" ca="1">INDIRECT("'"&amp;$A225&amp;"'!P11")</f>
        <v>0</v>
      </c>
      <c r="T225" s="3">
        <f t="array" aca="1" ref="T225" ca="1">INDIRECT("'"&amp;$A225&amp;"'!Q11")</f>
        <v>0</v>
      </c>
      <c r="U225" s="3">
        <f t="array" aca="1" ref="U225" ca="1">INDIRECT("'"&amp;$A225&amp;"'!R11")</f>
        <v>0</v>
      </c>
      <c r="V225" s="3">
        <f t="array" aca="1" ref="V225" ca="1">INDIRECT("'"&amp;$A225&amp;"'!S11")</f>
        <v>0</v>
      </c>
      <c r="W225" s="3">
        <f t="array" aca="1" ref="W225" ca="1">INDIRECT("'"&amp;$A225&amp;"'!T11")</f>
        <v>0</v>
      </c>
      <c r="X225" s="3">
        <f t="array" aca="1" ref="X225" ca="1">INDIRECT("'"&amp;$A225&amp;"'!U11")</f>
        <v>0</v>
      </c>
      <c r="Y225" s="3">
        <f t="array" aca="1" ref="Y225" ca="1">INDIRECT("'"&amp;$A225&amp;"'!V11")</f>
        <v>0</v>
      </c>
      <c r="Z225" s="3">
        <f t="array" aca="1" ref="Z225" ca="1">INDIRECT("'"&amp;$A225&amp;"'!W11")</f>
        <v>0</v>
      </c>
      <c r="AA225" s="3">
        <f t="array" aca="1" ref="AA225" ca="1">INDIRECT("'"&amp;$A225&amp;"'!X11")</f>
        <v>0</v>
      </c>
      <c r="AB225" s="3">
        <f t="array" aca="1" ref="AB225" ca="1">INDIRECT("'"&amp;$A225&amp;"'!Y11")</f>
        <v>0</v>
      </c>
      <c r="AC225" s="3">
        <f t="array" aca="1" ref="AC225" ca="1">INDIRECT("'"&amp;$A225&amp;"'!Z11")</f>
        <v>0</v>
      </c>
      <c r="AD225" s="32">
        <f t="array" aca="1" ref="AD225" ca="1">INDIRECT("'"&amp;$A225&amp;"'!AA11")</f>
        <v>0</v>
      </c>
      <c r="AE225" s="82">
        <f t="array" aca="1" ref="AE225" ca="1">INDIRECT("'"&amp;$A225&amp;"'!J3")</f>
        <v>0</v>
      </c>
      <c r="AF225" s="53" t="str">
        <f t="array" aca="1" ref="AF225" ca="1">INDIRECT("'"&amp;$A225&amp;"'!AC1")</f>
        <v/>
      </c>
    </row>
    <row r="226" spans="1:32" ht="15.75" customHeight="1" thickBot="1">
      <c r="A226" s="58">
        <v>75</v>
      </c>
      <c r="B226" s="107"/>
      <c r="C226" s="77" t="str">
        <f t="array" aca="1" ref="C226" ca="1">CONCATENATE("分 ",INDIRECT("'"&amp;$A225&amp;"'!D6"))</f>
        <v>分 0</v>
      </c>
      <c r="D226" s="56" t="s">
        <v>8</v>
      </c>
      <c r="E226" s="83">
        <f t="array" aca="1" ref="E226" ca="1">INDIRECT("'"&amp;$A225&amp;"'!I4")</f>
        <v>18</v>
      </c>
      <c r="F226" s="52">
        <f t="array" aca="1" ref="F226" ca="1">INDIRECT("'"&amp;$A226&amp;"'!C14")</f>
        <v>0</v>
      </c>
      <c r="G226" s="3">
        <f t="array" aca="1" ref="G226" ca="1">INDIRECT("'"&amp;$A226&amp;"'!D14")</f>
        <v>0</v>
      </c>
      <c r="H226" s="3">
        <f t="array" aca="1" ref="H226" ca="1">INDIRECT("'"&amp;$A226&amp;"'!E14")</f>
        <v>0</v>
      </c>
      <c r="I226" s="3">
        <f t="array" aca="1" ref="I226" ca="1">INDIRECT("'"&amp;$A226&amp;"'!F14")</f>
        <v>0</v>
      </c>
      <c r="J226" s="3">
        <f t="array" aca="1" ref="J226" ca="1">INDIRECT("'"&amp;$A226&amp;"'!G14")</f>
        <v>0</v>
      </c>
      <c r="K226" s="3">
        <f t="array" aca="1" ref="K226" ca="1">INDIRECT("'"&amp;$A226&amp;"'!H14")</f>
        <v>0</v>
      </c>
      <c r="L226" s="3">
        <f t="array" aca="1" ref="L226" ca="1">INDIRECT("'"&amp;$A226&amp;"'!I14")</f>
        <v>0</v>
      </c>
      <c r="M226" s="3">
        <f t="array" aca="1" ref="M226" ca="1">INDIRECT("'"&amp;$A226&amp;"'!J14")</f>
        <v>0</v>
      </c>
      <c r="N226" s="3">
        <f t="array" aca="1" ref="N226" ca="1">INDIRECT("'"&amp;$A226&amp;"'!K14")</f>
        <v>0</v>
      </c>
      <c r="O226" s="3">
        <f t="array" aca="1" ref="O226" ca="1">INDIRECT("'"&amp;$A226&amp;"'!L14")</f>
        <v>0</v>
      </c>
      <c r="P226" s="3">
        <f t="array" aca="1" ref="P226" ca="1">INDIRECT("'"&amp;$A226&amp;"'!M14")</f>
        <v>0</v>
      </c>
      <c r="Q226" s="3">
        <f t="array" aca="1" ref="Q226" ca="1">INDIRECT("'"&amp;$A226&amp;"'!N14")</f>
        <v>0</v>
      </c>
      <c r="R226" s="3">
        <f t="array" aca="1" ref="R226" ca="1">INDIRECT("'"&amp;$A226&amp;"'!O14")</f>
        <v>0</v>
      </c>
      <c r="S226" s="3">
        <f t="array" aca="1" ref="S226" ca="1">INDIRECT("'"&amp;$A226&amp;"'!P14")</f>
        <v>0</v>
      </c>
      <c r="T226" s="3">
        <f t="array" aca="1" ref="T226" ca="1">INDIRECT("'"&amp;$A226&amp;"'!Q14")</f>
        <v>0</v>
      </c>
      <c r="U226" s="3">
        <f t="array" aca="1" ref="U226" ca="1">INDIRECT("'"&amp;$A226&amp;"'!R14")</f>
        <v>0</v>
      </c>
      <c r="V226" s="3">
        <f t="array" aca="1" ref="V226" ca="1">INDIRECT("'"&amp;$A226&amp;"'!S14")</f>
        <v>0</v>
      </c>
      <c r="W226" s="3">
        <f t="array" aca="1" ref="W226" ca="1">INDIRECT("'"&amp;$A226&amp;"'!T14")</f>
        <v>0</v>
      </c>
      <c r="X226" s="3">
        <f t="array" aca="1" ref="X226" ca="1">INDIRECT("'"&amp;$A226&amp;"'!U14")</f>
        <v>0</v>
      </c>
      <c r="Y226" s="3">
        <f t="array" aca="1" ref="Y226" ca="1">INDIRECT("'"&amp;$A226&amp;"'!V14")</f>
        <v>0</v>
      </c>
      <c r="Z226" s="3">
        <f t="array" aca="1" ref="Z226" ca="1">INDIRECT("'"&amp;$A226&amp;"'!W14")</f>
        <v>0</v>
      </c>
      <c r="AA226" s="3">
        <f t="array" aca="1" ref="AA226" ca="1">INDIRECT("'"&amp;$A226&amp;"'!X14")</f>
        <v>0</v>
      </c>
      <c r="AB226" s="3">
        <f t="array" aca="1" ref="AB226" ca="1">INDIRECT("'"&amp;$A226&amp;"'!Y14")</f>
        <v>0</v>
      </c>
      <c r="AC226" s="3">
        <f t="array" aca="1" ref="AC226" ca="1">INDIRECT("'"&amp;$A226&amp;"'!Z14")</f>
        <v>0</v>
      </c>
      <c r="AD226" s="32">
        <f t="array" aca="1" ref="AD226" ca="1">INDIRECT("'"&amp;$A226&amp;"'!AA14")</f>
        <v>0</v>
      </c>
      <c r="AE226" s="83">
        <f t="array" aca="1" ref="AE226" ca="1">INDIRECT("'"&amp;$A225&amp;"'!J4")</f>
        <v>0</v>
      </c>
      <c r="AF226" s="53"/>
    </row>
    <row r="227" spans="1:32">
      <c r="A227" s="58">
        <v>76</v>
      </c>
      <c r="B227" s="105">
        <f>INDEX(data!$I$2:$I$91,MATCH(A227*1,data!$G$2:$G$91,0))</f>
        <v>46260</v>
      </c>
      <c r="C227" s="66" t="str">
        <f>HYPERLINK("#'" &amp; A227 &amp; "'!A1", "编辑")</f>
        <v>编辑</v>
      </c>
      <c r="D227" s="54" t="s">
        <v>6</v>
      </c>
      <c r="E227" s="81">
        <f t="array" aca="1" ref="E227" ca="1">INDIRECT("'"&amp;$A228&amp;"'!I2")</f>
        <v>18</v>
      </c>
      <c r="F227" s="29">
        <f t="array" aca="1" ref="F227" ca="1">INDIRECT("'"&amp;$A227&amp;"'!C8")</f>
        <v>0</v>
      </c>
      <c r="G227" s="30">
        <f t="array" aca="1" ref="G227" ca="1">INDIRECT("'"&amp;$A227&amp;"'!D8")</f>
        <v>0</v>
      </c>
      <c r="H227" s="30">
        <f t="array" aca="1" ref="H227" ca="1">INDIRECT("'"&amp;$A227&amp;"'!E8")</f>
        <v>0</v>
      </c>
      <c r="I227" s="30">
        <f t="array" aca="1" ref="I227" ca="1">INDIRECT("'"&amp;$A227&amp;"'!F8")</f>
        <v>0</v>
      </c>
      <c r="J227" s="30">
        <f t="array" aca="1" ref="J227" ca="1">INDIRECT("'"&amp;$A227&amp;"'!G8")</f>
        <v>0</v>
      </c>
      <c r="K227" s="30">
        <f t="array" aca="1" ref="K227" ca="1">INDIRECT("'"&amp;$A227&amp;"'!H8")</f>
        <v>0</v>
      </c>
      <c r="L227" s="30">
        <f t="array" aca="1" ref="L227" ca="1">INDIRECT("'"&amp;$A227&amp;"'!I8")</f>
        <v>0</v>
      </c>
      <c r="M227" s="30">
        <f t="array" aca="1" ref="M227" ca="1">INDIRECT("'"&amp;$A227&amp;"'!J8")</f>
        <v>0</v>
      </c>
      <c r="N227" s="30">
        <f t="array" aca="1" ref="N227" ca="1">INDIRECT("'"&amp;$A227&amp;"'!K8")</f>
        <v>0</v>
      </c>
      <c r="O227" s="30">
        <f t="array" aca="1" ref="O227" ca="1">INDIRECT("'"&amp;$A227&amp;"'!L8")</f>
        <v>0</v>
      </c>
      <c r="P227" s="30">
        <f t="array" aca="1" ref="P227" ca="1">INDIRECT("'"&amp;$A227&amp;"'!M8")</f>
        <v>0</v>
      </c>
      <c r="Q227" s="30">
        <f t="array" aca="1" ref="Q227" ca="1">INDIRECT("'"&amp;$A227&amp;"'!N8")</f>
        <v>0</v>
      </c>
      <c r="R227" s="30">
        <f t="array" aca="1" ref="R227" ca="1">INDIRECT("'"&amp;$A227&amp;"'!O8")</f>
        <v>0</v>
      </c>
      <c r="S227" s="30">
        <f t="array" aca="1" ref="S227" ca="1">INDIRECT("'"&amp;$A227&amp;"'!P8")</f>
        <v>0</v>
      </c>
      <c r="T227" s="30">
        <f t="array" aca="1" ref="T227" ca="1">INDIRECT("'"&amp;$A227&amp;"'!Q8")</f>
        <v>0</v>
      </c>
      <c r="U227" s="30">
        <f t="array" aca="1" ref="U227" ca="1">INDIRECT("'"&amp;$A227&amp;"'!R8")</f>
        <v>0</v>
      </c>
      <c r="V227" s="30">
        <f t="array" aca="1" ref="V227" ca="1">INDIRECT("'"&amp;$A227&amp;"'!S8")</f>
        <v>0</v>
      </c>
      <c r="W227" s="30">
        <f t="array" aca="1" ref="W227" ca="1">INDIRECT("'"&amp;$A227&amp;"'!T8")</f>
        <v>0</v>
      </c>
      <c r="X227" s="30">
        <f t="array" aca="1" ref="X227" ca="1">INDIRECT("'"&amp;$A227&amp;"'!U8")</f>
        <v>0</v>
      </c>
      <c r="Y227" s="30">
        <f t="array" aca="1" ref="Y227" ca="1">INDIRECT("'"&amp;$A227&amp;"'!V8")</f>
        <v>0</v>
      </c>
      <c r="Z227" s="30">
        <f t="array" aca="1" ref="Z227" ca="1">INDIRECT("'"&amp;$A227&amp;"'!W8")</f>
        <v>0</v>
      </c>
      <c r="AA227" s="30">
        <f t="array" aca="1" ref="AA227" ca="1">INDIRECT("'"&amp;$A227&amp;"'!X8")</f>
        <v>0</v>
      </c>
      <c r="AB227" s="30">
        <f t="array" aca="1" ref="AB227" ca="1">INDIRECT("'"&amp;$A227&amp;"'!Y8")</f>
        <v>0</v>
      </c>
      <c r="AC227" s="30">
        <f t="array" aca="1" ref="AC227" ca="1">INDIRECT("'"&amp;$A227&amp;"'!Z8")</f>
        <v>0</v>
      </c>
      <c r="AD227" s="31">
        <f t="array" aca="1" ref="AD227" ca="1">INDIRECT("'"&amp;$A227&amp;"'!AA8")</f>
        <v>0</v>
      </c>
      <c r="AE227" s="81">
        <f t="array" aca="1" ref="AE227" ca="1">INDIRECT("'"&amp;$A228&amp;"'!J2")</f>
        <v>0</v>
      </c>
      <c r="AF227" s="53" t="str">
        <f t="array" aca="1" ref="AF227" ca="1">INDIRECT("'"&amp;$A228&amp;"'!AD1")</f>
        <v/>
      </c>
    </row>
    <row r="228" spans="1:32">
      <c r="A228" s="58">
        <v>76</v>
      </c>
      <c r="B228" s="106"/>
      <c r="C228" s="67" t="str">
        <f t="array" aca="1" ref="C228" ca="1">CONCATENATE("粮 ",INDIRECT("'"&amp;$A228&amp;"'!D4"))</f>
        <v>粮 126800</v>
      </c>
      <c r="D228" s="55" t="s">
        <v>7</v>
      </c>
      <c r="E228" s="82">
        <f t="array" aca="1" ref="E228" ca="1">INDIRECT("'"&amp;$A228&amp;"'!I3")</f>
        <v>18</v>
      </c>
      <c r="F228" s="52">
        <f t="array" aca="1" ref="F228" ca="1">INDIRECT("'"&amp;$A228&amp;"'!C11")</f>
        <v>0</v>
      </c>
      <c r="G228" s="3">
        <f t="array" aca="1" ref="G228" ca="1">INDIRECT("'"&amp;$A228&amp;"'!D11")</f>
        <v>0</v>
      </c>
      <c r="H228" s="3">
        <f t="array" aca="1" ref="H228" ca="1">INDIRECT("'"&amp;$A228&amp;"'!E11")</f>
        <v>0</v>
      </c>
      <c r="I228" s="3">
        <f t="array" aca="1" ref="I228" ca="1">INDIRECT("'"&amp;$A228&amp;"'!F11")</f>
        <v>0</v>
      </c>
      <c r="J228" s="3">
        <f t="array" aca="1" ref="J228" ca="1">INDIRECT("'"&amp;$A228&amp;"'!G11")</f>
        <v>0</v>
      </c>
      <c r="K228" s="3">
        <f t="array" aca="1" ref="K228" ca="1">INDIRECT("'"&amp;$A228&amp;"'!H11")</f>
        <v>0</v>
      </c>
      <c r="L228" s="3">
        <f t="array" aca="1" ref="L228" ca="1">INDIRECT("'"&amp;$A228&amp;"'!I11")</f>
        <v>0</v>
      </c>
      <c r="M228" s="3">
        <f t="array" aca="1" ref="M228" ca="1">INDIRECT("'"&amp;$A228&amp;"'!J11")</f>
        <v>0</v>
      </c>
      <c r="N228" s="3">
        <f t="array" aca="1" ref="N228" ca="1">INDIRECT("'"&amp;$A228&amp;"'!K11")</f>
        <v>0</v>
      </c>
      <c r="O228" s="3">
        <f t="array" aca="1" ref="O228" ca="1">INDIRECT("'"&amp;$A228&amp;"'!L11")</f>
        <v>0</v>
      </c>
      <c r="P228" s="3">
        <f t="array" aca="1" ref="P228" ca="1">INDIRECT("'"&amp;$A228&amp;"'!M11")</f>
        <v>0</v>
      </c>
      <c r="Q228" s="3">
        <f t="array" aca="1" ref="Q228" ca="1">INDIRECT("'"&amp;$A228&amp;"'!N11")</f>
        <v>0</v>
      </c>
      <c r="R228" s="3">
        <f t="array" aca="1" ref="R228" ca="1">INDIRECT("'"&amp;$A228&amp;"'!O11")</f>
        <v>0</v>
      </c>
      <c r="S228" s="3">
        <f t="array" aca="1" ref="S228" ca="1">INDIRECT("'"&amp;$A228&amp;"'!P11")</f>
        <v>0</v>
      </c>
      <c r="T228" s="3">
        <f t="array" aca="1" ref="T228" ca="1">INDIRECT("'"&amp;$A228&amp;"'!Q11")</f>
        <v>0</v>
      </c>
      <c r="U228" s="3">
        <f t="array" aca="1" ref="U228" ca="1">INDIRECT("'"&amp;$A228&amp;"'!R11")</f>
        <v>0</v>
      </c>
      <c r="V228" s="3">
        <f t="array" aca="1" ref="V228" ca="1">INDIRECT("'"&amp;$A228&amp;"'!S11")</f>
        <v>0</v>
      </c>
      <c r="W228" s="3">
        <f t="array" aca="1" ref="W228" ca="1">INDIRECT("'"&amp;$A228&amp;"'!T11")</f>
        <v>0</v>
      </c>
      <c r="X228" s="3">
        <f t="array" aca="1" ref="X228" ca="1">INDIRECT("'"&amp;$A228&amp;"'!U11")</f>
        <v>0</v>
      </c>
      <c r="Y228" s="3">
        <f t="array" aca="1" ref="Y228" ca="1">INDIRECT("'"&amp;$A228&amp;"'!V11")</f>
        <v>0</v>
      </c>
      <c r="Z228" s="3">
        <f t="array" aca="1" ref="Z228" ca="1">INDIRECT("'"&amp;$A228&amp;"'!W11")</f>
        <v>0</v>
      </c>
      <c r="AA228" s="3">
        <f t="array" aca="1" ref="AA228" ca="1">INDIRECT("'"&amp;$A228&amp;"'!X11")</f>
        <v>0</v>
      </c>
      <c r="AB228" s="3">
        <f t="array" aca="1" ref="AB228" ca="1">INDIRECT("'"&amp;$A228&amp;"'!Y11")</f>
        <v>0</v>
      </c>
      <c r="AC228" s="3">
        <f t="array" aca="1" ref="AC228" ca="1">INDIRECT("'"&amp;$A228&amp;"'!Z11")</f>
        <v>0</v>
      </c>
      <c r="AD228" s="32">
        <f t="array" aca="1" ref="AD228" ca="1">INDIRECT("'"&amp;$A228&amp;"'!AA11")</f>
        <v>0</v>
      </c>
      <c r="AE228" s="82">
        <f t="array" aca="1" ref="AE228" ca="1">INDIRECT("'"&amp;$A228&amp;"'!J3")</f>
        <v>0</v>
      </c>
      <c r="AF228" s="53" t="str">
        <f t="array" aca="1" ref="AF228" ca="1">INDIRECT("'"&amp;$A228&amp;"'!AC1")</f>
        <v/>
      </c>
    </row>
    <row r="229" spans="1:32" ht="15.75" customHeight="1" thickBot="1">
      <c r="A229" s="58">
        <v>76</v>
      </c>
      <c r="B229" s="107"/>
      <c r="C229" s="77" t="str">
        <f t="array" aca="1" ref="C229" ca="1">CONCATENATE("分 ",INDIRECT("'"&amp;$A228&amp;"'!D6"))</f>
        <v>分 0</v>
      </c>
      <c r="D229" s="56" t="s">
        <v>8</v>
      </c>
      <c r="E229" s="83">
        <f t="array" aca="1" ref="E229" ca="1">INDIRECT("'"&amp;$A228&amp;"'!I4")</f>
        <v>18</v>
      </c>
      <c r="F229" s="52">
        <f t="array" aca="1" ref="F229" ca="1">INDIRECT("'"&amp;$A229&amp;"'!C14")</f>
        <v>0</v>
      </c>
      <c r="G229" s="3">
        <f t="array" aca="1" ref="G229" ca="1">INDIRECT("'"&amp;$A229&amp;"'!D14")</f>
        <v>0</v>
      </c>
      <c r="H229" s="3">
        <f t="array" aca="1" ref="H229" ca="1">INDIRECT("'"&amp;$A229&amp;"'!E14")</f>
        <v>0</v>
      </c>
      <c r="I229" s="3">
        <f t="array" aca="1" ref="I229" ca="1">INDIRECT("'"&amp;$A229&amp;"'!F14")</f>
        <v>0</v>
      </c>
      <c r="J229" s="3">
        <f t="array" aca="1" ref="J229" ca="1">INDIRECT("'"&amp;$A229&amp;"'!G14")</f>
        <v>0</v>
      </c>
      <c r="K229" s="3">
        <f t="array" aca="1" ref="K229" ca="1">INDIRECT("'"&amp;$A229&amp;"'!H14")</f>
        <v>0</v>
      </c>
      <c r="L229" s="3">
        <f t="array" aca="1" ref="L229" ca="1">INDIRECT("'"&amp;$A229&amp;"'!I14")</f>
        <v>0</v>
      </c>
      <c r="M229" s="3">
        <f t="array" aca="1" ref="M229" ca="1">INDIRECT("'"&amp;$A229&amp;"'!J14")</f>
        <v>0</v>
      </c>
      <c r="N229" s="3">
        <f t="array" aca="1" ref="N229" ca="1">INDIRECT("'"&amp;$A229&amp;"'!K14")</f>
        <v>0</v>
      </c>
      <c r="O229" s="3">
        <f t="array" aca="1" ref="O229" ca="1">INDIRECT("'"&amp;$A229&amp;"'!L14")</f>
        <v>0</v>
      </c>
      <c r="P229" s="3">
        <f t="array" aca="1" ref="P229" ca="1">INDIRECT("'"&amp;$A229&amp;"'!M14")</f>
        <v>0</v>
      </c>
      <c r="Q229" s="3">
        <f t="array" aca="1" ref="Q229" ca="1">INDIRECT("'"&amp;$A229&amp;"'!N14")</f>
        <v>0</v>
      </c>
      <c r="R229" s="3">
        <f t="array" aca="1" ref="R229" ca="1">INDIRECT("'"&amp;$A229&amp;"'!O14")</f>
        <v>0</v>
      </c>
      <c r="S229" s="3">
        <f t="array" aca="1" ref="S229" ca="1">INDIRECT("'"&amp;$A229&amp;"'!P14")</f>
        <v>0</v>
      </c>
      <c r="T229" s="3">
        <f t="array" aca="1" ref="T229" ca="1">INDIRECT("'"&amp;$A229&amp;"'!Q14")</f>
        <v>0</v>
      </c>
      <c r="U229" s="3">
        <f t="array" aca="1" ref="U229" ca="1">INDIRECT("'"&amp;$A229&amp;"'!R14")</f>
        <v>0</v>
      </c>
      <c r="V229" s="3">
        <f t="array" aca="1" ref="V229" ca="1">INDIRECT("'"&amp;$A229&amp;"'!S14")</f>
        <v>0</v>
      </c>
      <c r="W229" s="3">
        <f t="array" aca="1" ref="W229" ca="1">INDIRECT("'"&amp;$A229&amp;"'!T14")</f>
        <v>0</v>
      </c>
      <c r="X229" s="3">
        <f t="array" aca="1" ref="X229" ca="1">INDIRECT("'"&amp;$A229&amp;"'!U14")</f>
        <v>0</v>
      </c>
      <c r="Y229" s="3">
        <f t="array" aca="1" ref="Y229" ca="1">INDIRECT("'"&amp;$A229&amp;"'!V14")</f>
        <v>0</v>
      </c>
      <c r="Z229" s="3">
        <f t="array" aca="1" ref="Z229" ca="1">INDIRECT("'"&amp;$A229&amp;"'!W14")</f>
        <v>0</v>
      </c>
      <c r="AA229" s="3">
        <f t="array" aca="1" ref="AA229" ca="1">INDIRECT("'"&amp;$A229&amp;"'!X14")</f>
        <v>0</v>
      </c>
      <c r="AB229" s="3">
        <f t="array" aca="1" ref="AB229" ca="1">INDIRECT("'"&amp;$A229&amp;"'!Y14")</f>
        <v>0</v>
      </c>
      <c r="AC229" s="3">
        <f t="array" aca="1" ref="AC229" ca="1">INDIRECT("'"&amp;$A229&amp;"'!Z14")</f>
        <v>0</v>
      </c>
      <c r="AD229" s="32">
        <f t="array" aca="1" ref="AD229" ca="1">INDIRECT("'"&amp;$A229&amp;"'!AA14")</f>
        <v>0</v>
      </c>
      <c r="AE229" s="83">
        <f t="array" aca="1" ref="AE229" ca="1">INDIRECT("'"&amp;$A228&amp;"'!J4")</f>
        <v>0</v>
      </c>
      <c r="AF229" s="53"/>
    </row>
    <row r="230" spans="1:32">
      <c r="A230" s="58">
        <v>77</v>
      </c>
      <c r="B230" s="105">
        <f>INDEX(data!$I$2:$I$91,MATCH(A230*1,data!$G$2:$G$91,0))</f>
        <v>46261</v>
      </c>
      <c r="C230" s="66" t="str">
        <f>HYPERLINK("#'" &amp; A230 &amp; "'!A1", "编辑")</f>
        <v>编辑</v>
      </c>
      <c r="D230" s="54" t="s">
        <v>6</v>
      </c>
      <c r="E230" s="81">
        <f t="array" aca="1" ref="E230" ca="1">INDIRECT("'"&amp;$A231&amp;"'!I2")</f>
        <v>18</v>
      </c>
      <c r="F230" s="29">
        <f t="array" aca="1" ref="F230" ca="1">INDIRECT("'"&amp;$A230&amp;"'!C8")</f>
        <v>0</v>
      </c>
      <c r="G230" s="30">
        <f t="array" aca="1" ref="G230" ca="1">INDIRECT("'"&amp;$A230&amp;"'!D8")</f>
        <v>0</v>
      </c>
      <c r="H230" s="30">
        <f t="array" aca="1" ref="H230" ca="1">INDIRECT("'"&amp;$A230&amp;"'!E8")</f>
        <v>0</v>
      </c>
      <c r="I230" s="30">
        <f t="array" aca="1" ref="I230" ca="1">INDIRECT("'"&amp;$A230&amp;"'!F8")</f>
        <v>0</v>
      </c>
      <c r="J230" s="30">
        <f t="array" aca="1" ref="J230" ca="1">INDIRECT("'"&amp;$A230&amp;"'!G8")</f>
        <v>0</v>
      </c>
      <c r="K230" s="30">
        <f t="array" aca="1" ref="K230" ca="1">INDIRECT("'"&amp;$A230&amp;"'!H8")</f>
        <v>0</v>
      </c>
      <c r="L230" s="30">
        <f t="array" aca="1" ref="L230" ca="1">INDIRECT("'"&amp;$A230&amp;"'!I8")</f>
        <v>0</v>
      </c>
      <c r="M230" s="30">
        <f t="array" aca="1" ref="M230" ca="1">INDIRECT("'"&amp;$A230&amp;"'!J8")</f>
        <v>0</v>
      </c>
      <c r="N230" s="30">
        <f t="array" aca="1" ref="N230" ca="1">INDIRECT("'"&amp;$A230&amp;"'!K8")</f>
        <v>0</v>
      </c>
      <c r="O230" s="30">
        <f t="array" aca="1" ref="O230" ca="1">INDIRECT("'"&amp;$A230&amp;"'!L8")</f>
        <v>0</v>
      </c>
      <c r="P230" s="30">
        <f t="array" aca="1" ref="P230" ca="1">INDIRECT("'"&amp;$A230&amp;"'!M8")</f>
        <v>0</v>
      </c>
      <c r="Q230" s="30">
        <f t="array" aca="1" ref="Q230" ca="1">INDIRECT("'"&amp;$A230&amp;"'!N8")</f>
        <v>0</v>
      </c>
      <c r="R230" s="30">
        <f t="array" aca="1" ref="R230" ca="1">INDIRECT("'"&amp;$A230&amp;"'!O8")</f>
        <v>0</v>
      </c>
      <c r="S230" s="30">
        <f t="array" aca="1" ref="S230" ca="1">INDIRECT("'"&amp;$A230&amp;"'!P8")</f>
        <v>0</v>
      </c>
      <c r="T230" s="30">
        <f t="array" aca="1" ref="T230" ca="1">INDIRECT("'"&amp;$A230&amp;"'!Q8")</f>
        <v>0</v>
      </c>
      <c r="U230" s="30">
        <f t="array" aca="1" ref="U230" ca="1">INDIRECT("'"&amp;$A230&amp;"'!R8")</f>
        <v>0</v>
      </c>
      <c r="V230" s="30">
        <f t="array" aca="1" ref="V230" ca="1">INDIRECT("'"&amp;$A230&amp;"'!S8")</f>
        <v>0</v>
      </c>
      <c r="W230" s="30">
        <f t="array" aca="1" ref="W230" ca="1">INDIRECT("'"&amp;$A230&amp;"'!T8")</f>
        <v>0</v>
      </c>
      <c r="X230" s="30">
        <f t="array" aca="1" ref="X230" ca="1">INDIRECT("'"&amp;$A230&amp;"'!U8")</f>
        <v>0</v>
      </c>
      <c r="Y230" s="30">
        <f t="array" aca="1" ref="Y230" ca="1">INDIRECT("'"&amp;$A230&amp;"'!V8")</f>
        <v>0</v>
      </c>
      <c r="Z230" s="30">
        <f t="array" aca="1" ref="Z230" ca="1">INDIRECT("'"&amp;$A230&amp;"'!W8")</f>
        <v>0</v>
      </c>
      <c r="AA230" s="30">
        <f t="array" aca="1" ref="AA230" ca="1">INDIRECT("'"&amp;$A230&amp;"'!X8")</f>
        <v>0</v>
      </c>
      <c r="AB230" s="30">
        <f t="array" aca="1" ref="AB230" ca="1">INDIRECT("'"&amp;$A230&amp;"'!Y8")</f>
        <v>0</v>
      </c>
      <c r="AC230" s="30">
        <f t="array" aca="1" ref="AC230" ca="1">INDIRECT("'"&amp;$A230&amp;"'!Z8")</f>
        <v>0</v>
      </c>
      <c r="AD230" s="31">
        <f t="array" aca="1" ref="AD230" ca="1">INDIRECT("'"&amp;$A230&amp;"'!AA8")</f>
        <v>0</v>
      </c>
      <c r="AE230" s="81">
        <f t="array" aca="1" ref="AE230" ca="1">INDIRECT("'"&amp;$A231&amp;"'!J2")</f>
        <v>0</v>
      </c>
      <c r="AF230" s="53" t="str">
        <f t="array" aca="1" ref="AF230" ca="1">INDIRECT("'"&amp;$A231&amp;"'!AD1")</f>
        <v/>
      </c>
    </row>
    <row r="231" spans="1:32">
      <c r="A231" s="58">
        <v>77</v>
      </c>
      <c r="B231" s="106"/>
      <c r="C231" s="67" t="str">
        <f t="array" aca="1" ref="C231" ca="1">CONCATENATE("粮 ",INDIRECT("'"&amp;$A231&amp;"'!D4"))</f>
        <v>粮 128400</v>
      </c>
      <c r="D231" s="55" t="s">
        <v>7</v>
      </c>
      <c r="E231" s="82">
        <f t="array" aca="1" ref="E231" ca="1">INDIRECT("'"&amp;$A231&amp;"'!I3")</f>
        <v>18</v>
      </c>
      <c r="F231" s="52">
        <f t="array" aca="1" ref="F231" ca="1">INDIRECT("'"&amp;$A231&amp;"'!C11")</f>
        <v>0</v>
      </c>
      <c r="G231" s="3">
        <f t="array" aca="1" ref="G231" ca="1">INDIRECT("'"&amp;$A231&amp;"'!D11")</f>
        <v>0</v>
      </c>
      <c r="H231" s="3">
        <f t="array" aca="1" ref="H231" ca="1">INDIRECT("'"&amp;$A231&amp;"'!E11")</f>
        <v>0</v>
      </c>
      <c r="I231" s="3">
        <f t="array" aca="1" ref="I231" ca="1">INDIRECT("'"&amp;$A231&amp;"'!F11")</f>
        <v>0</v>
      </c>
      <c r="J231" s="3">
        <f t="array" aca="1" ref="J231" ca="1">INDIRECT("'"&amp;$A231&amp;"'!G11")</f>
        <v>0</v>
      </c>
      <c r="K231" s="3">
        <f t="array" aca="1" ref="K231" ca="1">INDIRECT("'"&amp;$A231&amp;"'!H11")</f>
        <v>0</v>
      </c>
      <c r="L231" s="3">
        <f t="array" aca="1" ref="L231" ca="1">INDIRECT("'"&amp;$A231&amp;"'!I11")</f>
        <v>0</v>
      </c>
      <c r="M231" s="3">
        <f t="array" aca="1" ref="M231" ca="1">INDIRECT("'"&amp;$A231&amp;"'!J11")</f>
        <v>0</v>
      </c>
      <c r="N231" s="3">
        <f t="array" aca="1" ref="N231" ca="1">INDIRECT("'"&amp;$A231&amp;"'!K11")</f>
        <v>0</v>
      </c>
      <c r="O231" s="3">
        <f t="array" aca="1" ref="O231" ca="1">INDIRECT("'"&amp;$A231&amp;"'!L11")</f>
        <v>0</v>
      </c>
      <c r="P231" s="3">
        <f t="array" aca="1" ref="P231" ca="1">INDIRECT("'"&amp;$A231&amp;"'!M11")</f>
        <v>0</v>
      </c>
      <c r="Q231" s="3">
        <f t="array" aca="1" ref="Q231" ca="1">INDIRECT("'"&amp;$A231&amp;"'!N11")</f>
        <v>0</v>
      </c>
      <c r="R231" s="3">
        <f t="array" aca="1" ref="R231" ca="1">INDIRECT("'"&amp;$A231&amp;"'!O11")</f>
        <v>0</v>
      </c>
      <c r="S231" s="3">
        <f t="array" aca="1" ref="S231" ca="1">INDIRECT("'"&amp;$A231&amp;"'!P11")</f>
        <v>0</v>
      </c>
      <c r="T231" s="3">
        <f t="array" aca="1" ref="T231" ca="1">INDIRECT("'"&amp;$A231&amp;"'!Q11")</f>
        <v>0</v>
      </c>
      <c r="U231" s="3">
        <f t="array" aca="1" ref="U231" ca="1">INDIRECT("'"&amp;$A231&amp;"'!R11")</f>
        <v>0</v>
      </c>
      <c r="V231" s="3">
        <f t="array" aca="1" ref="V231" ca="1">INDIRECT("'"&amp;$A231&amp;"'!S11")</f>
        <v>0</v>
      </c>
      <c r="W231" s="3">
        <f t="array" aca="1" ref="W231" ca="1">INDIRECT("'"&amp;$A231&amp;"'!T11")</f>
        <v>0</v>
      </c>
      <c r="X231" s="3">
        <f t="array" aca="1" ref="X231" ca="1">INDIRECT("'"&amp;$A231&amp;"'!U11")</f>
        <v>0</v>
      </c>
      <c r="Y231" s="3">
        <f t="array" aca="1" ref="Y231" ca="1">INDIRECT("'"&amp;$A231&amp;"'!V11")</f>
        <v>0</v>
      </c>
      <c r="Z231" s="3">
        <f t="array" aca="1" ref="Z231" ca="1">INDIRECT("'"&amp;$A231&amp;"'!W11")</f>
        <v>0</v>
      </c>
      <c r="AA231" s="3">
        <f t="array" aca="1" ref="AA231" ca="1">INDIRECT("'"&amp;$A231&amp;"'!X11")</f>
        <v>0</v>
      </c>
      <c r="AB231" s="3">
        <f t="array" aca="1" ref="AB231" ca="1">INDIRECT("'"&amp;$A231&amp;"'!Y11")</f>
        <v>0</v>
      </c>
      <c r="AC231" s="3">
        <f t="array" aca="1" ref="AC231" ca="1">INDIRECT("'"&amp;$A231&amp;"'!Z11")</f>
        <v>0</v>
      </c>
      <c r="AD231" s="32">
        <f t="array" aca="1" ref="AD231" ca="1">INDIRECT("'"&amp;$A231&amp;"'!AA11")</f>
        <v>0</v>
      </c>
      <c r="AE231" s="82">
        <f t="array" aca="1" ref="AE231" ca="1">INDIRECT("'"&amp;$A231&amp;"'!J3")</f>
        <v>0</v>
      </c>
      <c r="AF231" s="53" t="str">
        <f t="array" aca="1" ref="AF231" ca="1">INDIRECT("'"&amp;$A231&amp;"'!AC1")</f>
        <v/>
      </c>
    </row>
    <row r="232" spans="1:32" ht="15.75" customHeight="1" thickBot="1">
      <c r="A232" s="58">
        <v>77</v>
      </c>
      <c r="B232" s="107"/>
      <c r="C232" s="77" t="str">
        <f t="array" aca="1" ref="C232" ca="1">CONCATENATE("分 ",INDIRECT("'"&amp;$A231&amp;"'!D6"))</f>
        <v>分 0</v>
      </c>
      <c r="D232" s="56" t="s">
        <v>8</v>
      </c>
      <c r="E232" s="83">
        <f t="array" aca="1" ref="E232" ca="1">INDIRECT("'"&amp;$A231&amp;"'!I4")</f>
        <v>18</v>
      </c>
      <c r="F232" s="52">
        <f t="array" aca="1" ref="F232" ca="1">INDIRECT("'"&amp;$A232&amp;"'!C14")</f>
        <v>0</v>
      </c>
      <c r="G232" s="3">
        <f t="array" aca="1" ref="G232" ca="1">INDIRECT("'"&amp;$A232&amp;"'!D14")</f>
        <v>0</v>
      </c>
      <c r="H232" s="3">
        <f t="array" aca="1" ref="H232" ca="1">INDIRECT("'"&amp;$A232&amp;"'!E14")</f>
        <v>0</v>
      </c>
      <c r="I232" s="3">
        <f t="array" aca="1" ref="I232" ca="1">INDIRECT("'"&amp;$A232&amp;"'!F14")</f>
        <v>0</v>
      </c>
      <c r="J232" s="3">
        <f t="array" aca="1" ref="J232" ca="1">INDIRECT("'"&amp;$A232&amp;"'!G14")</f>
        <v>0</v>
      </c>
      <c r="K232" s="3">
        <f t="array" aca="1" ref="K232" ca="1">INDIRECT("'"&amp;$A232&amp;"'!H14")</f>
        <v>0</v>
      </c>
      <c r="L232" s="3">
        <f t="array" aca="1" ref="L232" ca="1">INDIRECT("'"&amp;$A232&amp;"'!I14")</f>
        <v>0</v>
      </c>
      <c r="M232" s="3">
        <f t="array" aca="1" ref="M232" ca="1">INDIRECT("'"&amp;$A232&amp;"'!J14")</f>
        <v>0</v>
      </c>
      <c r="N232" s="3">
        <f t="array" aca="1" ref="N232" ca="1">INDIRECT("'"&amp;$A232&amp;"'!K14")</f>
        <v>0</v>
      </c>
      <c r="O232" s="3">
        <f t="array" aca="1" ref="O232" ca="1">INDIRECT("'"&amp;$A232&amp;"'!L14")</f>
        <v>0</v>
      </c>
      <c r="P232" s="3">
        <f t="array" aca="1" ref="P232" ca="1">INDIRECT("'"&amp;$A232&amp;"'!M14")</f>
        <v>0</v>
      </c>
      <c r="Q232" s="3">
        <f t="array" aca="1" ref="Q232" ca="1">INDIRECT("'"&amp;$A232&amp;"'!N14")</f>
        <v>0</v>
      </c>
      <c r="R232" s="3">
        <f t="array" aca="1" ref="R232" ca="1">INDIRECT("'"&amp;$A232&amp;"'!O14")</f>
        <v>0</v>
      </c>
      <c r="S232" s="3">
        <f t="array" aca="1" ref="S232" ca="1">INDIRECT("'"&amp;$A232&amp;"'!P14")</f>
        <v>0</v>
      </c>
      <c r="T232" s="3">
        <f t="array" aca="1" ref="T232" ca="1">INDIRECT("'"&amp;$A232&amp;"'!Q14")</f>
        <v>0</v>
      </c>
      <c r="U232" s="3">
        <f t="array" aca="1" ref="U232" ca="1">INDIRECT("'"&amp;$A232&amp;"'!R14")</f>
        <v>0</v>
      </c>
      <c r="V232" s="3">
        <f t="array" aca="1" ref="V232" ca="1">INDIRECT("'"&amp;$A232&amp;"'!S14")</f>
        <v>0</v>
      </c>
      <c r="W232" s="3">
        <f t="array" aca="1" ref="W232" ca="1">INDIRECT("'"&amp;$A232&amp;"'!T14")</f>
        <v>0</v>
      </c>
      <c r="X232" s="3">
        <f t="array" aca="1" ref="X232" ca="1">INDIRECT("'"&amp;$A232&amp;"'!U14")</f>
        <v>0</v>
      </c>
      <c r="Y232" s="3">
        <f t="array" aca="1" ref="Y232" ca="1">INDIRECT("'"&amp;$A232&amp;"'!V14")</f>
        <v>0</v>
      </c>
      <c r="Z232" s="3">
        <f t="array" aca="1" ref="Z232" ca="1">INDIRECT("'"&amp;$A232&amp;"'!W14")</f>
        <v>0</v>
      </c>
      <c r="AA232" s="3">
        <f t="array" aca="1" ref="AA232" ca="1">INDIRECT("'"&amp;$A232&amp;"'!X14")</f>
        <v>0</v>
      </c>
      <c r="AB232" s="3">
        <f t="array" aca="1" ref="AB232" ca="1">INDIRECT("'"&amp;$A232&amp;"'!Y14")</f>
        <v>0</v>
      </c>
      <c r="AC232" s="3">
        <f t="array" aca="1" ref="AC232" ca="1">INDIRECT("'"&amp;$A232&amp;"'!Z14")</f>
        <v>0</v>
      </c>
      <c r="AD232" s="32">
        <f t="array" aca="1" ref="AD232" ca="1">INDIRECT("'"&amp;$A232&amp;"'!AA14")</f>
        <v>0</v>
      </c>
      <c r="AE232" s="83">
        <f t="array" aca="1" ref="AE232" ca="1">INDIRECT("'"&amp;$A231&amp;"'!J4")</f>
        <v>0</v>
      </c>
      <c r="AF232" s="53"/>
    </row>
    <row r="233" spans="1:32">
      <c r="A233" s="58">
        <v>78</v>
      </c>
      <c r="B233" s="105">
        <f>INDEX(data!$I$2:$I$91,MATCH(A233*1,data!$G$2:$G$91,0))</f>
        <v>46262</v>
      </c>
      <c r="C233" s="66" t="str">
        <f>HYPERLINK("#'" &amp; A233 &amp; "'!A1", "编辑")</f>
        <v>编辑</v>
      </c>
      <c r="D233" s="54" t="s">
        <v>6</v>
      </c>
      <c r="E233" s="81">
        <f t="array" aca="1" ref="E233" ca="1">INDIRECT("'"&amp;$A234&amp;"'!I2")</f>
        <v>18</v>
      </c>
      <c r="F233" s="29">
        <f t="array" aca="1" ref="F233" ca="1">INDIRECT("'"&amp;$A233&amp;"'!C8")</f>
        <v>0</v>
      </c>
      <c r="G233" s="30">
        <f t="array" aca="1" ref="G233" ca="1">INDIRECT("'"&amp;$A233&amp;"'!D8")</f>
        <v>0</v>
      </c>
      <c r="H233" s="30">
        <f t="array" aca="1" ref="H233" ca="1">INDIRECT("'"&amp;$A233&amp;"'!E8")</f>
        <v>0</v>
      </c>
      <c r="I233" s="30">
        <f t="array" aca="1" ref="I233" ca="1">INDIRECT("'"&amp;$A233&amp;"'!F8")</f>
        <v>0</v>
      </c>
      <c r="J233" s="30">
        <f t="array" aca="1" ref="J233" ca="1">INDIRECT("'"&amp;$A233&amp;"'!G8")</f>
        <v>0</v>
      </c>
      <c r="K233" s="30">
        <f t="array" aca="1" ref="K233" ca="1">INDIRECT("'"&amp;$A233&amp;"'!H8")</f>
        <v>0</v>
      </c>
      <c r="L233" s="30">
        <f t="array" aca="1" ref="L233" ca="1">INDIRECT("'"&amp;$A233&amp;"'!I8")</f>
        <v>0</v>
      </c>
      <c r="M233" s="30">
        <f t="array" aca="1" ref="M233" ca="1">INDIRECT("'"&amp;$A233&amp;"'!J8")</f>
        <v>0</v>
      </c>
      <c r="N233" s="30">
        <f t="array" aca="1" ref="N233" ca="1">INDIRECT("'"&amp;$A233&amp;"'!K8")</f>
        <v>0</v>
      </c>
      <c r="O233" s="30">
        <f t="array" aca="1" ref="O233" ca="1">INDIRECT("'"&amp;$A233&amp;"'!L8")</f>
        <v>0</v>
      </c>
      <c r="P233" s="30">
        <f t="array" aca="1" ref="P233" ca="1">INDIRECT("'"&amp;$A233&amp;"'!M8")</f>
        <v>0</v>
      </c>
      <c r="Q233" s="30">
        <f t="array" aca="1" ref="Q233" ca="1">INDIRECT("'"&amp;$A233&amp;"'!N8")</f>
        <v>0</v>
      </c>
      <c r="R233" s="30">
        <f t="array" aca="1" ref="R233" ca="1">INDIRECT("'"&amp;$A233&amp;"'!O8")</f>
        <v>0</v>
      </c>
      <c r="S233" s="30">
        <f t="array" aca="1" ref="S233" ca="1">INDIRECT("'"&amp;$A233&amp;"'!P8")</f>
        <v>0</v>
      </c>
      <c r="T233" s="30">
        <f t="array" aca="1" ref="T233" ca="1">INDIRECT("'"&amp;$A233&amp;"'!Q8")</f>
        <v>0</v>
      </c>
      <c r="U233" s="30">
        <f t="array" aca="1" ref="U233" ca="1">INDIRECT("'"&amp;$A233&amp;"'!R8")</f>
        <v>0</v>
      </c>
      <c r="V233" s="30">
        <f t="array" aca="1" ref="V233" ca="1">INDIRECT("'"&amp;$A233&amp;"'!S8")</f>
        <v>0</v>
      </c>
      <c r="W233" s="30">
        <f t="array" aca="1" ref="W233" ca="1">INDIRECT("'"&amp;$A233&amp;"'!T8")</f>
        <v>0</v>
      </c>
      <c r="X233" s="30">
        <f t="array" aca="1" ref="X233" ca="1">INDIRECT("'"&amp;$A233&amp;"'!U8")</f>
        <v>0</v>
      </c>
      <c r="Y233" s="30">
        <f t="array" aca="1" ref="Y233" ca="1">INDIRECT("'"&amp;$A233&amp;"'!V8")</f>
        <v>0</v>
      </c>
      <c r="Z233" s="30">
        <f t="array" aca="1" ref="Z233" ca="1">INDIRECT("'"&amp;$A233&amp;"'!W8")</f>
        <v>0</v>
      </c>
      <c r="AA233" s="30">
        <f t="array" aca="1" ref="AA233" ca="1">INDIRECT("'"&amp;$A233&amp;"'!X8")</f>
        <v>0</v>
      </c>
      <c r="AB233" s="30">
        <f t="array" aca="1" ref="AB233" ca="1">INDIRECT("'"&amp;$A233&amp;"'!Y8")</f>
        <v>0</v>
      </c>
      <c r="AC233" s="30">
        <f t="array" aca="1" ref="AC233" ca="1">INDIRECT("'"&amp;$A233&amp;"'!Z8")</f>
        <v>0</v>
      </c>
      <c r="AD233" s="31">
        <f t="array" aca="1" ref="AD233" ca="1">INDIRECT("'"&amp;$A233&amp;"'!AA8")</f>
        <v>0</v>
      </c>
      <c r="AE233" s="81">
        <f t="array" aca="1" ref="AE233" ca="1">INDIRECT("'"&amp;$A234&amp;"'!J2")</f>
        <v>0</v>
      </c>
      <c r="AF233" s="53" t="str">
        <f t="array" aca="1" ref="AF233" ca="1">INDIRECT("'"&amp;$A234&amp;"'!AD1")</f>
        <v/>
      </c>
    </row>
    <row r="234" spans="1:32">
      <c r="A234" s="58">
        <v>78</v>
      </c>
      <c r="B234" s="106"/>
      <c r="C234" s="67" t="str">
        <f t="array" aca="1" ref="C234" ca="1">CONCATENATE("粮 ",INDIRECT("'"&amp;$A234&amp;"'!D4"))</f>
        <v>粮 130000</v>
      </c>
      <c r="D234" s="55" t="s">
        <v>7</v>
      </c>
      <c r="E234" s="82">
        <f t="array" aca="1" ref="E234" ca="1">INDIRECT("'"&amp;$A234&amp;"'!I3")</f>
        <v>18</v>
      </c>
      <c r="F234" s="52">
        <f t="array" aca="1" ref="F234" ca="1">INDIRECT("'"&amp;$A234&amp;"'!C11")</f>
        <v>0</v>
      </c>
      <c r="G234" s="3">
        <f t="array" aca="1" ref="G234" ca="1">INDIRECT("'"&amp;$A234&amp;"'!D11")</f>
        <v>0</v>
      </c>
      <c r="H234" s="3">
        <f t="array" aca="1" ref="H234" ca="1">INDIRECT("'"&amp;$A234&amp;"'!E11")</f>
        <v>0</v>
      </c>
      <c r="I234" s="3">
        <f t="array" aca="1" ref="I234" ca="1">INDIRECT("'"&amp;$A234&amp;"'!F11")</f>
        <v>0</v>
      </c>
      <c r="J234" s="3">
        <f t="array" aca="1" ref="J234" ca="1">INDIRECT("'"&amp;$A234&amp;"'!G11")</f>
        <v>0</v>
      </c>
      <c r="K234" s="3">
        <f t="array" aca="1" ref="K234" ca="1">INDIRECT("'"&amp;$A234&amp;"'!H11")</f>
        <v>0</v>
      </c>
      <c r="L234" s="3">
        <f t="array" aca="1" ref="L234" ca="1">INDIRECT("'"&amp;$A234&amp;"'!I11")</f>
        <v>0</v>
      </c>
      <c r="M234" s="3">
        <f t="array" aca="1" ref="M234" ca="1">INDIRECT("'"&amp;$A234&amp;"'!J11")</f>
        <v>0</v>
      </c>
      <c r="N234" s="3">
        <f t="array" aca="1" ref="N234" ca="1">INDIRECT("'"&amp;$A234&amp;"'!K11")</f>
        <v>0</v>
      </c>
      <c r="O234" s="3">
        <f t="array" aca="1" ref="O234" ca="1">INDIRECT("'"&amp;$A234&amp;"'!L11")</f>
        <v>0</v>
      </c>
      <c r="P234" s="3">
        <f t="array" aca="1" ref="P234" ca="1">INDIRECT("'"&amp;$A234&amp;"'!M11")</f>
        <v>0</v>
      </c>
      <c r="Q234" s="3">
        <f t="array" aca="1" ref="Q234" ca="1">INDIRECT("'"&amp;$A234&amp;"'!N11")</f>
        <v>0</v>
      </c>
      <c r="R234" s="3">
        <f t="array" aca="1" ref="R234" ca="1">INDIRECT("'"&amp;$A234&amp;"'!O11")</f>
        <v>0</v>
      </c>
      <c r="S234" s="3">
        <f t="array" aca="1" ref="S234" ca="1">INDIRECT("'"&amp;$A234&amp;"'!P11")</f>
        <v>0</v>
      </c>
      <c r="T234" s="3">
        <f t="array" aca="1" ref="T234" ca="1">INDIRECT("'"&amp;$A234&amp;"'!Q11")</f>
        <v>0</v>
      </c>
      <c r="U234" s="3">
        <f t="array" aca="1" ref="U234" ca="1">INDIRECT("'"&amp;$A234&amp;"'!R11")</f>
        <v>0</v>
      </c>
      <c r="V234" s="3">
        <f t="array" aca="1" ref="V234" ca="1">INDIRECT("'"&amp;$A234&amp;"'!S11")</f>
        <v>0</v>
      </c>
      <c r="W234" s="3">
        <f t="array" aca="1" ref="W234" ca="1">INDIRECT("'"&amp;$A234&amp;"'!T11")</f>
        <v>0</v>
      </c>
      <c r="X234" s="3">
        <f t="array" aca="1" ref="X234" ca="1">INDIRECT("'"&amp;$A234&amp;"'!U11")</f>
        <v>0</v>
      </c>
      <c r="Y234" s="3">
        <f t="array" aca="1" ref="Y234" ca="1">INDIRECT("'"&amp;$A234&amp;"'!V11")</f>
        <v>0</v>
      </c>
      <c r="Z234" s="3">
        <f t="array" aca="1" ref="Z234" ca="1">INDIRECT("'"&amp;$A234&amp;"'!W11")</f>
        <v>0</v>
      </c>
      <c r="AA234" s="3">
        <f t="array" aca="1" ref="AA234" ca="1">INDIRECT("'"&amp;$A234&amp;"'!X11")</f>
        <v>0</v>
      </c>
      <c r="AB234" s="3">
        <f t="array" aca="1" ref="AB234" ca="1">INDIRECT("'"&amp;$A234&amp;"'!Y11")</f>
        <v>0</v>
      </c>
      <c r="AC234" s="3">
        <f t="array" aca="1" ref="AC234" ca="1">INDIRECT("'"&amp;$A234&amp;"'!Z11")</f>
        <v>0</v>
      </c>
      <c r="AD234" s="32">
        <f t="array" aca="1" ref="AD234" ca="1">INDIRECT("'"&amp;$A234&amp;"'!AA11")</f>
        <v>0</v>
      </c>
      <c r="AE234" s="82">
        <f t="array" aca="1" ref="AE234" ca="1">INDIRECT("'"&amp;$A234&amp;"'!J3")</f>
        <v>0</v>
      </c>
      <c r="AF234" s="53" t="str">
        <f t="array" aca="1" ref="AF234" ca="1">INDIRECT("'"&amp;$A234&amp;"'!AC1")</f>
        <v/>
      </c>
    </row>
    <row r="235" spans="1:32" ht="15.75" customHeight="1" thickBot="1">
      <c r="A235" s="58">
        <v>78</v>
      </c>
      <c r="B235" s="107"/>
      <c r="C235" s="77" t="str">
        <f t="array" aca="1" ref="C235" ca="1">CONCATENATE("分 ",INDIRECT("'"&amp;$A234&amp;"'!D6"))</f>
        <v>分 0</v>
      </c>
      <c r="D235" s="56" t="s">
        <v>8</v>
      </c>
      <c r="E235" s="83">
        <f t="array" aca="1" ref="E235" ca="1">INDIRECT("'"&amp;$A234&amp;"'!I4")</f>
        <v>18</v>
      </c>
      <c r="F235" s="52">
        <f t="array" aca="1" ref="F235" ca="1">INDIRECT("'"&amp;$A235&amp;"'!C14")</f>
        <v>0</v>
      </c>
      <c r="G235" s="3">
        <f t="array" aca="1" ref="G235" ca="1">INDIRECT("'"&amp;$A235&amp;"'!D14")</f>
        <v>0</v>
      </c>
      <c r="H235" s="3">
        <f t="array" aca="1" ref="H235" ca="1">INDIRECT("'"&amp;$A235&amp;"'!E14")</f>
        <v>0</v>
      </c>
      <c r="I235" s="3">
        <f t="array" aca="1" ref="I235" ca="1">INDIRECT("'"&amp;$A235&amp;"'!F14")</f>
        <v>0</v>
      </c>
      <c r="J235" s="3">
        <f t="array" aca="1" ref="J235" ca="1">INDIRECT("'"&amp;$A235&amp;"'!G14")</f>
        <v>0</v>
      </c>
      <c r="K235" s="3">
        <f t="array" aca="1" ref="K235" ca="1">INDIRECT("'"&amp;$A235&amp;"'!H14")</f>
        <v>0</v>
      </c>
      <c r="L235" s="3">
        <f t="array" aca="1" ref="L235" ca="1">INDIRECT("'"&amp;$A235&amp;"'!I14")</f>
        <v>0</v>
      </c>
      <c r="M235" s="3">
        <f t="array" aca="1" ref="M235" ca="1">INDIRECT("'"&amp;$A235&amp;"'!J14")</f>
        <v>0</v>
      </c>
      <c r="N235" s="3">
        <f t="array" aca="1" ref="N235" ca="1">INDIRECT("'"&amp;$A235&amp;"'!K14")</f>
        <v>0</v>
      </c>
      <c r="O235" s="3">
        <f t="array" aca="1" ref="O235" ca="1">INDIRECT("'"&amp;$A235&amp;"'!L14")</f>
        <v>0</v>
      </c>
      <c r="P235" s="3">
        <f t="array" aca="1" ref="P235" ca="1">INDIRECT("'"&amp;$A235&amp;"'!M14")</f>
        <v>0</v>
      </c>
      <c r="Q235" s="3">
        <f t="array" aca="1" ref="Q235" ca="1">INDIRECT("'"&amp;$A235&amp;"'!N14")</f>
        <v>0</v>
      </c>
      <c r="R235" s="3">
        <f t="array" aca="1" ref="R235" ca="1">INDIRECT("'"&amp;$A235&amp;"'!O14")</f>
        <v>0</v>
      </c>
      <c r="S235" s="3">
        <f t="array" aca="1" ref="S235" ca="1">INDIRECT("'"&amp;$A235&amp;"'!P14")</f>
        <v>0</v>
      </c>
      <c r="T235" s="3">
        <f t="array" aca="1" ref="T235" ca="1">INDIRECT("'"&amp;$A235&amp;"'!Q14")</f>
        <v>0</v>
      </c>
      <c r="U235" s="3">
        <f t="array" aca="1" ref="U235" ca="1">INDIRECT("'"&amp;$A235&amp;"'!R14")</f>
        <v>0</v>
      </c>
      <c r="V235" s="3">
        <f t="array" aca="1" ref="V235" ca="1">INDIRECT("'"&amp;$A235&amp;"'!S14")</f>
        <v>0</v>
      </c>
      <c r="W235" s="3">
        <f t="array" aca="1" ref="W235" ca="1">INDIRECT("'"&amp;$A235&amp;"'!T14")</f>
        <v>0</v>
      </c>
      <c r="X235" s="3">
        <f t="array" aca="1" ref="X235" ca="1">INDIRECT("'"&amp;$A235&amp;"'!U14")</f>
        <v>0</v>
      </c>
      <c r="Y235" s="3">
        <f t="array" aca="1" ref="Y235" ca="1">INDIRECT("'"&amp;$A235&amp;"'!V14")</f>
        <v>0</v>
      </c>
      <c r="Z235" s="3">
        <f t="array" aca="1" ref="Z235" ca="1">INDIRECT("'"&amp;$A235&amp;"'!W14")</f>
        <v>0</v>
      </c>
      <c r="AA235" s="3">
        <f t="array" aca="1" ref="AA235" ca="1">INDIRECT("'"&amp;$A235&amp;"'!X14")</f>
        <v>0</v>
      </c>
      <c r="AB235" s="3">
        <f t="array" aca="1" ref="AB235" ca="1">INDIRECT("'"&amp;$A235&amp;"'!Y14")</f>
        <v>0</v>
      </c>
      <c r="AC235" s="3">
        <f t="array" aca="1" ref="AC235" ca="1">INDIRECT("'"&amp;$A235&amp;"'!Z14")</f>
        <v>0</v>
      </c>
      <c r="AD235" s="32">
        <f t="array" aca="1" ref="AD235" ca="1">INDIRECT("'"&amp;$A235&amp;"'!AA14")</f>
        <v>0</v>
      </c>
      <c r="AE235" s="83">
        <f t="array" aca="1" ref="AE235" ca="1">INDIRECT("'"&amp;$A234&amp;"'!J4")</f>
        <v>0</v>
      </c>
      <c r="AF235" s="53"/>
    </row>
    <row r="236" spans="1:32">
      <c r="A236" s="58">
        <v>79</v>
      </c>
      <c r="B236" s="105">
        <f>INDEX(data!$I$2:$I$91,MATCH(A236*1,data!$G$2:$G$91,0))</f>
        <v>46263</v>
      </c>
      <c r="C236" s="66" t="str">
        <f>HYPERLINK("#'" &amp; A236 &amp; "'!A1", "编辑")</f>
        <v>编辑</v>
      </c>
      <c r="D236" s="54" t="s">
        <v>6</v>
      </c>
      <c r="E236" s="81">
        <f t="array" aca="1" ref="E236" ca="1">INDIRECT("'"&amp;$A237&amp;"'!I2")</f>
        <v>18</v>
      </c>
      <c r="F236" s="29">
        <f t="array" aca="1" ref="F236" ca="1">INDIRECT("'"&amp;$A236&amp;"'!C8")</f>
        <v>0</v>
      </c>
      <c r="G236" s="30">
        <f t="array" aca="1" ref="G236" ca="1">INDIRECT("'"&amp;$A236&amp;"'!D8")</f>
        <v>0</v>
      </c>
      <c r="H236" s="30">
        <f t="array" aca="1" ref="H236" ca="1">INDIRECT("'"&amp;$A236&amp;"'!E8")</f>
        <v>0</v>
      </c>
      <c r="I236" s="30">
        <f t="array" aca="1" ref="I236" ca="1">INDIRECT("'"&amp;$A236&amp;"'!F8")</f>
        <v>0</v>
      </c>
      <c r="J236" s="30">
        <f t="array" aca="1" ref="J236" ca="1">INDIRECT("'"&amp;$A236&amp;"'!G8")</f>
        <v>0</v>
      </c>
      <c r="K236" s="30">
        <f t="array" aca="1" ref="K236" ca="1">INDIRECT("'"&amp;$A236&amp;"'!H8")</f>
        <v>0</v>
      </c>
      <c r="L236" s="30">
        <f t="array" aca="1" ref="L236" ca="1">INDIRECT("'"&amp;$A236&amp;"'!I8")</f>
        <v>0</v>
      </c>
      <c r="M236" s="30">
        <f t="array" aca="1" ref="M236" ca="1">INDIRECT("'"&amp;$A236&amp;"'!J8")</f>
        <v>0</v>
      </c>
      <c r="N236" s="30">
        <f t="array" aca="1" ref="N236" ca="1">INDIRECT("'"&amp;$A236&amp;"'!K8")</f>
        <v>0</v>
      </c>
      <c r="O236" s="30">
        <f t="array" aca="1" ref="O236" ca="1">INDIRECT("'"&amp;$A236&amp;"'!L8")</f>
        <v>0</v>
      </c>
      <c r="P236" s="30">
        <f t="array" aca="1" ref="P236" ca="1">INDIRECT("'"&amp;$A236&amp;"'!M8")</f>
        <v>0</v>
      </c>
      <c r="Q236" s="30">
        <f t="array" aca="1" ref="Q236" ca="1">INDIRECT("'"&amp;$A236&amp;"'!N8")</f>
        <v>0</v>
      </c>
      <c r="R236" s="30">
        <f t="array" aca="1" ref="R236" ca="1">INDIRECT("'"&amp;$A236&amp;"'!O8")</f>
        <v>0</v>
      </c>
      <c r="S236" s="30">
        <f t="array" aca="1" ref="S236" ca="1">INDIRECT("'"&amp;$A236&amp;"'!P8")</f>
        <v>0</v>
      </c>
      <c r="T236" s="30">
        <f t="array" aca="1" ref="T236" ca="1">INDIRECT("'"&amp;$A236&amp;"'!Q8")</f>
        <v>0</v>
      </c>
      <c r="U236" s="30">
        <f t="array" aca="1" ref="U236" ca="1">INDIRECT("'"&amp;$A236&amp;"'!R8")</f>
        <v>0</v>
      </c>
      <c r="V236" s="30">
        <f t="array" aca="1" ref="V236" ca="1">INDIRECT("'"&amp;$A236&amp;"'!S8")</f>
        <v>0</v>
      </c>
      <c r="W236" s="30">
        <f t="array" aca="1" ref="W236" ca="1">INDIRECT("'"&amp;$A236&amp;"'!T8")</f>
        <v>0</v>
      </c>
      <c r="X236" s="30">
        <f t="array" aca="1" ref="X236" ca="1">INDIRECT("'"&amp;$A236&amp;"'!U8")</f>
        <v>0</v>
      </c>
      <c r="Y236" s="30">
        <f t="array" aca="1" ref="Y236" ca="1">INDIRECT("'"&amp;$A236&amp;"'!V8")</f>
        <v>0</v>
      </c>
      <c r="Z236" s="30">
        <f t="array" aca="1" ref="Z236" ca="1">INDIRECT("'"&amp;$A236&amp;"'!W8")</f>
        <v>0</v>
      </c>
      <c r="AA236" s="30">
        <f t="array" aca="1" ref="AA236" ca="1">INDIRECT("'"&amp;$A236&amp;"'!X8")</f>
        <v>0</v>
      </c>
      <c r="AB236" s="30">
        <f t="array" aca="1" ref="AB236" ca="1">INDIRECT("'"&amp;$A236&amp;"'!Y8")</f>
        <v>0</v>
      </c>
      <c r="AC236" s="30">
        <f t="array" aca="1" ref="AC236" ca="1">INDIRECT("'"&amp;$A236&amp;"'!Z8")</f>
        <v>0</v>
      </c>
      <c r="AD236" s="31">
        <f t="array" aca="1" ref="AD236" ca="1">INDIRECT("'"&amp;$A236&amp;"'!AA8")</f>
        <v>0</v>
      </c>
      <c r="AE236" s="81">
        <f t="array" aca="1" ref="AE236" ca="1">INDIRECT("'"&amp;$A237&amp;"'!J2")</f>
        <v>0</v>
      </c>
      <c r="AF236" s="53" t="str">
        <f t="array" aca="1" ref="AF236" ca="1">INDIRECT("'"&amp;$A237&amp;"'!AD1")</f>
        <v/>
      </c>
    </row>
    <row r="237" spans="1:32">
      <c r="A237" s="58">
        <v>79</v>
      </c>
      <c r="B237" s="106"/>
      <c r="C237" s="67" t="str">
        <f t="array" aca="1" ref="C237" ca="1">CONCATENATE("粮 ",INDIRECT("'"&amp;$A237&amp;"'!D4"))</f>
        <v>粮 131600</v>
      </c>
      <c r="D237" s="55" t="s">
        <v>7</v>
      </c>
      <c r="E237" s="82">
        <f t="array" aca="1" ref="E237" ca="1">INDIRECT("'"&amp;$A237&amp;"'!I3")</f>
        <v>18</v>
      </c>
      <c r="F237" s="52">
        <f t="array" aca="1" ref="F237" ca="1">INDIRECT("'"&amp;$A237&amp;"'!C11")</f>
        <v>0</v>
      </c>
      <c r="G237" s="3">
        <f t="array" aca="1" ref="G237" ca="1">INDIRECT("'"&amp;$A237&amp;"'!D11")</f>
        <v>0</v>
      </c>
      <c r="H237" s="3">
        <f t="array" aca="1" ref="H237" ca="1">INDIRECT("'"&amp;$A237&amp;"'!E11")</f>
        <v>0</v>
      </c>
      <c r="I237" s="3">
        <f t="array" aca="1" ref="I237" ca="1">INDIRECT("'"&amp;$A237&amp;"'!F11")</f>
        <v>0</v>
      </c>
      <c r="J237" s="3">
        <f t="array" aca="1" ref="J237" ca="1">INDIRECT("'"&amp;$A237&amp;"'!G11")</f>
        <v>0</v>
      </c>
      <c r="K237" s="3">
        <f t="array" aca="1" ref="K237" ca="1">INDIRECT("'"&amp;$A237&amp;"'!H11")</f>
        <v>0</v>
      </c>
      <c r="L237" s="3">
        <f t="array" aca="1" ref="L237" ca="1">INDIRECT("'"&amp;$A237&amp;"'!I11")</f>
        <v>0</v>
      </c>
      <c r="M237" s="3">
        <f t="array" aca="1" ref="M237" ca="1">INDIRECT("'"&amp;$A237&amp;"'!J11")</f>
        <v>0</v>
      </c>
      <c r="N237" s="3">
        <f t="array" aca="1" ref="N237" ca="1">INDIRECT("'"&amp;$A237&amp;"'!K11")</f>
        <v>0</v>
      </c>
      <c r="O237" s="3">
        <f t="array" aca="1" ref="O237" ca="1">INDIRECT("'"&amp;$A237&amp;"'!L11")</f>
        <v>0</v>
      </c>
      <c r="P237" s="3">
        <f t="array" aca="1" ref="P237" ca="1">INDIRECT("'"&amp;$A237&amp;"'!M11")</f>
        <v>0</v>
      </c>
      <c r="Q237" s="3">
        <f t="array" aca="1" ref="Q237" ca="1">INDIRECT("'"&amp;$A237&amp;"'!N11")</f>
        <v>0</v>
      </c>
      <c r="R237" s="3">
        <f t="array" aca="1" ref="R237" ca="1">INDIRECT("'"&amp;$A237&amp;"'!O11")</f>
        <v>0</v>
      </c>
      <c r="S237" s="3">
        <f t="array" aca="1" ref="S237" ca="1">INDIRECT("'"&amp;$A237&amp;"'!P11")</f>
        <v>0</v>
      </c>
      <c r="T237" s="3">
        <f t="array" aca="1" ref="T237" ca="1">INDIRECT("'"&amp;$A237&amp;"'!Q11")</f>
        <v>0</v>
      </c>
      <c r="U237" s="3">
        <f t="array" aca="1" ref="U237" ca="1">INDIRECT("'"&amp;$A237&amp;"'!R11")</f>
        <v>0</v>
      </c>
      <c r="V237" s="3">
        <f t="array" aca="1" ref="V237" ca="1">INDIRECT("'"&amp;$A237&amp;"'!S11")</f>
        <v>0</v>
      </c>
      <c r="W237" s="3">
        <f t="array" aca="1" ref="W237" ca="1">INDIRECT("'"&amp;$A237&amp;"'!T11")</f>
        <v>0</v>
      </c>
      <c r="X237" s="3">
        <f t="array" aca="1" ref="X237" ca="1">INDIRECT("'"&amp;$A237&amp;"'!U11")</f>
        <v>0</v>
      </c>
      <c r="Y237" s="3">
        <f t="array" aca="1" ref="Y237" ca="1">INDIRECT("'"&amp;$A237&amp;"'!V11")</f>
        <v>0</v>
      </c>
      <c r="Z237" s="3">
        <f t="array" aca="1" ref="Z237" ca="1">INDIRECT("'"&amp;$A237&amp;"'!W11")</f>
        <v>0</v>
      </c>
      <c r="AA237" s="3">
        <f t="array" aca="1" ref="AA237" ca="1">INDIRECT("'"&amp;$A237&amp;"'!X11")</f>
        <v>0</v>
      </c>
      <c r="AB237" s="3">
        <f t="array" aca="1" ref="AB237" ca="1">INDIRECT("'"&amp;$A237&amp;"'!Y11")</f>
        <v>0</v>
      </c>
      <c r="AC237" s="3">
        <f t="array" aca="1" ref="AC237" ca="1">INDIRECT("'"&amp;$A237&amp;"'!Z11")</f>
        <v>0</v>
      </c>
      <c r="AD237" s="32">
        <f t="array" aca="1" ref="AD237" ca="1">INDIRECT("'"&amp;$A237&amp;"'!AA11")</f>
        <v>0</v>
      </c>
      <c r="AE237" s="82">
        <f t="array" aca="1" ref="AE237" ca="1">INDIRECT("'"&amp;$A237&amp;"'!J3")</f>
        <v>0</v>
      </c>
      <c r="AF237" s="53" t="str">
        <f t="array" aca="1" ref="AF237" ca="1">INDIRECT("'"&amp;$A237&amp;"'!AC1")</f>
        <v/>
      </c>
    </row>
    <row r="238" spans="1:32" ht="15.75" customHeight="1" thickBot="1">
      <c r="A238" s="58">
        <v>79</v>
      </c>
      <c r="B238" s="107"/>
      <c r="C238" s="77" t="str">
        <f t="array" aca="1" ref="C238" ca="1">CONCATENATE("分 ",INDIRECT("'"&amp;$A237&amp;"'!D6"))</f>
        <v>分 0</v>
      </c>
      <c r="D238" s="56" t="s">
        <v>8</v>
      </c>
      <c r="E238" s="83">
        <f t="array" aca="1" ref="E238" ca="1">INDIRECT("'"&amp;$A237&amp;"'!I4")</f>
        <v>18</v>
      </c>
      <c r="F238" s="52">
        <f t="array" aca="1" ref="F238" ca="1">INDIRECT("'"&amp;$A238&amp;"'!C14")</f>
        <v>0</v>
      </c>
      <c r="G238" s="3">
        <f t="array" aca="1" ref="G238" ca="1">INDIRECT("'"&amp;$A238&amp;"'!D14")</f>
        <v>0</v>
      </c>
      <c r="H238" s="3">
        <f t="array" aca="1" ref="H238" ca="1">INDIRECT("'"&amp;$A238&amp;"'!E14")</f>
        <v>0</v>
      </c>
      <c r="I238" s="3">
        <f t="array" aca="1" ref="I238" ca="1">INDIRECT("'"&amp;$A238&amp;"'!F14")</f>
        <v>0</v>
      </c>
      <c r="J238" s="3">
        <f t="array" aca="1" ref="J238" ca="1">INDIRECT("'"&amp;$A238&amp;"'!G14")</f>
        <v>0</v>
      </c>
      <c r="K238" s="3">
        <f t="array" aca="1" ref="K238" ca="1">INDIRECT("'"&amp;$A238&amp;"'!H14")</f>
        <v>0</v>
      </c>
      <c r="L238" s="3">
        <f t="array" aca="1" ref="L238" ca="1">INDIRECT("'"&amp;$A238&amp;"'!I14")</f>
        <v>0</v>
      </c>
      <c r="M238" s="3">
        <f t="array" aca="1" ref="M238" ca="1">INDIRECT("'"&amp;$A238&amp;"'!J14")</f>
        <v>0</v>
      </c>
      <c r="N238" s="3">
        <f t="array" aca="1" ref="N238" ca="1">INDIRECT("'"&amp;$A238&amp;"'!K14")</f>
        <v>0</v>
      </c>
      <c r="O238" s="3">
        <f t="array" aca="1" ref="O238" ca="1">INDIRECT("'"&amp;$A238&amp;"'!L14")</f>
        <v>0</v>
      </c>
      <c r="P238" s="3">
        <f t="array" aca="1" ref="P238" ca="1">INDIRECT("'"&amp;$A238&amp;"'!M14")</f>
        <v>0</v>
      </c>
      <c r="Q238" s="3">
        <f t="array" aca="1" ref="Q238" ca="1">INDIRECT("'"&amp;$A238&amp;"'!N14")</f>
        <v>0</v>
      </c>
      <c r="R238" s="3">
        <f t="array" aca="1" ref="R238" ca="1">INDIRECT("'"&amp;$A238&amp;"'!O14")</f>
        <v>0</v>
      </c>
      <c r="S238" s="3">
        <f t="array" aca="1" ref="S238" ca="1">INDIRECT("'"&amp;$A238&amp;"'!P14")</f>
        <v>0</v>
      </c>
      <c r="T238" s="3">
        <f t="array" aca="1" ref="T238" ca="1">INDIRECT("'"&amp;$A238&amp;"'!Q14")</f>
        <v>0</v>
      </c>
      <c r="U238" s="3">
        <f t="array" aca="1" ref="U238" ca="1">INDIRECT("'"&amp;$A238&amp;"'!R14")</f>
        <v>0</v>
      </c>
      <c r="V238" s="3">
        <f t="array" aca="1" ref="V238" ca="1">INDIRECT("'"&amp;$A238&amp;"'!S14")</f>
        <v>0</v>
      </c>
      <c r="W238" s="3">
        <f t="array" aca="1" ref="W238" ca="1">INDIRECT("'"&amp;$A238&amp;"'!T14")</f>
        <v>0</v>
      </c>
      <c r="X238" s="3">
        <f t="array" aca="1" ref="X238" ca="1">INDIRECT("'"&amp;$A238&amp;"'!U14")</f>
        <v>0</v>
      </c>
      <c r="Y238" s="3">
        <f t="array" aca="1" ref="Y238" ca="1">INDIRECT("'"&amp;$A238&amp;"'!V14")</f>
        <v>0</v>
      </c>
      <c r="Z238" s="3">
        <f t="array" aca="1" ref="Z238" ca="1">INDIRECT("'"&amp;$A238&amp;"'!W14")</f>
        <v>0</v>
      </c>
      <c r="AA238" s="3">
        <f t="array" aca="1" ref="AA238" ca="1">INDIRECT("'"&amp;$A238&amp;"'!X14")</f>
        <v>0</v>
      </c>
      <c r="AB238" s="3">
        <f t="array" aca="1" ref="AB238" ca="1">INDIRECT("'"&amp;$A238&amp;"'!Y14")</f>
        <v>0</v>
      </c>
      <c r="AC238" s="3">
        <f t="array" aca="1" ref="AC238" ca="1">INDIRECT("'"&amp;$A238&amp;"'!Z14")</f>
        <v>0</v>
      </c>
      <c r="AD238" s="32">
        <f t="array" aca="1" ref="AD238" ca="1">INDIRECT("'"&amp;$A238&amp;"'!AA14")</f>
        <v>0</v>
      </c>
      <c r="AE238" s="83">
        <f t="array" aca="1" ref="AE238" ca="1">INDIRECT("'"&amp;$A237&amp;"'!J4")</f>
        <v>0</v>
      </c>
      <c r="AF238" s="53"/>
    </row>
    <row r="239" spans="1:32">
      <c r="A239" s="58">
        <v>80</v>
      </c>
      <c r="B239" s="105">
        <f>INDEX(data!$I$2:$I$91,MATCH(A239*1,data!$G$2:$G$91,0))</f>
        <v>46264</v>
      </c>
      <c r="C239" s="66" t="str">
        <f>HYPERLINK("#'" &amp; A239 &amp; "'!A1", "编辑")</f>
        <v>编辑</v>
      </c>
      <c r="D239" s="54" t="s">
        <v>6</v>
      </c>
      <c r="E239" s="81">
        <f t="array" aca="1" ref="E239" ca="1">INDIRECT("'"&amp;$A240&amp;"'!I2")</f>
        <v>18</v>
      </c>
      <c r="F239" s="29">
        <f t="array" aca="1" ref="F239" ca="1">INDIRECT("'"&amp;$A239&amp;"'!C8")</f>
        <v>0</v>
      </c>
      <c r="G239" s="30">
        <f t="array" aca="1" ref="G239" ca="1">INDIRECT("'"&amp;$A239&amp;"'!D8")</f>
        <v>0</v>
      </c>
      <c r="H239" s="30">
        <f t="array" aca="1" ref="H239" ca="1">INDIRECT("'"&amp;$A239&amp;"'!E8")</f>
        <v>0</v>
      </c>
      <c r="I239" s="30">
        <f t="array" aca="1" ref="I239" ca="1">INDIRECT("'"&amp;$A239&amp;"'!F8")</f>
        <v>0</v>
      </c>
      <c r="J239" s="30">
        <f t="array" aca="1" ref="J239" ca="1">INDIRECT("'"&amp;$A239&amp;"'!G8")</f>
        <v>0</v>
      </c>
      <c r="K239" s="30">
        <f t="array" aca="1" ref="K239" ca="1">INDIRECT("'"&amp;$A239&amp;"'!H8")</f>
        <v>0</v>
      </c>
      <c r="L239" s="30">
        <f t="array" aca="1" ref="L239" ca="1">INDIRECT("'"&amp;$A239&amp;"'!I8")</f>
        <v>0</v>
      </c>
      <c r="M239" s="30">
        <f t="array" aca="1" ref="M239" ca="1">INDIRECT("'"&amp;$A239&amp;"'!J8")</f>
        <v>0</v>
      </c>
      <c r="N239" s="30">
        <f t="array" aca="1" ref="N239" ca="1">INDIRECT("'"&amp;$A239&amp;"'!K8")</f>
        <v>0</v>
      </c>
      <c r="O239" s="30">
        <f t="array" aca="1" ref="O239" ca="1">INDIRECT("'"&amp;$A239&amp;"'!L8")</f>
        <v>0</v>
      </c>
      <c r="P239" s="30">
        <f t="array" aca="1" ref="P239" ca="1">INDIRECT("'"&amp;$A239&amp;"'!M8")</f>
        <v>0</v>
      </c>
      <c r="Q239" s="30">
        <f t="array" aca="1" ref="Q239" ca="1">INDIRECT("'"&amp;$A239&amp;"'!N8")</f>
        <v>0</v>
      </c>
      <c r="R239" s="30">
        <f t="array" aca="1" ref="R239" ca="1">INDIRECT("'"&amp;$A239&amp;"'!O8")</f>
        <v>0</v>
      </c>
      <c r="S239" s="30">
        <f t="array" aca="1" ref="S239" ca="1">INDIRECT("'"&amp;$A239&amp;"'!P8")</f>
        <v>0</v>
      </c>
      <c r="T239" s="30">
        <f t="array" aca="1" ref="T239" ca="1">INDIRECT("'"&amp;$A239&amp;"'!Q8")</f>
        <v>0</v>
      </c>
      <c r="U239" s="30">
        <f t="array" aca="1" ref="U239" ca="1">INDIRECT("'"&amp;$A239&amp;"'!R8")</f>
        <v>0</v>
      </c>
      <c r="V239" s="30">
        <f t="array" aca="1" ref="V239" ca="1">INDIRECT("'"&amp;$A239&amp;"'!S8")</f>
        <v>0</v>
      </c>
      <c r="W239" s="30">
        <f t="array" aca="1" ref="W239" ca="1">INDIRECT("'"&amp;$A239&amp;"'!T8")</f>
        <v>0</v>
      </c>
      <c r="X239" s="30">
        <f t="array" aca="1" ref="X239" ca="1">INDIRECT("'"&amp;$A239&amp;"'!U8")</f>
        <v>0</v>
      </c>
      <c r="Y239" s="30">
        <f t="array" aca="1" ref="Y239" ca="1">INDIRECT("'"&amp;$A239&amp;"'!V8")</f>
        <v>0</v>
      </c>
      <c r="Z239" s="30">
        <f t="array" aca="1" ref="Z239" ca="1">INDIRECT("'"&amp;$A239&amp;"'!W8")</f>
        <v>0</v>
      </c>
      <c r="AA239" s="30">
        <f t="array" aca="1" ref="AA239" ca="1">INDIRECT("'"&amp;$A239&amp;"'!X8")</f>
        <v>0</v>
      </c>
      <c r="AB239" s="30">
        <f t="array" aca="1" ref="AB239" ca="1">INDIRECT("'"&amp;$A239&amp;"'!Y8")</f>
        <v>0</v>
      </c>
      <c r="AC239" s="30">
        <f t="array" aca="1" ref="AC239" ca="1">INDIRECT("'"&amp;$A239&amp;"'!Z8")</f>
        <v>0</v>
      </c>
      <c r="AD239" s="31">
        <f t="array" aca="1" ref="AD239" ca="1">INDIRECT("'"&amp;$A239&amp;"'!AA8")</f>
        <v>0</v>
      </c>
      <c r="AE239" s="81">
        <f t="array" aca="1" ref="AE239" ca="1">INDIRECT("'"&amp;$A240&amp;"'!J2")</f>
        <v>0</v>
      </c>
      <c r="AF239" s="53" t="str">
        <f t="array" aca="1" ref="AF239" ca="1">INDIRECT("'"&amp;$A240&amp;"'!AD1")</f>
        <v/>
      </c>
    </row>
    <row r="240" spans="1:32">
      <c r="A240" s="58">
        <v>80</v>
      </c>
      <c r="B240" s="106"/>
      <c r="C240" s="67" t="str">
        <f t="array" aca="1" ref="C240" ca="1">CONCATENATE("粮 ",INDIRECT("'"&amp;$A240&amp;"'!D4"))</f>
        <v>粮 133200</v>
      </c>
      <c r="D240" s="55" t="s">
        <v>7</v>
      </c>
      <c r="E240" s="82">
        <f t="array" aca="1" ref="E240" ca="1">INDIRECT("'"&amp;$A240&amp;"'!I3")</f>
        <v>18</v>
      </c>
      <c r="F240" s="52">
        <f t="array" aca="1" ref="F240" ca="1">INDIRECT("'"&amp;$A240&amp;"'!C11")</f>
        <v>0</v>
      </c>
      <c r="G240" s="3">
        <f t="array" aca="1" ref="G240" ca="1">INDIRECT("'"&amp;$A240&amp;"'!D11")</f>
        <v>0</v>
      </c>
      <c r="H240" s="3">
        <f t="array" aca="1" ref="H240" ca="1">INDIRECT("'"&amp;$A240&amp;"'!E11")</f>
        <v>0</v>
      </c>
      <c r="I240" s="3">
        <f t="array" aca="1" ref="I240" ca="1">INDIRECT("'"&amp;$A240&amp;"'!F11")</f>
        <v>0</v>
      </c>
      <c r="J240" s="3">
        <f t="array" aca="1" ref="J240" ca="1">INDIRECT("'"&amp;$A240&amp;"'!G11")</f>
        <v>0</v>
      </c>
      <c r="K240" s="3">
        <f t="array" aca="1" ref="K240" ca="1">INDIRECT("'"&amp;$A240&amp;"'!H11")</f>
        <v>0</v>
      </c>
      <c r="L240" s="3">
        <f t="array" aca="1" ref="L240" ca="1">INDIRECT("'"&amp;$A240&amp;"'!I11")</f>
        <v>0</v>
      </c>
      <c r="M240" s="3">
        <f t="array" aca="1" ref="M240" ca="1">INDIRECT("'"&amp;$A240&amp;"'!J11")</f>
        <v>0</v>
      </c>
      <c r="N240" s="3">
        <f t="array" aca="1" ref="N240" ca="1">INDIRECT("'"&amp;$A240&amp;"'!K11")</f>
        <v>0</v>
      </c>
      <c r="O240" s="3">
        <f t="array" aca="1" ref="O240" ca="1">INDIRECT("'"&amp;$A240&amp;"'!L11")</f>
        <v>0</v>
      </c>
      <c r="P240" s="3">
        <f t="array" aca="1" ref="P240" ca="1">INDIRECT("'"&amp;$A240&amp;"'!M11")</f>
        <v>0</v>
      </c>
      <c r="Q240" s="3">
        <f t="array" aca="1" ref="Q240" ca="1">INDIRECT("'"&amp;$A240&amp;"'!N11")</f>
        <v>0</v>
      </c>
      <c r="R240" s="3">
        <f t="array" aca="1" ref="R240" ca="1">INDIRECT("'"&amp;$A240&amp;"'!O11")</f>
        <v>0</v>
      </c>
      <c r="S240" s="3">
        <f t="array" aca="1" ref="S240" ca="1">INDIRECT("'"&amp;$A240&amp;"'!P11")</f>
        <v>0</v>
      </c>
      <c r="T240" s="3">
        <f t="array" aca="1" ref="T240" ca="1">INDIRECT("'"&amp;$A240&amp;"'!Q11")</f>
        <v>0</v>
      </c>
      <c r="U240" s="3">
        <f t="array" aca="1" ref="U240" ca="1">INDIRECT("'"&amp;$A240&amp;"'!R11")</f>
        <v>0</v>
      </c>
      <c r="V240" s="3">
        <f t="array" aca="1" ref="V240" ca="1">INDIRECT("'"&amp;$A240&amp;"'!S11")</f>
        <v>0</v>
      </c>
      <c r="W240" s="3">
        <f t="array" aca="1" ref="W240" ca="1">INDIRECT("'"&amp;$A240&amp;"'!T11")</f>
        <v>0</v>
      </c>
      <c r="X240" s="3">
        <f t="array" aca="1" ref="X240" ca="1">INDIRECT("'"&amp;$A240&amp;"'!U11")</f>
        <v>0</v>
      </c>
      <c r="Y240" s="3">
        <f t="array" aca="1" ref="Y240" ca="1">INDIRECT("'"&amp;$A240&amp;"'!V11")</f>
        <v>0</v>
      </c>
      <c r="Z240" s="3">
        <f t="array" aca="1" ref="Z240" ca="1">INDIRECT("'"&amp;$A240&amp;"'!W11")</f>
        <v>0</v>
      </c>
      <c r="AA240" s="3">
        <f t="array" aca="1" ref="AA240" ca="1">INDIRECT("'"&amp;$A240&amp;"'!X11")</f>
        <v>0</v>
      </c>
      <c r="AB240" s="3">
        <f t="array" aca="1" ref="AB240" ca="1">INDIRECT("'"&amp;$A240&amp;"'!Y11")</f>
        <v>0</v>
      </c>
      <c r="AC240" s="3">
        <f t="array" aca="1" ref="AC240" ca="1">INDIRECT("'"&amp;$A240&amp;"'!Z11")</f>
        <v>0</v>
      </c>
      <c r="AD240" s="32">
        <f t="array" aca="1" ref="AD240" ca="1">INDIRECT("'"&amp;$A240&amp;"'!AA11")</f>
        <v>0</v>
      </c>
      <c r="AE240" s="82">
        <f t="array" aca="1" ref="AE240" ca="1">INDIRECT("'"&amp;$A240&amp;"'!J3")</f>
        <v>0</v>
      </c>
      <c r="AF240" s="53" t="str">
        <f t="array" aca="1" ref="AF240" ca="1">INDIRECT("'"&amp;$A240&amp;"'!AC1")</f>
        <v/>
      </c>
    </row>
    <row r="241" spans="1:32" ht="15.75" customHeight="1" thickBot="1">
      <c r="A241" s="58">
        <v>80</v>
      </c>
      <c r="B241" s="107"/>
      <c r="C241" s="77" t="str">
        <f t="array" aca="1" ref="C241" ca="1">CONCATENATE("分 ",INDIRECT("'"&amp;$A240&amp;"'!D6"))</f>
        <v>分 0</v>
      </c>
      <c r="D241" s="56" t="s">
        <v>8</v>
      </c>
      <c r="E241" s="83">
        <f t="array" aca="1" ref="E241" ca="1">INDIRECT("'"&amp;$A240&amp;"'!I4")</f>
        <v>18</v>
      </c>
      <c r="F241" s="52">
        <f t="array" aca="1" ref="F241" ca="1">INDIRECT("'"&amp;$A241&amp;"'!C14")</f>
        <v>0</v>
      </c>
      <c r="G241" s="3">
        <f t="array" aca="1" ref="G241" ca="1">INDIRECT("'"&amp;$A241&amp;"'!D14")</f>
        <v>0</v>
      </c>
      <c r="H241" s="3">
        <f t="array" aca="1" ref="H241" ca="1">INDIRECT("'"&amp;$A241&amp;"'!E14")</f>
        <v>0</v>
      </c>
      <c r="I241" s="3">
        <f t="array" aca="1" ref="I241" ca="1">INDIRECT("'"&amp;$A241&amp;"'!F14")</f>
        <v>0</v>
      </c>
      <c r="J241" s="3">
        <f t="array" aca="1" ref="J241" ca="1">INDIRECT("'"&amp;$A241&amp;"'!G14")</f>
        <v>0</v>
      </c>
      <c r="K241" s="3">
        <f t="array" aca="1" ref="K241" ca="1">INDIRECT("'"&amp;$A241&amp;"'!H14")</f>
        <v>0</v>
      </c>
      <c r="L241" s="3">
        <f t="array" aca="1" ref="L241" ca="1">INDIRECT("'"&amp;$A241&amp;"'!I14")</f>
        <v>0</v>
      </c>
      <c r="M241" s="3">
        <f t="array" aca="1" ref="M241" ca="1">INDIRECT("'"&amp;$A241&amp;"'!J14")</f>
        <v>0</v>
      </c>
      <c r="N241" s="3">
        <f t="array" aca="1" ref="N241" ca="1">INDIRECT("'"&amp;$A241&amp;"'!K14")</f>
        <v>0</v>
      </c>
      <c r="O241" s="3">
        <f t="array" aca="1" ref="O241" ca="1">INDIRECT("'"&amp;$A241&amp;"'!L14")</f>
        <v>0</v>
      </c>
      <c r="P241" s="3">
        <f t="array" aca="1" ref="P241" ca="1">INDIRECT("'"&amp;$A241&amp;"'!M14")</f>
        <v>0</v>
      </c>
      <c r="Q241" s="3">
        <f t="array" aca="1" ref="Q241" ca="1">INDIRECT("'"&amp;$A241&amp;"'!N14")</f>
        <v>0</v>
      </c>
      <c r="R241" s="3">
        <f t="array" aca="1" ref="R241" ca="1">INDIRECT("'"&amp;$A241&amp;"'!O14")</f>
        <v>0</v>
      </c>
      <c r="S241" s="3">
        <f t="array" aca="1" ref="S241" ca="1">INDIRECT("'"&amp;$A241&amp;"'!P14")</f>
        <v>0</v>
      </c>
      <c r="T241" s="3">
        <f t="array" aca="1" ref="T241" ca="1">INDIRECT("'"&amp;$A241&amp;"'!Q14")</f>
        <v>0</v>
      </c>
      <c r="U241" s="3">
        <f t="array" aca="1" ref="U241" ca="1">INDIRECT("'"&amp;$A241&amp;"'!R14")</f>
        <v>0</v>
      </c>
      <c r="V241" s="3">
        <f t="array" aca="1" ref="V241" ca="1">INDIRECT("'"&amp;$A241&amp;"'!S14")</f>
        <v>0</v>
      </c>
      <c r="W241" s="3">
        <f t="array" aca="1" ref="W241" ca="1">INDIRECT("'"&amp;$A241&amp;"'!T14")</f>
        <v>0</v>
      </c>
      <c r="X241" s="3">
        <f t="array" aca="1" ref="X241" ca="1">INDIRECT("'"&amp;$A241&amp;"'!U14")</f>
        <v>0</v>
      </c>
      <c r="Y241" s="3">
        <f t="array" aca="1" ref="Y241" ca="1">INDIRECT("'"&amp;$A241&amp;"'!V14")</f>
        <v>0</v>
      </c>
      <c r="Z241" s="3">
        <f t="array" aca="1" ref="Z241" ca="1">INDIRECT("'"&amp;$A241&amp;"'!W14")</f>
        <v>0</v>
      </c>
      <c r="AA241" s="3">
        <f t="array" aca="1" ref="AA241" ca="1">INDIRECT("'"&amp;$A241&amp;"'!X14")</f>
        <v>0</v>
      </c>
      <c r="AB241" s="3">
        <f t="array" aca="1" ref="AB241" ca="1">INDIRECT("'"&amp;$A241&amp;"'!Y14")</f>
        <v>0</v>
      </c>
      <c r="AC241" s="3">
        <f t="array" aca="1" ref="AC241" ca="1">INDIRECT("'"&amp;$A241&amp;"'!Z14")</f>
        <v>0</v>
      </c>
      <c r="AD241" s="32">
        <f t="array" aca="1" ref="AD241" ca="1">INDIRECT("'"&amp;$A241&amp;"'!AA14")</f>
        <v>0</v>
      </c>
      <c r="AE241" s="83">
        <f t="array" aca="1" ref="AE241" ca="1">INDIRECT("'"&amp;$A240&amp;"'!J4")</f>
        <v>0</v>
      </c>
      <c r="AF241" s="53"/>
    </row>
    <row r="242" spans="1:32">
      <c r="A242" s="58">
        <v>81</v>
      </c>
      <c r="B242" s="105">
        <f>INDEX(data!$I$2:$I$91,MATCH(A242*1,data!$G$2:$G$91,0))</f>
        <v>46265</v>
      </c>
      <c r="C242" s="66" t="str">
        <f>HYPERLINK("#'" &amp; A242 &amp; "'!A1", "编辑")</f>
        <v>编辑</v>
      </c>
      <c r="D242" s="54" t="s">
        <v>6</v>
      </c>
      <c r="E242" s="81">
        <f t="array" aca="1" ref="E242" ca="1">INDIRECT("'"&amp;$A243&amp;"'!I2")</f>
        <v>18</v>
      </c>
      <c r="F242" s="29">
        <f t="array" aca="1" ref="F242" ca="1">INDIRECT("'"&amp;$A242&amp;"'!C8")</f>
        <v>0</v>
      </c>
      <c r="G242" s="30">
        <f t="array" aca="1" ref="G242" ca="1">INDIRECT("'"&amp;$A242&amp;"'!D8")</f>
        <v>0</v>
      </c>
      <c r="H242" s="30">
        <f t="array" aca="1" ref="H242" ca="1">INDIRECT("'"&amp;$A242&amp;"'!E8")</f>
        <v>0</v>
      </c>
      <c r="I242" s="30">
        <f t="array" aca="1" ref="I242" ca="1">INDIRECT("'"&amp;$A242&amp;"'!F8")</f>
        <v>0</v>
      </c>
      <c r="J242" s="30">
        <f t="array" aca="1" ref="J242" ca="1">INDIRECT("'"&amp;$A242&amp;"'!G8")</f>
        <v>0</v>
      </c>
      <c r="K242" s="30">
        <f t="array" aca="1" ref="K242" ca="1">INDIRECT("'"&amp;$A242&amp;"'!H8")</f>
        <v>0</v>
      </c>
      <c r="L242" s="30">
        <f t="array" aca="1" ref="L242" ca="1">INDIRECT("'"&amp;$A242&amp;"'!I8")</f>
        <v>0</v>
      </c>
      <c r="M242" s="30">
        <f t="array" aca="1" ref="M242" ca="1">INDIRECT("'"&amp;$A242&amp;"'!J8")</f>
        <v>0</v>
      </c>
      <c r="N242" s="30">
        <f t="array" aca="1" ref="N242" ca="1">INDIRECT("'"&amp;$A242&amp;"'!K8")</f>
        <v>0</v>
      </c>
      <c r="O242" s="30">
        <f t="array" aca="1" ref="O242" ca="1">INDIRECT("'"&amp;$A242&amp;"'!L8")</f>
        <v>0</v>
      </c>
      <c r="P242" s="30">
        <f t="array" aca="1" ref="P242" ca="1">INDIRECT("'"&amp;$A242&amp;"'!M8")</f>
        <v>0</v>
      </c>
      <c r="Q242" s="30">
        <f t="array" aca="1" ref="Q242" ca="1">INDIRECT("'"&amp;$A242&amp;"'!N8")</f>
        <v>0</v>
      </c>
      <c r="R242" s="30">
        <f t="array" aca="1" ref="R242" ca="1">INDIRECT("'"&amp;$A242&amp;"'!O8")</f>
        <v>0</v>
      </c>
      <c r="S242" s="30">
        <f t="array" aca="1" ref="S242" ca="1">INDIRECT("'"&amp;$A242&amp;"'!P8")</f>
        <v>0</v>
      </c>
      <c r="T242" s="30">
        <f t="array" aca="1" ref="T242" ca="1">INDIRECT("'"&amp;$A242&amp;"'!Q8")</f>
        <v>0</v>
      </c>
      <c r="U242" s="30">
        <f t="array" aca="1" ref="U242" ca="1">INDIRECT("'"&amp;$A242&amp;"'!R8")</f>
        <v>0</v>
      </c>
      <c r="V242" s="30">
        <f t="array" aca="1" ref="V242" ca="1">INDIRECT("'"&amp;$A242&amp;"'!S8")</f>
        <v>0</v>
      </c>
      <c r="W242" s="30">
        <f t="array" aca="1" ref="W242" ca="1">INDIRECT("'"&amp;$A242&amp;"'!T8")</f>
        <v>0</v>
      </c>
      <c r="X242" s="30">
        <f t="array" aca="1" ref="X242" ca="1">INDIRECT("'"&amp;$A242&amp;"'!U8")</f>
        <v>0</v>
      </c>
      <c r="Y242" s="30">
        <f t="array" aca="1" ref="Y242" ca="1">INDIRECT("'"&amp;$A242&amp;"'!V8")</f>
        <v>0</v>
      </c>
      <c r="Z242" s="30">
        <f t="array" aca="1" ref="Z242" ca="1">INDIRECT("'"&amp;$A242&amp;"'!W8")</f>
        <v>0</v>
      </c>
      <c r="AA242" s="30">
        <f t="array" aca="1" ref="AA242" ca="1">INDIRECT("'"&amp;$A242&amp;"'!X8")</f>
        <v>0</v>
      </c>
      <c r="AB242" s="30">
        <f t="array" aca="1" ref="AB242" ca="1">INDIRECT("'"&amp;$A242&amp;"'!Y8")</f>
        <v>0</v>
      </c>
      <c r="AC242" s="30">
        <f t="array" aca="1" ref="AC242" ca="1">INDIRECT("'"&amp;$A242&amp;"'!Z8")</f>
        <v>0</v>
      </c>
      <c r="AD242" s="31">
        <f t="array" aca="1" ref="AD242" ca="1">INDIRECT("'"&amp;$A242&amp;"'!AA8")</f>
        <v>0</v>
      </c>
      <c r="AE242" s="81">
        <f t="array" aca="1" ref="AE242" ca="1">INDIRECT("'"&amp;$A243&amp;"'!J2")</f>
        <v>0</v>
      </c>
      <c r="AF242" s="53" t="str">
        <f t="array" aca="1" ref="AF242" ca="1">INDIRECT("'"&amp;$A243&amp;"'!AD1")</f>
        <v/>
      </c>
    </row>
    <row r="243" spans="1:32">
      <c r="A243" s="58">
        <v>81</v>
      </c>
      <c r="B243" s="106"/>
      <c r="C243" s="67" t="str">
        <f t="array" aca="1" ref="C243" ca="1">CONCATENATE("粮 ",INDIRECT("'"&amp;$A243&amp;"'!D4"))</f>
        <v>粮 134800</v>
      </c>
      <c r="D243" s="55" t="s">
        <v>7</v>
      </c>
      <c r="E243" s="82">
        <f t="array" aca="1" ref="E243" ca="1">INDIRECT("'"&amp;$A243&amp;"'!I3")</f>
        <v>18</v>
      </c>
      <c r="F243" s="52">
        <f t="array" aca="1" ref="F243" ca="1">INDIRECT("'"&amp;$A243&amp;"'!C11")</f>
        <v>0</v>
      </c>
      <c r="G243" s="3">
        <f t="array" aca="1" ref="G243" ca="1">INDIRECT("'"&amp;$A243&amp;"'!D11")</f>
        <v>0</v>
      </c>
      <c r="H243" s="3">
        <f t="array" aca="1" ref="H243" ca="1">INDIRECT("'"&amp;$A243&amp;"'!E11")</f>
        <v>0</v>
      </c>
      <c r="I243" s="3">
        <f t="array" aca="1" ref="I243" ca="1">INDIRECT("'"&amp;$A243&amp;"'!F11")</f>
        <v>0</v>
      </c>
      <c r="J243" s="3">
        <f t="array" aca="1" ref="J243" ca="1">INDIRECT("'"&amp;$A243&amp;"'!G11")</f>
        <v>0</v>
      </c>
      <c r="K243" s="3">
        <f t="array" aca="1" ref="K243" ca="1">INDIRECT("'"&amp;$A243&amp;"'!H11")</f>
        <v>0</v>
      </c>
      <c r="L243" s="3">
        <f t="array" aca="1" ref="L243" ca="1">INDIRECT("'"&amp;$A243&amp;"'!I11")</f>
        <v>0</v>
      </c>
      <c r="M243" s="3">
        <f t="array" aca="1" ref="M243" ca="1">INDIRECT("'"&amp;$A243&amp;"'!J11")</f>
        <v>0</v>
      </c>
      <c r="N243" s="3">
        <f t="array" aca="1" ref="N243" ca="1">INDIRECT("'"&amp;$A243&amp;"'!K11")</f>
        <v>0</v>
      </c>
      <c r="O243" s="3">
        <f t="array" aca="1" ref="O243" ca="1">INDIRECT("'"&amp;$A243&amp;"'!L11")</f>
        <v>0</v>
      </c>
      <c r="P243" s="3">
        <f t="array" aca="1" ref="P243" ca="1">INDIRECT("'"&amp;$A243&amp;"'!M11")</f>
        <v>0</v>
      </c>
      <c r="Q243" s="3">
        <f t="array" aca="1" ref="Q243" ca="1">INDIRECT("'"&amp;$A243&amp;"'!N11")</f>
        <v>0</v>
      </c>
      <c r="R243" s="3">
        <f t="array" aca="1" ref="R243" ca="1">INDIRECT("'"&amp;$A243&amp;"'!O11")</f>
        <v>0</v>
      </c>
      <c r="S243" s="3">
        <f t="array" aca="1" ref="S243" ca="1">INDIRECT("'"&amp;$A243&amp;"'!P11")</f>
        <v>0</v>
      </c>
      <c r="T243" s="3">
        <f t="array" aca="1" ref="T243" ca="1">INDIRECT("'"&amp;$A243&amp;"'!Q11")</f>
        <v>0</v>
      </c>
      <c r="U243" s="3">
        <f t="array" aca="1" ref="U243" ca="1">INDIRECT("'"&amp;$A243&amp;"'!R11")</f>
        <v>0</v>
      </c>
      <c r="V243" s="3">
        <f t="array" aca="1" ref="V243" ca="1">INDIRECT("'"&amp;$A243&amp;"'!S11")</f>
        <v>0</v>
      </c>
      <c r="W243" s="3">
        <f t="array" aca="1" ref="W243" ca="1">INDIRECT("'"&amp;$A243&amp;"'!T11")</f>
        <v>0</v>
      </c>
      <c r="X243" s="3">
        <f t="array" aca="1" ref="X243" ca="1">INDIRECT("'"&amp;$A243&amp;"'!U11")</f>
        <v>0</v>
      </c>
      <c r="Y243" s="3">
        <f t="array" aca="1" ref="Y243" ca="1">INDIRECT("'"&amp;$A243&amp;"'!V11")</f>
        <v>0</v>
      </c>
      <c r="Z243" s="3">
        <f t="array" aca="1" ref="Z243" ca="1">INDIRECT("'"&amp;$A243&amp;"'!W11")</f>
        <v>0</v>
      </c>
      <c r="AA243" s="3">
        <f t="array" aca="1" ref="AA243" ca="1">INDIRECT("'"&amp;$A243&amp;"'!X11")</f>
        <v>0</v>
      </c>
      <c r="AB243" s="3">
        <f t="array" aca="1" ref="AB243" ca="1">INDIRECT("'"&amp;$A243&amp;"'!Y11")</f>
        <v>0</v>
      </c>
      <c r="AC243" s="3">
        <f t="array" aca="1" ref="AC243" ca="1">INDIRECT("'"&amp;$A243&amp;"'!Z11")</f>
        <v>0</v>
      </c>
      <c r="AD243" s="32">
        <f t="array" aca="1" ref="AD243" ca="1">INDIRECT("'"&amp;$A243&amp;"'!AA11")</f>
        <v>0</v>
      </c>
      <c r="AE243" s="82">
        <f t="array" aca="1" ref="AE243" ca="1">INDIRECT("'"&amp;$A243&amp;"'!J3")</f>
        <v>0</v>
      </c>
      <c r="AF243" s="53" t="str">
        <f t="array" aca="1" ref="AF243" ca="1">INDIRECT("'"&amp;$A243&amp;"'!AC1")</f>
        <v/>
      </c>
    </row>
    <row r="244" spans="1:32" ht="15.75" customHeight="1" thickBot="1">
      <c r="A244" s="58">
        <v>81</v>
      </c>
      <c r="B244" s="107"/>
      <c r="C244" s="77" t="str">
        <f t="array" aca="1" ref="C244" ca="1">CONCATENATE("分 ",INDIRECT("'"&amp;$A243&amp;"'!D6"))</f>
        <v>分 0</v>
      </c>
      <c r="D244" s="56" t="s">
        <v>8</v>
      </c>
      <c r="E244" s="83">
        <f t="array" aca="1" ref="E244" ca="1">INDIRECT("'"&amp;$A243&amp;"'!I4")</f>
        <v>18</v>
      </c>
      <c r="F244" s="52">
        <f t="array" aca="1" ref="F244" ca="1">INDIRECT("'"&amp;$A244&amp;"'!C14")</f>
        <v>0</v>
      </c>
      <c r="G244" s="3">
        <f t="array" aca="1" ref="G244" ca="1">INDIRECT("'"&amp;$A244&amp;"'!D14")</f>
        <v>0</v>
      </c>
      <c r="H244" s="3">
        <f t="array" aca="1" ref="H244" ca="1">INDIRECT("'"&amp;$A244&amp;"'!E14")</f>
        <v>0</v>
      </c>
      <c r="I244" s="3">
        <f t="array" aca="1" ref="I244" ca="1">INDIRECT("'"&amp;$A244&amp;"'!F14")</f>
        <v>0</v>
      </c>
      <c r="J244" s="3">
        <f t="array" aca="1" ref="J244" ca="1">INDIRECT("'"&amp;$A244&amp;"'!G14")</f>
        <v>0</v>
      </c>
      <c r="K244" s="3">
        <f t="array" aca="1" ref="K244" ca="1">INDIRECT("'"&amp;$A244&amp;"'!H14")</f>
        <v>0</v>
      </c>
      <c r="L244" s="3">
        <f t="array" aca="1" ref="L244" ca="1">INDIRECT("'"&amp;$A244&amp;"'!I14")</f>
        <v>0</v>
      </c>
      <c r="M244" s="3">
        <f t="array" aca="1" ref="M244" ca="1">INDIRECT("'"&amp;$A244&amp;"'!J14")</f>
        <v>0</v>
      </c>
      <c r="N244" s="3">
        <f t="array" aca="1" ref="N244" ca="1">INDIRECT("'"&amp;$A244&amp;"'!K14")</f>
        <v>0</v>
      </c>
      <c r="O244" s="3">
        <f t="array" aca="1" ref="O244" ca="1">INDIRECT("'"&amp;$A244&amp;"'!L14")</f>
        <v>0</v>
      </c>
      <c r="P244" s="3">
        <f t="array" aca="1" ref="P244" ca="1">INDIRECT("'"&amp;$A244&amp;"'!M14")</f>
        <v>0</v>
      </c>
      <c r="Q244" s="3">
        <f t="array" aca="1" ref="Q244" ca="1">INDIRECT("'"&amp;$A244&amp;"'!N14")</f>
        <v>0</v>
      </c>
      <c r="R244" s="3">
        <f t="array" aca="1" ref="R244" ca="1">INDIRECT("'"&amp;$A244&amp;"'!O14")</f>
        <v>0</v>
      </c>
      <c r="S244" s="3">
        <f t="array" aca="1" ref="S244" ca="1">INDIRECT("'"&amp;$A244&amp;"'!P14")</f>
        <v>0</v>
      </c>
      <c r="T244" s="3">
        <f t="array" aca="1" ref="T244" ca="1">INDIRECT("'"&amp;$A244&amp;"'!Q14")</f>
        <v>0</v>
      </c>
      <c r="U244" s="3">
        <f t="array" aca="1" ref="U244" ca="1">INDIRECT("'"&amp;$A244&amp;"'!R14")</f>
        <v>0</v>
      </c>
      <c r="V244" s="3">
        <f t="array" aca="1" ref="V244" ca="1">INDIRECT("'"&amp;$A244&amp;"'!S14")</f>
        <v>0</v>
      </c>
      <c r="W244" s="3">
        <f t="array" aca="1" ref="W244" ca="1">INDIRECT("'"&amp;$A244&amp;"'!T14")</f>
        <v>0</v>
      </c>
      <c r="X244" s="3">
        <f t="array" aca="1" ref="X244" ca="1">INDIRECT("'"&amp;$A244&amp;"'!U14")</f>
        <v>0</v>
      </c>
      <c r="Y244" s="3">
        <f t="array" aca="1" ref="Y244" ca="1">INDIRECT("'"&amp;$A244&amp;"'!V14")</f>
        <v>0</v>
      </c>
      <c r="Z244" s="3">
        <f t="array" aca="1" ref="Z244" ca="1">INDIRECT("'"&amp;$A244&amp;"'!W14")</f>
        <v>0</v>
      </c>
      <c r="AA244" s="3">
        <f t="array" aca="1" ref="AA244" ca="1">INDIRECT("'"&amp;$A244&amp;"'!X14")</f>
        <v>0</v>
      </c>
      <c r="AB244" s="3">
        <f t="array" aca="1" ref="AB244" ca="1">INDIRECT("'"&amp;$A244&amp;"'!Y14")</f>
        <v>0</v>
      </c>
      <c r="AC244" s="3">
        <f t="array" aca="1" ref="AC244" ca="1">INDIRECT("'"&amp;$A244&amp;"'!Z14")</f>
        <v>0</v>
      </c>
      <c r="AD244" s="32">
        <f t="array" aca="1" ref="AD244" ca="1">INDIRECT("'"&amp;$A244&amp;"'!AA14")</f>
        <v>0</v>
      </c>
      <c r="AE244" s="83">
        <f t="array" aca="1" ref="AE244" ca="1">INDIRECT("'"&amp;$A243&amp;"'!J4")</f>
        <v>0</v>
      </c>
      <c r="AF244" s="53"/>
    </row>
    <row r="245" spans="1:32">
      <c r="A245" s="58">
        <v>82</v>
      </c>
      <c r="B245" s="105">
        <f>INDEX(data!$I$2:$I$91,MATCH(A245*1,data!$G$2:$G$91,0))</f>
        <v>46266</v>
      </c>
      <c r="C245" s="66" t="str">
        <f>HYPERLINK("#'" &amp; A245 &amp; "'!A1", "编辑")</f>
        <v>编辑</v>
      </c>
      <c r="D245" s="54" t="s">
        <v>6</v>
      </c>
      <c r="E245" s="81">
        <f t="array" aca="1" ref="E245" ca="1">INDIRECT("'"&amp;$A246&amp;"'!I2")</f>
        <v>18</v>
      </c>
      <c r="F245" s="29">
        <f t="array" aca="1" ref="F245" ca="1">INDIRECT("'"&amp;$A245&amp;"'!C8")</f>
        <v>0</v>
      </c>
      <c r="G245" s="30">
        <f t="array" aca="1" ref="G245" ca="1">INDIRECT("'"&amp;$A245&amp;"'!D8")</f>
        <v>0</v>
      </c>
      <c r="H245" s="30">
        <f t="array" aca="1" ref="H245" ca="1">INDIRECT("'"&amp;$A245&amp;"'!E8")</f>
        <v>0</v>
      </c>
      <c r="I245" s="30">
        <f t="array" aca="1" ref="I245" ca="1">INDIRECT("'"&amp;$A245&amp;"'!F8")</f>
        <v>0</v>
      </c>
      <c r="J245" s="30">
        <f t="array" aca="1" ref="J245" ca="1">INDIRECT("'"&amp;$A245&amp;"'!G8")</f>
        <v>0</v>
      </c>
      <c r="K245" s="30">
        <f t="array" aca="1" ref="K245" ca="1">INDIRECT("'"&amp;$A245&amp;"'!H8")</f>
        <v>0</v>
      </c>
      <c r="L245" s="30">
        <f t="array" aca="1" ref="L245" ca="1">INDIRECT("'"&amp;$A245&amp;"'!I8")</f>
        <v>0</v>
      </c>
      <c r="M245" s="30">
        <f t="array" aca="1" ref="M245" ca="1">INDIRECT("'"&amp;$A245&amp;"'!J8")</f>
        <v>0</v>
      </c>
      <c r="N245" s="30">
        <f t="array" aca="1" ref="N245" ca="1">INDIRECT("'"&amp;$A245&amp;"'!K8")</f>
        <v>0</v>
      </c>
      <c r="O245" s="30">
        <f t="array" aca="1" ref="O245" ca="1">INDIRECT("'"&amp;$A245&amp;"'!L8")</f>
        <v>0</v>
      </c>
      <c r="P245" s="30">
        <f t="array" aca="1" ref="P245" ca="1">INDIRECT("'"&amp;$A245&amp;"'!M8")</f>
        <v>0</v>
      </c>
      <c r="Q245" s="30">
        <f t="array" aca="1" ref="Q245" ca="1">INDIRECT("'"&amp;$A245&amp;"'!N8")</f>
        <v>0</v>
      </c>
      <c r="R245" s="30">
        <f t="array" aca="1" ref="R245" ca="1">INDIRECT("'"&amp;$A245&amp;"'!O8")</f>
        <v>0</v>
      </c>
      <c r="S245" s="30">
        <f t="array" aca="1" ref="S245" ca="1">INDIRECT("'"&amp;$A245&amp;"'!P8")</f>
        <v>0</v>
      </c>
      <c r="T245" s="30">
        <f t="array" aca="1" ref="T245" ca="1">INDIRECT("'"&amp;$A245&amp;"'!Q8")</f>
        <v>0</v>
      </c>
      <c r="U245" s="30">
        <f t="array" aca="1" ref="U245" ca="1">INDIRECT("'"&amp;$A245&amp;"'!R8")</f>
        <v>0</v>
      </c>
      <c r="V245" s="30">
        <f t="array" aca="1" ref="V245" ca="1">INDIRECT("'"&amp;$A245&amp;"'!S8")</f>
        <v>0</v>
      </c>
      <c r="W245" s="30">
        <f t="array" aca="1" ref="W245" ca="1">INDIRECT("'"&amp;$A245&amp;"'!T8")</f>
        <v>0</v>
      </c>
      <c r="X245" s="30">
        <f t="array" aca="1" ref="X245" ca="1">INDIRECT("'"&amp;$A245&amp;"'!U8")</f>
        <v>0</v>
      </c>
      <c r="Y245" s="30">
        <f t="array" aca="1" ref="Y245" ca="1">INDIRECT("'"&amp;$A245&amp;"'!V8")</f>
        <v>0</v>
      </c>
      <c r="Z245" s="30">
        <f t="array" aca="1" ref="Z245" ca="1">INDIRECT("'"&amp;$A245&amp;"'!W8")</f>
        <v>0</v>
      </c>
      <c r="AA245" s="30">
        <f t="array" aca="1" ref="AA245" ca="1">INDIRECT("'"&amp;$A245&amp;"'!X8")</f>
        <v>0</v>
      </c>
      <c r="AB245" s="30">
        <f t="array" aca="1" ref="AB245" ca="1">INDIRECT("'"&amp;$A245&amp;"'!Y8")</f>
        <v>0</v>
      </c>
      <c r="AC245" s="30">
        <f t="array" aca="1" ref="AC245" ca="1">INDIRECT("'"&amp;$A245&amp;"'!Z8")</f>
        <v>0</v>
      </c>
      <c r="AD245" s="31">
        <f t="array" aca="1" ref="AD245" ca="1">INDIRECT("'"&amp;$A245&amp;"'!AA8")</f>
        <v>0</v>
      </c>
      <c r="AE245" s="81">
        <f t="array" aca="1" ref="AE245" ca="1">INDIRECT("'"&amp;$A246&amp;"'!J2")</f>
        <v>0</v>
      </c>
      <c r="AF245" s="53" t="str">
        <f t="array" aca="1" ref="AF245" ca="1">INDIRECT("'"&amp;$A246&amp;"'!AD1")</f>
        <v/>
      </c>
    </row>
    <row r="246" spans="1:32">
      <c r="A246" s="58">
        <v>82</v>
      </c>
      <c r="B246" s="106"/>
      <c r="C246" s="67" t="str">
        <f t="array" aca="1" ref="C246" ca="1">CONCATENATE("粮 ",INDIRECT("'"&amp;$A246&amp;"'!D4"))</f>
        <v>粮 136400</v>
      </c>
      <c r="D246" s="55" t="s">
        <v>7</v>
      </c>
      <c r="E246" s="82">
        <f t="array" aca="1" ref="E246" ca="1">INDIRECT("'"&amp;$A246&amp;"'!I3")</f>
        <v>18</v>
      </c>
      <c r="F246" s="52">
        <f t="array" aca="1" ref="F246" ca="1">INDIRECT("'"&amp;$A246&amp;"'!C11")</f>
        <v>0</v>
      </c>
      <c r="G246" s="3">
        <f t="array" aca="1" ref="G246" ca="1">INDIRECT("'"&amp;$A246&amp;"'!D11")</f>
        <v>0</v>
      </c>
      <c r="H246" s="3">
        <f t="array" aca="1" ref="H246" ca="1">INDIRECT("'"&amp;$A246&amp;"'!E11")</f>
        <v>0</v>
      </c>
      <c r="I246" s="3">
        <f t="array" aca="1" ref="I246" ca="1">INDIRECT("'"&amp;$A246&amp;"'!F11")</f>
        <v>0</v>
      </c>
      <c r="J246" s="3">
        <f t="array" aca="1" ref="J246" ca="1">INDIRECT("'"&amp;$A246&amp;"'!G11")</f>
        <v>0</v>
      </c>
      <c r="K246" s="3">
        <f t="array" aca="1" ref="K246" ca="1">INDIRECT("'"&amp;$A246&amp;"'!H11")</f>
        <v>0</v>
      </c>
      <c r="L246" s="3">
        <f t="array" aca="1" ref="L246" ca="1">INDIRECT("'"&amp;$A246&amp;"'!I11")</f>
        <v>0</v>
      </c>
      <c r="M246" s="3">
        <f t="array" aca="1" ref="M246" ca="1">INDIRECT("'"&amp;$A246&amp;"'!J11")</f>
        <v>0</v>
      </c>
      <c r="N246" s="3">
        <f t="array" aca="1" ref="N246" ca="1">INDIRECT("'"&amp;$A246&amp;"'!K11")</f>
        <v>0</v>
      </c>
      <c r="O246" s="3">
        <f t="array" aca="1" ref="O246" ca="1">INDIRECT("'"&amp;$A246&amp;"'!L11")</f>
        <v>0</v>
      </c>
      <c r="P246" s="3">
        <f t="array" aca="1" ref="P246" ca="1">INDIRECT("'"&amp;$A246&amp;"'!M11")</f>
        <v>0</v>
      </c>
      <c r="Q246" s="3">
        <f t="array" aca="1" ref="Q246" ca="1">INDIRECT("'"&amp;$A246&amp;"'!N11")</f>
        <v>0</v>
      </c>
      <c r="R246" s="3">
        <f t="array" aca="1" ref="R246" ca="1">INDIRECT("'"&amp;$A246&amp;"'!O11")</f>
        <v>0</v>
      </c>
      <c r="S246" s="3">
        <f t="array" aca="1" ref="S246" ca="1">INDIRECT("'"&amp;$A246&amp;"'!P11")</f>
        <v>0</v>
      </c>
      <c r="T246" s="3">
        <f t="array" aca="1" ref="T246" ca="1">INDIRECT("'"&amp;$A246&amp;"'!Q11")</f>
        <v>0</v>
      </c>
      <c r="U246" s="3">
        <f t="array" aca="1" ref="U246" ca="1">INDIRECT("'"&amp;$A246&amp;"'!R11")</f>
        <v>0</v>
      </c>
      <c r="V246" s="3">
        <f t="array" aca="1" ref="V246" ca="1">INDIRECT("'"&amp;$A246&amp;"'!S11")</f>
        <v>0</v>
      </c>
      <c r="W246" s="3">
        <f t="array" aca="1" ref="W246" ca="1">INDIRECT("'"&amp;$A246&amp;"'!T11")</f>
        <v>0</v>
      </c>
      <c r="X246" s="3">
        <f t="array" aca="1" ref="X246" ca="1">INDIRECT("'"&amp;$A246&amp;"'!U11")</f>
        <v>0</v>
      </c>
      <c r="Y246" s="3">
        <f t="array" aca="1" ref="Y246" ca="1">INDIRECT("'"&amp;$A246&amp;"'!V11")</f>
        <v>0</v>
      </c>
      <c r="Z246" s="3">
        <f t="array" aca="1" ref="Z246" ca="1">INDIRECT("'"&amp;$A246&amp;"'!W11")</f>
        <v>0</v>
      </c>
      <c r="AA246" s="3">
        <f t="array" aca="1" ref="AA246" ca="1">INDIRECT("'"&amp;$A246&amp;"'!X11")</f>
        <v>0</v>
      </c>
      <c r="AB246" s="3">
        <f t="array" aca="1" ref="AB246" ca="1">INDIRECT("'"&amp;$A246&amp;"'!Y11")</f>
        <v>0</v>
      </c>
      <c r="AC246" s="3">
        <f t="array" aca="1" ref="AC246" ca="1">INDIRECT("'"&amp;$A246&amp;"'!Z11")</f>
        <v>0</v>
      </c>
      <c r="AD246" s="32">
        <f t="array" aca="1" ref="AD246" ca="1">INDIRECT("'"&amp;$A246&amp;"'!AA11")</f>
        <v>0</v>
      </c>
      <c r="AE246" s="82">
        <f t="array" aca="1" ref="AE246" ca="1">INDIRECT("'"&amp;$A246&amp;"'!J3")</f>
        <v>0</v>
      </c>
      <c r="AF246" s="53" t="str">
        <f t="array" aca="1" ref="AF246" ca="1">INDIRECT("'"&amp;$A246&amp;"'!AC1")</f>
        <v/>
      </c>
    </row>
    <row r="247" spans="1:32" ht="15.75" customHeight="1" thickBot="1">
      <c r="A247" s="58">
        <v>82</v>
      </c>
      <c r="B247" s="107"/>
      <c r="C247" s="77" t="str">
        <f t="array" aca="1" ref="C247" ca="1">CONCATENATE("分 ",INDIRECT("'"&amp;$A246&amp;"'!D6"))</f>
        <v>分 0</v>
      </c>
      <c r="D247" s="56" t="s">
        <v>8</v>
      </c>
      <c r="E247" s="83">
        <f t="array" aca="1" ref="E247" ca="1">INDIRECT("'"&amp;$A246&amp;"'!I4")</f>
        <v>18</v>
      </c>
      <c r="F247" s="52">
        <f t="array" aca="1" ref="F247" ca="1">INDIRECT("'"&amp;$A247&amp;"'!C14")</f>
        <v>0</v>
      </c>
      <c r="G247" s="3">
        <f t="array" aca="1" ref="G247" ca="1">INDIRECT("'"&amp;$A247&amp;"'!D14")</f>
        <v>0</v>
      </c>
      <c r="H247" s="3">
        <f t="array" aca="1" ref="H247" ca="1">INDIRECT("'"&amp;$A247&amp;"'!E14")</f>
        <v>0</v>
      </c>
      <c r="I247" s="3">
        <f t="array" aca="1" ref="I247" ca="1">INDIRECT("'"&amp;$A247&amp;"'!F14")</f>
        <v>0</v>
      </c>
      <c r="J247" s="3">
        <f t="array" aca="1" ref="J247" ca="1">INDIRECT("'"&amp;$A247&amp;"'!G14")</f>
        <v>0</v>
      </c>
      <c r="K247" s="3">
        <f t="array" aca="1" ref="K247" ca="1">INDIRECT("'"&amp;$A247&amp;"'!H14")</f>
        <v>0</v>
      </c>
      <c r="L247" s="3">
        <f t="array" aca="1" ref="L247" ca="1">INDIRECT("'"&amp;$A247&amp;"'!I14")</f>
        <v>0</v>
      </c>
      <c r="M247" s="3">
        <f t="array" aca="1" ref="M247" ca="1">INDIRECT("'"&amp;$A247&amp;"'!J14")</f>
        <v>0</v>
      </c>
      <c r="N247" s="3">
        <f t="array" aca="1" ref="N247" ca="1">INDIRECT("'"&amp;$A247&amp;"'!K14")</f>
        <v>0</v>
      </c>
      <c r="O247" s="3">
        <f t="array" aca="1" ref="O247" ca="1">INDIRECT("'"&amp;$A247&amp;"'!L14")</f>
        <v>0</v>
      </c>
      <c r="P247" s="3">
        <f t="array" aca="1" ref="P247" ca="1">INDIRECT("'"&amp;$A247&amp;"'!M14")</f>
        <v>0</v>
      </c>
      <c r="Q247" s="3">
        <f t="array" aca="1" ref="Q247" ca="1">INDIRECT("'"&amp;$A247&amp;"'!N14")</f>
        <v>0</v>
      </c>
      <c r="R247" s="3">
        <f t="array" aca="1" ref="R247" ca="1">INDIRECT("'"&amp;$A247&amp;"'!O14")</f>
        <v>0</v>
      </c>
      <c r="S247" s="3">
        <f t="array" aca="1" ref="S247" ca="1">INDIRECT("'"&amp;$A247&amp;"'!P14")</f>
        <v>0</v>
      </c>
      <c r="T247" s="3">
        <f t="array" aca="1" ref="T247" ca="1">INDIRECT("'"&amp;$A247&amp;"'!Q14")</f>
        <v>0</v>
      </c>
      <c r="U247" s="3">
        <f t="array" aca="1" ref="U247" ca="1">INDIRECT("'"&amp;$A247&amp;"'!R14")</f>
        <v>0</v>
      </c>
      <c r="V247" s="3">
        <f t="array" aca="1" ref="V247" ca="1">INDIRECT("'"&amp;$A247&amp;"'!S14")</f>
        <v>0</v>
      </c>
      <c r="W247" s="3">
        <f t="array" aca="1" ref="W247" ca="1">INDIRECT("'"&amp;$A247&amp;"'!T14")</f>
        <v>0</v>
      </c>
      <c r="X247" s="3">
        <f t="array" aca="1" ref="X247" ca="1">INDIRECT("'"&amp;$A247&amp;"'!U14")</f>
        <v>0</v>
      </c>
      <c r="Y247" s="3">
        <f t="array" aca="1" ref="Y247" ca="1">INDIRECT("'"&amp;$A247&amp;"'!V14")</f>
        <v>0</v>
      </c>
      <c r="Z247" s="3">
        <f t="array" aca="1" ref="Z247" ca="1">INDIRECT("'"&amp;$A247&amp;"'!W14")</f>
        <v>0</v>
      </c>
      <c r="AA247" s="3">
        <f t="array" aca="1" ref="AA247" ca="1">INDIRECT("'"&amp;$A247&amp;"'!X14")</f>
        <v>0</v>
      </c>
      <c r="AB247" s="3">
        <f t="array" aca="1" ref="AB247" ca="1">INDIRECT("'"&amp;$A247&amp;"'!Y14")</f>
        <v>0</v>
      </c>
      <c r="AC247" s="3">
        <f t="array" aca="1" ref="AC247" ca="1">INDIRECT("'"&amp;$A247&amp;"'!Z14")</f>
        <v>0</v>
      </c>
      <c r="AD247" s="32">
        <f t="array" aca="1" ref="AD247" ca="1">INDIRECT("'"&amp;$A247&amp;"'!AA14")</f>
        <v>0</v>
      </c>
      <c r="AE247" s="83">
        <f t="array" aca="1" ref="AE247" ca="1">INDIRECT("'"&amp;$A246&amp;"'!J4")</f>
        <v>0</v>
      </c>
      <c r="AF247" s="53"/>
    </row>
    <row r="248" spans="1:32">
      <c r="A248" s="58">
        <v>83</v>
      </c>
      <c r="B248" s="105">
        <f>INDEX(data!$I$2:$I$91,MATCH(A248*1,data!$G$2:$G$91,0))</f>
        <v>46267</v>
      </c>
      <c r="C248" s="66" t="str">
        <f>HYPERLINK("#'" &amp; A248 &amp; "'!A1", "编辑")</f>
        <v>编辑</v>
      </c>
      <c r="D248" s="54" t="s">
        <v>6</v>
      </c>
      <c r="E248" s="81">
        <f t="array" aca="1" ref="E248" ca="1">INDIRECT("'"&amp;$A249&amp;"'!I2")</f>
        <v>18</v>
      </c>
      <c r="F248" s="29">
        <f t="array" aca="1" ref="F248" ca="1">INDIRECT("'"&amp;$A248&amp;"'!C8")</f>
        <v>0</v>
      </c>
      <c r="G248" s="30">
        <f t="array" aca="1" ref="G248" ca="1">INDIRECT("'"&amp;$A248&amp;"'!D8")</f>
        <v>0</v>
      </c>
      <c r="H248" s="30">
        <f t="array" aca="1" ref="H248" ca="1">INDIRECT("'"&amp;$A248&amp;"'!E8")</f>
        <v>0</v>
      </c>
      <c r="I248" s="30">
        <f t="array" aca="1" ref="I248" ca="1">INDIRECT("'"&amp;$A248&amp;"'!F8")</f>
        <v>0</v>
      </c>
      <c r="J248" s="30">
        <f t="array" aca="1" ref="J248" ca="1">INDIRECT("'"&amp;$A248&amp;"'!G8")</f>
        <v>0</v>
      </c>
      <c r="K248" s="30">
        <f t="array" aca="1" ref="K248" ca="1">INDIRECT("'"&amp;$A248&amp;"'!H8")</f>
        <v>0</v>
      </c>
      <c r="L248" s="30">
        <f t="array" aca="1" ref="L248" ca="1">INDIRECT("'"&amp;$A248&amp;"'!I8")</f>
        <v>0</v>
      </c>
      <c r="M248" s="30">
        <f t="array" aca="1" ref="M248" ca="1">INDIRECT("'"&amp;$A248&amp;"'!J8")</f>
        <v>0</v>
      </c>
      <c r="N248" s="30">
        <f t="array" aca="1" ref="N248" ca="1">INDIRECT("'"&amp;$A248&amp;"'!K8")</f>
        <v>0</v>
      </c>
      <c r="O248" s="30">
        <f t="array" aca="1" ref="O248" ca="1">INDIRECT("'"&amp;$A248&amp;"'!L8")</f>
        <v>0</v>
      </c>
      <c r="P248" s="30">
        <f t="array" aca="1" ref="P248" ca="1">INDIRECT("'"&amp;$A248&amp;"'!M8")</f>
        <v>0</v>
      </c>
      <c r="Q248" s="30">
        <f t="array" aca="1" ref="Q248" ca="1">INDIRECT("'"&amp;$A248&amp;"'!N8")</f>
        <v>0</v>
      </c>
      <c r="R248" s="30">
        <f t="array" aca="1" ref="R248" ca="1">INDIRECT("'"&amp;$A248&amp;"'!O8")</f>
        <v>0</v>
      </c>
      <c r="S248" s="30">
        <f t="array" aca="1" ref="S248" ca="1">INDIRECT("'"&amp;$A248&amp;"'!P8")</f>
        <v>0</v>
      </c>
      <c r="T248" s="30">
        <f t="array" aca="1" ref="T248" ca="1">INDIRECT("'"&amp;$A248&amp;"'!Q8")</f>
        <v>0</v>
      </c>
      <c r="U248" s="30">
        <f t="array" aca="1" ref="U248" ca="1">INDIRECT("'"&amp;$A248&amp;"'!R8")</f>
        <v>0</v>
      </c>
      <c r="V248" s="30">
        <f t="array" aca="1" ref="V248" ca="1">INDIRECT("'"&amp;$A248&amp;"'!S8")</f>
        <v>0</v>
      </c>
      <c r="W248" s="30">
        <f t="array" aca="1" ref="W248" ca="1">INDIRECT("'"&amp;$A248&amp;"'!T8")</f>
        <v>0</v>
      </c>
      <c r="X248" s="30">
        <f t="array" aca="1" ref="X248" ca="1">INDIRECT("'"&amp;$A248&amp;"'!U8")</f>
        <v>0</v>
      </c>
      <c r="Y248" s="30">
        <f t="array" aca="1" ref="Y248" ca="1">INDIRECT("'"&amp;$A248&amp;"'!V8")</f>
        <v>0</v>
      </c>
      <c r="Z248" s="30">
        <f t="array" aca="1" ref="Z248" ca="1">INDIRECT("'"&amp;$A248&amp;"'!W8")</f>
        <v>0</v>
      </c>
      <c r="AA248" s="30">
        <f t="array" aca="1" ref="AA248" ca="1">INDIRECT("'"&amp;$A248&amp;"'!X8")</f>
        <v>0</v>
      </c>
      <c r="AB248" s="30">
        <f t="array" aca="1" ref="AB248" ca="1">INDIRECT("'"&amp;$A248&amp;"'!Y8")</f>
        <v>0</v>
      </c>
      <c r="AC248" s="30">
        <f t="array" aca="1" ref="AC248" ca="1">INDIRECT("'"&amp;$A248&amp;"'!Z8")</f>
        <v>0</v>
      </c>
      <c r="AD248" s="31">
        <f t="array" aca="1" ref="AD248" ca="1">INDIRECT("'"&amp;$A248&amp;"'!AA8")</f>
        <v>0</v>
      </c>
      <c r="AE248" s="81">
        <f t="array" aca="1" ref="AE248" ca="1">INDIRECT("'"&amp;$A249&amp;"'!J2")</f>
        <v>0</v>
      </c>
      <c r="AF248" s="53" t="str">
        <f t="array" aca="1" ref="AF248" ca="1">INDIRECT("'"&amp;$A249&amp;"'!AD1")</f>
        <v/>
      </c>
    </row>
    <row r="249" spans="1:32">
      <c r="A249" s="58">
        <v>83</v>
      </c>
      <c r="B249" s="106"/>
      <c r="C249" s="67" t="str">
        <f t="array" aca="1" ref="C249" ca="1">CONCATENATE("粮 ",INDIRECT("'"&amp;$A249&amp;"'!D4"))</f>
        <v>粮 138000</v>
      </c>
      <c r="D249" s="55" t="s">
        <v>7</v>
      </c>
      <c r="E249" s="82">
        <f t="array" aca="1" ref="E249" ca="1">INDIRECT("'"&amp;$A249&amp;"'!I3")</f>
        <v>18</v>
      </c>
      <c r="F249" s="52">
        <f t="array" aca="1" ref="F249" ca="1">INDIRECT("'"&amp;$A249&amp;"'!C11")</f>
        <v>0</v>
      </c>
      <c r="G249" s="3">
        <f t="array" aca="1" ref="G249" ca="1">INDIRECT("'"&amp;$A249&amp;"'!D11")</f>
        <v>0</v>
      </c>
      <c r="H249" s="3">
        <f t="array" aca="1" ref="H249" ca="1">INDIRECT("'"&amp;$A249&amp;"'!E11")</f>
        <v>0</v>
      </c>
      <c r="I249" s="3">
        <f t="array" aca="1" ref="I249" ca="1">INDIRECT("'"&amp;$A249&amp;"'!F11")</f>
        <v>0</v>
      </c>
      <c r="J249" s="3">
        <f t="array" aca="1" ref="J249" ca="1">INDIRECT("'"&amp;$A249&amp;"'!G11")</f>
        <v>0</v>
      </c>
      <c r="K249" s="3">
        <f t="array" aca="1" ref="K249" ca="1">INDIRECT("'"&amp;$A249&amp;"'!H11")</f>
        <v>0</v>
      </c>
      <c r="L249" s="3">
        <f t="array" aca="1" ref="L249" ca="1">INDIRECT("'"&amp;$A249&amp;"'!I11")</f>
        <v>0</v>
      </c>
      <c r="M249" s="3">
        <f t="array" aca="1" ref="M249" ca="1">INDIRECT("'"&amp;$A249&amp;"'!J11")</f>
        <v>0</v>
      </c>
      <c r="N249" s="3">
        <f t="array" aca="1" ref="N249" ca="1">INDIRECT("'"&amp;$A249&amp;"'!K11")</f>
        <v>0</v>
      </c>
      <c r="O249" s="3">
        <f t="array" aca="1" ref="O249" ca="1">INDIRECT("'"&amp;$A249&amp;"'!L11")</f>
        <v>0</v>
      </c>
      <c r="P249" s="3">
        <f t="array" aca="1" ref="P249" ca="1">INDIRECT("'"&amp;$A249&amp;"'!M11")</f>
        <v>0</v>
      </c>
      <c r="Q249" s="3">
        <f t="array" aca="1" ref="Q249" ca="1">INDIRECT("'"&amp;$A249&amp;"'!N11")</f>
        <v>0</v>
      </c>
      <c r="R249" s="3">
        <f t="array" aca="1" ref="R249" ca="1">INDIRECT("'"&amp;$A249&amp;"'!O11")</f>
        <v>0</v>
      </c>
      <c r="S249" s="3">
        <f t="array" aca="1" ref="S249" ca="1">INDIRECT("'"&amp;$A249&amp;"'!P11")</f>
        <v>0</v>
      </c>
      <c r="T249" s="3">
        <f t="array" aca="1" ref="T249" ca="1">INDIRECT("'"&amp;$A249&amp;"'!Q11")</f>
        <v>0</v>
      </c>
      <c r="U249" s="3">
        <f t="array" aca="1" ref="U249" ca="1">INDIRECT("'"&amp;$A249&amp;"'!R11")</f>
        <v>0</v>
      </c>
      <c r="V249" s="3">
        <f t="array" aca="1" ref="V249" ca="1">INDIRECT("'"&amp;$A249&amp;"'!S11")</f>
        <v>0</v>
      </c>
      <c r="W249" s="3">
        <f t="array" aca="1" ref="W249" ca="1">INDIRECT("'"&amp;$A249&amp;"'!T11")</f>
        <v>0</v>
      </c>
      <c r="X249" s="3">
        <f t="array" aca="1" ref="X249" ca="1">INDIRECT("'"&amp;$A249&amp;"'!U11")</f>
        <v>0</v>
      </c>
      <c r="Y249" s="3">
        <f t="array" aca="1" ref="Y249" ca="1">INDIRECT("'"&amp;$A249&amp;"'!V11")</f>
        <v>0</v>
      </c>
      <c r="Z249" s="3">
        <f t="array" aca="1" ref="Z249" ca="1">INDIRECT("'"&amp;$A249&amp;"'!W11")</f>
        <v>0</v>
      </c>
      <c r="AA249" s="3">
        <f t="array" aca="1" ref="AA249" ca="1">INDIRECT("'"&amp;$A249&amp;"'!X11")</f>
        <v>0</v>
      </c>
      <c r="AB249" s="3">
        <f t="array" aca="1" ref="AB249" ca="1">INDIRECT("'"&amp;$A249&amp;"'!Y11")</f>
        <v>0</v>
      </c>
      <c r="AC249" s="3">
        <f t="array" aca="1" ref="AC249" ca="1">INDIRECT("'"&amp;$A249&amp;"'!Z11")</f>
        <v>0</v>
      </c>
      <c r="AD249" s="32">
        <f t="array" aca="1" ref="AD249" ca="1">INDIRECT("'"&amp;$A249&amp;"'!AA11")</f>
        <v>0</v>
      </c>
      <c r="AE249" s="82">
        <f t="array" aca="1" ref="AE249" ca="1">INDIRECT("'"&amp;$A249&amp;"'!J3")</f>
        <v>0</v>
      </c>
      <c r="AF249" s="53" t="str">
        <f t="array" aca="1" ref="AF249" ca="1">INDIRECT("'"&amp;$A249&amp;"'!AC1")</f>
        <v/>
      </c>
    </row>
    <row r="250" spans="1:32" ht="15.75" customHeight="1" thickBot="1">
      <c r="A250" s="58">
        <v>83</v>
      </c>
      <c r="B250" s="107"/>
      <c r="C250" s="77" t="str">
        <f t="array" aca="1" ref="C250" ca="1">CONCATENATE("分 ",INDIRECT("'"&amp;$A249&amp;"'!D6"))</f>
        <v>分 0</v>
      </c>
      <c r="D250" s="56" t="s">
        <v>8</v>
      </c>
      <c r="E250" s="83">
        <f t="array" aca="1" ref="E250" ca="1">INDIRECT("'"&amp;$A249&amp;"'!I4")</f>
        <v>18</v>
      </c>
      <c r="F250" s="52">
        <f t="array" aca="1" ref="F250" ca="1">INDIRECT("'"&amp;$A250&amp;"'!C14")</f>
        <v>0</v>
      </c>
      <c r="G250" s="3">
        <f t="array" aca="1" ref="G250" ca="1">INDIRECT("'"&amp;$A250&amp;"'!D14")</f>
        <v>0</v>
      </c>
      <c r="H250" s="3">
        <f t="array" aca="1" ref="H250" ca="1">INDIRECT("'"&amp;$A250&amp;"'!E14")</f>
        <v>0</v>
      </c>
      <c r="I250" s="3">
        <f t="array" aca="1" ref="I250" ca="1">INDIRECT("'"&amp;$A250&amp;"'!F14")</f>
        <v>0</v>
      </c>
      <c r="J250" s="3">
        <f t="array" aca="1" ref="J250" ca="1">INDIRECT("'"&amp;$A250&amp;"'!G14")</f>
        <v>0</v>
      </c>
      <c r="K250" s="3">
        <f t="array" aca="1" ref="K250" ca="1">INDIRECT("'"&amp;$A250&amp;"'!H14")</f>
        <v>0</v>
      </c>
      <c r="L250" s="3">
        <f t="array" aca="1" ref="L250" ca="1">INDIRECT("'"&amp;$A250&amp;"'!I14")</f>
        <v>0</v>
      </c>
      <c r="M250" s="3">
        <f t="array" aca="1" ref="M250" ca="1">INDIRECT("'"&amp;$A250&amp;"'!J14")</f>
        <v>0</v>
      </c>
      <c r="N250" s="3">
        <f t="array" aca="1" ref="N250" ca="1">INDIRECT("'"&amp;$A250&amp;"'!K14")</f>
        <v>0</v>
      </c>
      <c r="O250" s="3">
        <f t="array" aca="1" ref="O250" ca="1">INDIRECT("'"&amp;$A250&amp;"'!L14")</f>
        <v>0</v>
      </c>
      <c r="P250" s="3">
        <f t="array" aca="1" ref="P250" ca="1">INDIRECT("'"&amp;$A250&amp;"'!M14")</f>
        <v>0</v>
      </c>
      <c r="Q250" s="3">
        <f t="array" aca="1" ref="Q250" ca="1">INDIRECT("'"&amp;$A250&amp;"'!N14")</f>
        <v>0</v>
      </c>
      <c r="R250" s="3">
        <f t="array" aca="1" ref="R250" ca="1">INDIRECT("'"&amp;$A250&amp;"'!O14")</f>
        <v>0</v>
      </c>
      <c r="S250" s="3">
        <f t="array" aca="1" ref="S250" ca="1">INDIRECT("'"&amp;$A250&amp;"'!P14")</f>
        <v>0</v>
      </c>
      <c r="T250" s="3">
        <f t="array" aca="1" ref="T250" ca="1">INDIRECT("'"&amp;$A250&amp;"'!Q14")</f>
        <v>0</v>
      </c>
      <c r="U250" s="3">
        <f t="array" aca="1" ref="U250" ca="1">INDIRECT("'"&amp;$A250&amp;"'!R14")</f>
        <v>0</v>
      </c>
      <c r="V250" s="3">
        <f t="array" aca="1" ref="V250" ca="1">INDIRECT("'"&amp;$A250&amp;"'!S14")</f>
        <v>0</v>
      </c>
      <c r="W250" s="3">
        <f t="array" aca="1" ref="W250" ca="1">INDIRECT("'"&amp;$A250&amp;"'!T14")</f>
        <v>0</v>
      </c>
      <c r="X250" s="3">
        <f t="array" aca="1" ref="X250" ca="1">INDIRECT("'"&amp;$A250&amp;"'!U14")</f>
        <v>0</v>
      </c>
      <c r="Y250" s="3">
        <f t="array" aca="1" ref="Y250" ca="1">INDIRECT("'"&amp;$A250&amp;"'!V14")</f>
        <v>0</v>
      </c>
      <c r="Z250" s="3">
        <f t="array" aca="1" ref="Z250" ca="1">INDIRECT("'"&amp;$A250&amp;"'!W14")</f>
        <v>0</v>
      </c>
      <c r="AA250" s="3">
        <f t="array" aca="1" ref="AA250" ca="1">INDIRECT("'"&amp;$A250&amp;"'!X14")</f>
        <v>0</v>
      </c>
      <c r="AB250" s="3">
        <f t="array" aca="1" ref="AB250" ca="1">INDIRECT("'"&amp;$A250&amp;"'!Y14")</f>
        <v>0</v>
      </c>
      <c r="AC250" s="3">
        <f t="array" aca="1" ref="AC250" ca="1">INDIRECT("'"&amp;$A250&amp;"'!Z14")</f>
        <v>0</v>
      </c>
      <c r="AD250" s="32">
        <f t="array" aca="1" ref="AD250" ca="1">INDIRECT("'"&amp;$A250&amp;"'!AA14")</f>
        <v>0</v>
      </c>
      <c r="AE250" s="83">
        <f t="array" aca="1" ref="AE250" ca="1">INDIRECT("'"&amp;$A249&amp;"'!J4")</f>
        <v>0</v>
      </c>
      <c r="AF250" s="53"/>
    </row>
    <row r="251" spans="1:32">
      <c r="A251" s="58">
        <v>84</v>
      </c>
      <c r="B251" s="105">
        <f>INDEX(data!$I$2:$I$91,MATCH(A251*1,data!$G$2:$G$91,0))</f>
        <v>46268</v>
      </c>
      <c r="C251" s="66" t="str">
        <f>HYPERLINK("#'" &amp; A251 &amp; "'!A1", "编辑")</f>
        <v>编辑</v>
      </c>
      <c r="D251" s="54" t="s">
        <v>6</v>
      </c>
      <c r="E251" s="81">
        <f t="array" aca="1" ref="E251" ca="1">INDIRECT("'"&amp;$A252&amp;"'!I2")</f>
        <v>18</v>
      </c>
      <c r="F251" s="29">
        <f t="array" aca="1" ref="F251" ca="1">INDIRECT("'"&amp;$A251&amp;"'!C8")</f>
        <v>0</v>
      </c>
      <c r="G251" s="30">
        <f t="array" aca="1" ref="G251" ca="1">INDIRECT("'"&amp;$A251&amp;"'!D8")</f>
        <v>0</v>
      </c>
      <c r="H251" s="30">
        <f t="array" aca="1" ref="H251" ca="1">INDIRECT("'"&amp;$A251&amp;"'!E8")</f>
        <v>0</v>
      </c>
      <c r="I251" s="30">
        <f t="array" aca="1" ref="I251" ca="1">INDIRECT("'"&amp;$A251&amp;"'!F8")</f>
        <v>0</v>
      </c>
      <c r="J251" s="30">
        <f t="array" aca="1" ref="J251" ca="1">INDIRECT("'"&amp;$A251&amp;"'!G8")</f>
        <v>0</v>
      </c>
      <c r="K251" s="30">
        <f t="array" aca="1" ref="K251" ca="1">INDIRECT("'"&amp;$A251&amp;"'!H8")</f>
        <v>0</v>
      </c>
      <c r="L251" s="30">
        <f t="array" aca="1" ref="L251" ca="1">INDIRECT("'"&amp;$A251&amp;"'!I8")</f>
        <v>0</v>
      </c>
      <c r="M251" s="30">
        <f t="array" aca="1" ref="M251" ca="1">INDIRECT("'"&amp;$A251&amp;"'!J8")</f>
        <v>0</v>
      </c>
      <c r="N251" s="30">
        <f t="array" aca="1" ref="N251" ca="1">INDIRECT("'"&amp;$A251&amp;"'!K8")</f>
        <v>0</v>
      </c>
      <c r="O251" s="30">
        <f t="array" aca="1" ref="O251" ca="1">INDIRECT("'"&amp;$A251&amp;"'!L8")</f>
        <v>0</v>
      </c>
      <c r="P251" s="30">
        <f t="array" aca="1" ref="P251" ca="1">INDIRECT("'"&amp;$A251&amp;"'!M8")</f>
        <v>0</v>
      </c>
      <c r="Q251" s="30">
        <f t="array" aca="1" ref="Q251" ca="1">INDIRECT("'"&amp;$A251&amp;"'!N8")</f>
        <v>0</v>
      </c>
      <c r="R251" s="30">
        <f t="array" aca="1" ref="R251" ca="1">INDIRECT("'"&amp;$A251&amp;"'!O8")</f>
        <v>0</v>
      </c>
      <c r="S251" s="30">
        <f t="array" aca="1" ref="S251" ca="1">INDIRECT("'"&amp;$A251&amp;"'!P8")</f>
        <v>0</v>
      </c>
      <c r="T251" s="30">
        <f t="array" aca="1" ref="T251" ca="1">INDIRECT("'"&amp;$A251&amp;"'!Q8")</f>
        <v>0</v>
      </c>
      <c r="U251" s="30">
        <f t="array" aca="1" ref="U251" ca="1">INDIRECT("'"&amp;$A251&amp;"'!R8")</f>
        <v>0</v>
      </c>
      <c r="V251" s="30">
        <f t="array" aca="1" ref="V251" ca="1">INDIRECT("'"&amp;$A251&amp;"'!S8")</f>
        <v>0</v>
      </c>
      <c r="W251" s="30">
        <f t="array" aca="1" ref="W251" ca="1">INDIRECT("'"&amp;$A251&amp;"'!T8")</f>
        <v>0</v>
      </c>
      <c r="X251" s="30">
        <f t="array" aca="1" ref="X251" ca="1">INDIRECT("'"&amp;$A251&amp;"'!U8")</f>
        <v>0</v>
      </c>
      <c r="Y251" s="30">
        <f t="array" aca="1" ref="Y251" ca="1">INDIRECT("'"&amp;$A251&amp;"'!V8")</f>
        <v>0</v>
      </c>
      <c r="Z251" s="30">
        <f t="array" aca="1" ref="Z251" ca="1">INDIRECT("'"&amp;$A251&amp;"'!W8")</f>
        <v>0</v>
      </c>
      <c r="AA251" s="30">
        <f t="array" aca="1" ref="AA251" ca="1">INDIRECT("'"&amp;$A251&amp;"'!X8")</f>
        <v>0</v>
      </c>
      <c r="AB251" s="30">
        <f t="array" aca="1" ref="AB251" ca="1">INDIRECT("'"&amp;$A251&amp;"'!Y8")</f>
        <v>0</v>
      </c>
      <c r="AC251" s="30">
        <f t="array" aca="1" ref="AC251" ca="1">INDIRECT("'"&amp;$A251&amp;"'!Z8")</f>
        <v>0</v>
      </c>
      <c r="AD251" s="31">
        <f t="array" aca="1" ref="AD251" ca="1">INDIRECT("'"&amp;$A251&amp;"'!AA8")</f>
        <v>0</v>
      </c>
      <c r="AE251" s="81">
        <f t="array" aca="1" ref="AE251" ca="1">INDIRECT("'"&amp;$A252&amp;"'!J2")</f>
        <v>0</v>
      </c>
      <c r="AF251" s="53" t="str">
        <f t="array" aca="1" ref="AF251" ca="1">INDIRECT("'"&amp;$A252&amp;"'!AD1")</f>
        <v/>
      </c>
    </row>
    <row r="252" spans="1:32">
      <c r="A252" s="58">
        <v>84</v>
      </c>
      <c r="B252" s="106"/>
      <c r="C252" s="67" t="str">
        <f t="array" aca="1" ref="C252" ca="1">CONCATENATE("粮 ",INDIRECT("'"&amp;$A252&amp;"'!D4"))</f>
        <v>粮 139600</v>
      </c>
      <c r="D252" s="55" t="s">
        <v>7</v>
      </c>
      <c r="E252" s="82">
        <f t="array" aca="1" ref="E252" ca="1">INDIRECT("'"&amp;$A252&amp;"'!I3")</f>
        <v>18</v>
      </c>
      <c r="F252" s="52">
        <f t="array" aca="1" ref="F252" ca="1">INDIRECT("'"&amp;$A252&amp;"'!C11")</f>
        <v>0</v>
      </c>
      <c r="G252" s="3">
        <f t="array" aca="1" ref="G252" ca="1">INDIRECT("'"&amp;$A252&amp;"'!D11")</f>
        <v>0</v>
      </c>
      <c r="H252" s="3">
        <f t="array" aca="1" ref="H252" ca="1">INDIRECT("'"&amp;$A252&amp;"'!E11")</f>
        <v>0</v>
      </c>
      <c r="I252" s="3">
        <f t="array" aca="1" ref="I252" ca="1">INDIRECT("'"&amp;$A252&amp;"'!F11")</f>
        <v>0</v>
      </c>
      <c r="J252" s="3">
        <f t="array" aca="1" ref="J252" ca="1">INDIRECT("'"&amp;$A252&amp;"'!G11")</f>
        <v>0</v>
      </c>
      <c r="K252" s="3">
        <f t="array" aca="1" ref="K252" ca="1">INDIRECT("'"&amp;$A252&amp;"'!H11")</f>
        <v>0</v>
      </c>
      <c r="L252" s="3">
        <f t="array" aca="1" ref="L252" ca="1">INDIRECT("'"&amp;$A252&amp;"'!I11")</f>
        <v>0</v>
      </c>
      <c r="M252" s="3">
        <f t="array" aca="1" ref="M252" ca="1">INDIRECT("'"&amp;$A252&amp;"'!J11")</f>
        <v>0</v>
      </c>
      <c r="N252" s="3">
        <f t="array" aca="1" ref="N252" ca="1">INDIRECT("'"&amp;$A252&amp;"'!K11")</f>
        <v>0</v>
      </c>
      <c r="O252" s="3">
        <f t="array" aca="1" ref="O252" ca="1">INDIRECT("'"&amp;$A252&amp;"'!L11")</f>
        <v>0</v>
      </c>
      <c r="P252" s="3">
        <f t="array" aca="1" ref="P252" ca="1">INDIRECT("'"&amp;$A252&amp;"'!M11")</f>
        <v>0</v>
      </c>
      <c r="Q252" s="3">
        <f t="array" aca="1" ref="Q252" ca="1">INDIRECT("'"&amp;$A252&amp;"'!N11")</f>
        <v>0</v>
      </c>
      <c r="R252" s="3">
        <f t="array" aca="1" ref="R252" ca="1">INDIRECT("'"&amp;$A252&amp;"'!O11")</f>
        <v>0</v>
      </c>
      <c r="S252" s="3">
        <f t="array" aca="1" ref="S252" ca="1">INDIRECT("'"&amp;$A252&amp;"'!P11")</f>
        <v>0</v>
      </c>
      <c r="T252" s="3">
        <f t="array" aca="1" ref="T252" ca="1">INDIRECT("'"&amp;$A252&amp;"'!Q11")</f>
        <v>0</v>
      </c>
      <c r="U252" s="3">
        <f t="array" aca="1" ref="U252" ca="1">INDIRECT("'"&amp;$A252&amp;"'!R11")</f>
        <v>0</v>
      </c>
      <c r="V252" s="3">
        <f t="array" aca="1" ref="V252" ca="1">INDIRECT("'"&amp;$A252&amp;"'!S11")</f>
        <v>0</v>
      </c>
      <c r="W252" s="3">
        <f t="array" aca="1" ref="W252" ca="1">INDIRECT("'"&amp;$A252&amp;"'!T11")</f>
        <v>0</v>
      </c>
      <c r="X252" s="3">
        <f t="array" aca="1" ref="X252" ca="1">INDIRECT("'"&amp;$A252&amp;"'!U11")</f>
        <v>0</v>
      </c>
      <c r="Y252" s="3">
        <f t="array" aca="1" ref="Y252" ca="1">INDIRECT("'"&amp;$A252&amp;"'!V11")</f>
        <v>0</v>
      </c>
      <c r="Z252" s="3">
        <f t="array" aca="1" ref="Z252" ca="1">INDIRECT("'"&amp;$A252&amp;"'!W11")</f>
        <v>0</v>
      </c>
      <c r="AA252" s="3">
        <f t="array" aca="1" ref="AA252" ca="1">INDIRECT("'"&amp;$A252&amp;"'!X11")</f>
        <v>0</v>
      </c>
      <c r="AB252" s="3">
        <f t="array" aca="1" ref="AB252" ca="1">INDIRECT("'"&amp;$A252&amp;"'!Y11")</f>
        <v>0</v>
      </c>
      <c r="AC252" s="3">
        <f t="array" aca="1" ref="AC252" ca="1">INDIRECT("'"&amp;$A252&amp;"'!Z11")</f>
        <v>0</v>
      </c>
      <c r="AD252" s="32">
        <f t="array" aca="1" ref="AD252" ca="1">INDIRECT("'"&amp;$A252&amp;"'!AA11")</f>
        <v>0</v>
      </c>
      <c r="AE252" s="82">
        <f t="array" aca="1" ref="AE252" ca="1">INDIRECT("'"&amp;$A252&amp;"'!J3")</f>
        <v>0</v>
      </c>
      <c r="AF252" s="53" t="str">
        <f t="array" aca="1" ref="AF252" ca="1">INDIRECT("'"&amp;$A252&amp;"'!AC1")</f>
        <v/>
      </c>
    </row>
    <row r="253" spans="1:32" ht="15.75" customHeight="1" thickBot="1">
      <c r="A253" s="58">
        <v>84</v>
      </c>
      <c r="B253" s="107"/>
      <c r="C253" s="77" t="str">
        <f t="array" aca="1" ref="C253" ca="1">CONCATENATE("分 ",INDIRECT("'"&amp;$A252&amp;"'!D6"))</f>
        <v>分 0</v>
      </c>
      <c r="D253" s="56" t="s">
        <v>8</v>
      </c>
      <c r="E253" s="83">
        <f t="array" aca="1" ref="E253" ca="1">INDIRECT("'"&amp;$A252&amp;"'!I4")</f>
        <v>18</v>
      </c>
      <c r="F253" s="52">
        <f t="array" aca="1" ref="F253" ca="1">INDIRECT("'"&amp;$A253&amp;"'!C14")</f>
        <v>0</v>
      </c>
      <c r="G253" s="3">
        <f t="array" aca="1" ref="G253" ca="1">INDIRECT("'"&amp;$A253&amp;"'!D14")</f>
        <v>0</v>
      </c>
      <c r="H253" s="3">
        <f t="array" aca="1" ref="H253" ca="1">INDIRECT("'"&amp;$A253&amp;"'!E14")</f>
        <v>0</v>
      </c>
      <c r="I253" s="3">
        <f t="array" aca="1" ref="I253" ca="1">INDIRECT("'"&amp;$A253&amp;"'!F14")</f>
        <v>0</v>
      </c>
      <c r="J253" s="3">
        <f t="array" aca="1" ref="J253" ca="1">INDIRECT("'"&amp;$A253&amp;"'!G14")</f>
        <v>0</v>
      </c>
      <c r="K253" s="3">
        <f t="array" aca="1" ref="K253" ca="1">INDIRECT("'"&amp;$A253&amp;"'!H14")</f>
        <v>0</v>
      </c>
      <c r="L253" s="3">
        <f t="array" aca="1" ref="L253" ca="1">INDIRECT("'"&amp;$A253&amp;"'!I14")</f>
        <v>0</v>
      </c>
      <c r="M253" s="3">
        <f t="array" aca="1" ref="M253" ca="1">INDIRECT("'"&amp;$A253&amp;"'!J14")</f>
        <v>0</v>
      </c>
      <c r="N253" s="3">
        <f t="array" aca="1" ref="N253" ca="1">INDIRECT("'"&amp;$A253&amp;"'!K14")</f>
        <v>0</v>
      </c>
      <c r="O253" s="3">
        <f t="array" aca="1" ref="O253" ca="1">INDIRECT("'"&amp;$A253&amp;"'!L14")</f>
        <v>0</v>
      </c>
      <c r="P253" s="3">
        <f t="array" aca="1" ref="P253" ca="1">INDIRECT("'"&amp;$A253&amp;"'!M14")</f>
        <v>0</v>
      </c>
      <c r="Q253" s="3">
        <f t="array" aca="1" ref="Q253" ca="1">INDIRECT("'"&amp;$A253&amp;"'!N14")</f>
        <v>0</v>
      </c>
      <c r="R253" s="3">
        <f t="array" aca="1" ref="R253" ca="1">INDIRECT("'"&amp;$A253&amp;"'!O14")</f>
        <v>0</v>
      </c>
      <c r="S253" s="3">
        <f t="array" aca="1" ref="S253" ca="1">INDIRECT("'"&amp;$A253&amp;"'!P14")</f>
        <v>0</v>
      </c>
      <c r="T253" s="3">
        <f t="array" aca="1" ref="T253" ca="1">INDIRECT("'"&amp;$A253&amp;"'!Q14")</f>
        <v>0</v>
      </c>
      <c r="U253" s="3">
        <f t="array" aca="1" ref="U253" ca="1">INDIRECT("'"&amp;$A253&amp;"'!R14")</f>
        <v>0</v>
      </c>
      <c r="V253" s="3">
        <f t="array" aca="1" ref="V253" ca="1">INDIRECT("'"&amp;$A253&amp;"'!S14")</f>
        <v>0</v>
      </c>
      <c r="W253" s="3">
        <f t="array" aca="1" ref="W253" ca="1">INDIRECT("'"&amp;$A253&amp;"'!T14")</f>
        <v>0</v>
      </c>
      <c r="X253" s="3">
        <f t="array" aca="1" ref="X253" ca="1">INDIRECT("'"&amp;$A253&amp;"'!U14")</f>
        <v>0</v>
      </c>
      <c r="Y253" s="3">
        <f t="array" aca="1" ref="Y253" ca="1">INDIRECT("'"&amp;$A253&amp;"'!V14")</f>
        <v>0</v>
      </c>
      <c r="Z253" s="3">
        <f t="array" aca="1" ref="Z253" ca="1">INDIRECT("'"&amp;$A253&amp;"'!W14")</f>
        <v>0</v>
      </c>
      <c r="AA253" s="3">
        <f t="array" aca="1" ref="AA253" ca="1">INDIRECT("'"&amp;$A253&amp;"'!X14")</f>
        <v>0</v>
      </c>
      <c r="AB253" s="3">
        <f t="array" aca="1" ref="AB253" ca="1">INDIRECT("'"&amp;$A253&amp;"'!Y14")</f>
        <v>0</v>
      </c>
      <c r="AC253" s="3">
        <f t="array" aca="1" ref="AC253" ca="1">INDIRECT("'"&amp;$A253&amp;"'!Z14")</f>
        <v>0</v>
      </c>
      <c r="AD253" s="32">
        <f t="array" aca="1" ref="AD253" ca="1">INDIRECT("'"&amp;$A253&amp;"'!AA14")</f>
        <v>0</v>
      </c>
      <c r="AE253" s="83">
        <f t="array" aca="1" ref="AE253" ca="1">INDIRECT("'"&amp;$A252&amp;"'!J4")</f>
        <v>0</v>
      </c>
      <c r="AF253" s="53"/>
    </row>
    <row r="254" spans="1:32">
      <c r="A254" s="58">
        <v>85</v>
      </c>
      <c r="B254" s="105">
        <f>INDEX(data!$I$2:$I$91,MATCH(A254*1,data!$G$2:$G$91,0))</f>
        <v>46269</v>
      </c>
      <c r="C254" s="66" t="str">
        <f>HYPERLINK("#'" &amp; A254 &amp; "'!A1", "编辑")</f>
        <v>编辑</v>
      </c>
      <c r="D254" s="54" t="s">
        <v>6</v>
      </c>
      <c r="E254" s="81">
        <f t="array" aca="1" ref="E254" ca="1">INDIRECT("'"&amp;$A255&amp;"'!I2")</f>
        <v>18</v>
      </c>
      <c r="F254" s="29">
        <f t="array" aca="1" ref="F254" ca="1">INDIRECT("'"&amp;$A254&amp;"'!C8")</f>
        <v>0</v>
      </c>
      <c r="G254" s="30">
        <f t="array" aca="1" ref="G254" ca="1">INDIRECT("'"&amp;$A254&amp;"'!D8")</f>
        <v>0</v>
      </c>
      <c r="H254" s="30">
        <f t="array" aca="1" ref="H254" ca="1">INDIRECT("'"&amp;$A254&amp;"'!E8")</f>
        <v>0</v>
      </c>
      <c r="I254" s="30">
        <f t="array" aca="1" ref="I254" ca="1">INDIRECT("'"&amp;$A254&amp;"'!F8")</f>
        <v>0</v>
      </c>
      <c r="J254" s="30">
        <f t="array" aca="1" ref="J254" ca="1">INDIRECT("'"&amp;$A254&amp;"'!G8")</f>
        <v>0</v>
      </c>
      <c r="K254" s="30">
        <f t="array" aca="1" ref="K254" ca="1">INDIRECT("'"&amp;$A254&amp;"'!H8")</f>
        <v>0</v>
      </c>
      <c r="L254" s="30">
        <f t="array" aca="1" ref="L254" ca="1">INDIRECT("'"&amp;$A254&amp;"'!I8")</f>
        <v>0</v>
      </c>
      <c r="M254" s="30">
        <f t="array" aca="1" ref="M254" ca="1">INDIRECT("'"&amp;$A254&amp;"'!J8")</f>
        <v>0</v>
      </c>
      <c r="N254" s="30">
        <f t="array" aca="1" ref="N254" ca="1">INDIRECT("'"&amp;$A254&amp;"'!K8")</f>
        <v>0</v>
      </c>
      <c r="O254" s="30">
        <f t="array" aca="1" ref="O254" ca="1">INDIRECT("'"&amp;$A254&amp;"'!L8")</f>
        <v>0</v>
      </c>
      <c r="P254" s="30">
        <f t="array" aca="1" ref="P254" ca="1">INDIRECT("'"&amp;$A254&amp;"'!M8")</f>
        <v>0</v>
      </c>
      <c r="Q254" s="30">
        <f t="array" aca="1" ref="Q254" ca="1">INDIRECT("'"&amp;$A254&amp;"'!N8")</f>
        <v>0</v>
      </c>
      <c r="R254" s="30">
        <f t="array" aca="1" ref="R254" ca="1">INDIRECT("'"&amp;$A254&amp;"'!O8")</f>
        <v>0</v>
      </c>
      <c r="S254" s="30">
        <f t="array" aca="1" ref="S254" ca="1">INDIRECT("'"&amp;$A254&amp;"'!P8")</f>
        <v>0</v>
      </c>
      <c r="T254" s="30">
        <f t="array" aca="1" ref="T254" ca="1">INDIRECT("'"&amp;$A254&amp;"'!Q8")</f>
        <v>0</v>
      </c>
      <c r="U254" s="30">
        <f t="array" aca="1" ref="U254" ca="1">INDIRECT("'"&amp;$A254&amp;"'!R8")</f>
        <v>0</v>
      </c>
      <c r="V254" s="30">
        <f t="array" aca="1" ref="V254" ca="1">INDIRECT("'"&amp;$A254&amp;"'!S8")</f>
        <v>0</v>
      </c>
      <c r="W254" s="30">
        <f t="array" aca="1" ref="W254" ca="1">INDIRECT("'"&amp;$A254&amp;"'!T8")</f>
        <v>0</v>
      </c>
      <c r="X254" s="30">
        <f t="array" aca="1" ref="X254" ca="1">INDIRECT("'"&amp;$A254&amp;"'!U8")</f>
        <v>0</v>
      </c>
      <c r="Y254" s="30">
        <f t="array" aca="1" ref="Y254" ca="1">INDIRECT("'"&amp;$A254&amp;"'!V8")</f>
        <v>0</v>
      </c>
      <c r="Z254" s="30">
        <f t="array" aca="1" ref="Z254" ca="1">INDIRECT("'"&amp;$A254&amp;"'!W8")</f>
        <v>0</v>
      </c>
      <c r="AA254" s="30">
        <f t="array" aca="1" ref="AA254" ca="1">INDIRECT("'"&amp;$A254&amp;"'!X8")</f>
        <v>0</v>
      </c>
      <c r="AB254" s="30">
        <f t="array" aca="1" ref="AB254" ca="1">INDIRECT("'"&amp;$A254&amp;"'!Y8")</f>
        <v>0</v>
      </c>
      <c r="AC254" s="30">
        <f t="array" aca="1" ref="AC254" ca="1">INDIRECT("'"&amp;$A254&amp;"'!Z8")</f>
        <v>0</v>
      </c>
      <c r="AD254" s="31">
        <f t="array" aca="1" ref="AD254" ca="1">INDIRECT("'"&amp;$A254&amp;"'!AA8")</f>
        <v>0</v>
      </c>
      <c r="AE254" s="81">
        <f t="array" aca="1" ref="AE254" ca="1">INDIRECT("'"&amp;$A255&amp;"'!J2")</f>
        <v>0</v>
      </c>
      <c r="AF254" s="53" t="str">
        <f t="array" aca="1" ref="AF254" ca="1">INDIRECT("'"&amp;$A255&amp;"'!AD1")</f>
        <v/>
      </c>
    </row>
    <row r="255" spans="1:32">
      <c r="A255" s="58">
        <v>85</v>
      </c>
      <c r="B255" s="106"/>
      <c r="C255" s="67" t="str">
        <f t="array" aca="1" ref="C255" ca="1">CONCATENATE("粮 ",INDIRECT("'"&amp;$A255&amp;"'!D4"))</f>
        <v>粮 141200</v>
      </c>
      <c r="D255" s="55" t="s">
        <v>7</v>
      </c>
      <c r="E255" s="82">
        <f t="array" aca="1" ref="E255" ca="1">INDIRECT("'"&amp;$A255&amp;"'!I3")</f>
        <v>18</v>
      </c>
      <c r="F255" s="52">
        <f t="array" aca="1" ref="F255" ca="1">INDIRECT("'"&amp;$A255&amp;"'!C11")</f>
        <v>0</v>
      </c>
      <c r="G255" s="3">
        <f t="array" aca="1" ref="G255" ca="1">INDIRECT("'"&amp;$A255&amp;"'!D11")</f>
        <v>0</v>
      </c>
      <c r="H255" s="3">
        <f t="array" aca="1" ref="H255" ca="1">INDIRECT("'"&amp;$A255&amp;"'!E11")</f>
        <v>0</v>
      </c>
      <c r="I255" s="3">
        <f t="array" aca="1" ref="I255" ca="1">INDIRECT("'"&amp;$A255&amp;"'!F11")</f>
        <v>0</v>
      </c>
      <c r="J255" s="3">
        <f t="array" aca="1" ref="J255" ca="1">INDIRECT("'"&amp;$A255&amp;"'!G11")</f>
        <v>0</v>
      </c>
      <c r="K255" s="3">
        <f t="array" aca="1" ref="K255" ca="1">INDIRECT("'"&amp;$A255&amp;"'!H11")</f>
        <v>0</v>
      </c>
      <c r="L255" s="3">
        <f t="array" aca="1" ref="L255" ca="1">INDIRECT("'"&amp;$A255&amp;"'!I11")</f>
        <v>0</v>
      </c>
      <c r="M255" s="3">
        <f t="array" aca="1" ref="M255" ca="1">INDIRECT("'"&amp;$A255&amp;"'!J11")</f>
        <v>0</v>
      </c>
      <c r="N255" s="3">
        <f t="array" aca="1" ref="N255" ca="1">INDIRECT("'"&amp;$A255&amp;"'!K11")</f>
        <v>0</v>
      </c>
      <c r="O255" s="3">
        <f t="array" aca="1" ref="O255" ca="1">INDIRECT("'"&amp;$A255&amp;"'!L11")</f>
        <v>0</v>
      </c>
      <c r="P255" s="3">
        <f t="array" aca="1" ref="P255" ca="1">INDIRECT("'"&amp;$A255&amp;"'!M11")</f>
        <v>0</v>
      </c>
      <c r="Q255" s="3">
        <f t="array" aca="1" ref="Q255" ca="1">INDIRECT("'"&amp;$A255&amp;"'!N11")</f>
        <v>0</v>
      </c>
      <c r="R255" s="3">
        <f t="array" aca="1" ref="R255" ca="1">INDIRECT("'"&amp;$A255&amp;"'!O11")</f>
        <v>0</v>
      </c>
      <c r="S255" s="3">
        <f t="array" aca="1" ref="S255" ca="1">INDIRECT("'"&amp;$A255&amp;"'!P11")</f>
        <v>0</v>
      </c>
      <c r="T255" s="3">
        <f t="array" aca="1" ref="T255" ca="1">INDIRECT("'"&amp;$A255&amp;"'!Q11")</f>
        <v>0</v>
      </c>
      <c r="U255" s="3">
        <f t="array" aca="1" ref="U255" ca="1">INDIRECT("'"&amp;$A255&amp;"'!R11")</f>
        <v>0</v>
      </c>
      <c r="V255" s="3">
        <f t="array" aca="1" ref="V255" ca="1">INDIRECT("'"&amp;$A255&amp;"'!S11")</f>
        <v>0</v>
      </c>
      <c r="W255" s="3">
        <f t="array" aca="1" ref="W255" ca="1">INDIRECT("'"&amp;$A255&amp;"'!T11")</f>
        <v>0</v>
      </c>
      <c r="X255" s="3">
        <f t="array" aca="1" ref="X255" ca="1">INDIRECT("'"&amp;$A255&amp;"'!U11")</f>
        <v>0</v>
      </c>
      <c r="Y255" s="3">
        <f t="array" aca="1" ref="Y255" ca="1">INDIRECT("'"&amp;$A255&amp;"'!V11")</f>
        <v>0</v>
      </c>
      <c r="Z255" s="3">
        <f t="array" aca="1" ref="Z255" ca="1">INDIRECT("'"&amp;$A255&amp;"'!W11")</f>
        <v>0</v>
      </c>
      <c r="AA255" s="3">
        <f t="array" aca="1" ref="AA255" ca="1">INDIRECT("'"&amp;$A255&amp;"'!X11")</f>
        <v>0</v>
      </c>
      <c r="AB255" s="3">
        <f t="array" aca="1" ref="AB255" ca="1">INDIRECT("'"&amp;$A255&amp;"'!Y11")</f>
        <v>0</v>
      </c>
      <c r="AC255" s="3">
        <f t="array" aca="1" ref="AC255" ca="1">INDIRECT("'"&amp;$A255&amp;"'!Z11")</f>
        <v>0</v>
      </c>
      <c r="AD255" s="32">
        <f t="array" aca="1" ref="AD255" ca="1">INDIRECT("'"&amp;$A255&amp;"'!AA11")</f>
        <v>0</v>
      </c>
      <c r="AE255" s="82">
        <f t="array" aca="1" ref="AE255" ca="1">INDIRECT("'"&amp;$A255&amp;"'!J3")</f>
        <v>0</v>
      </c>
      <c r="AF255" s="53" t="str">
        <f t="array" aca="1" ref="AF255" ca="1">INDIRECT("'"&amp;$A255&amp;"'!AC1")</f>
        <v/>
      </c>
    </row>
    <row r="256" spans="1:32" ht="15.75" customHeight="1" thickBot="1">
      <c r="A256" s="58">
        <v>85</v>
      </c>
      <c r="B256" s="107"/>
      <c r="C256" s="77" t="str">
        <f t="array" aca="1" ref="C256" ca="1">CONCATENATE("分 ",INDIRECT("'"&amp;$A255&amp;"'!D6"))</f>
        <v>分 0</v>
      </c>
      <c r="D256" s="56" t="s">
        <v>8</v>
      </c>
      <c r="E256" s="83">
        <f t="array" aca="1" ref="E256" ca="1">INDIRECT("'"&amp;$A255&amp;"'!I4")</f>
        <v>18</v>
      </c>
      <c r="F256" s="52">
        <f t="array" aca="1" ref="F256" ca="1">INDIRECT("'"&amp;$A256&amp;"'!C14")</f>
        <v>0</v>
      </c>
      <c r="G256" s="3">
        <f t="array" aca="1" ref="G256" ca="1">INDIRECT("'"&amp;$A256&amp;"'!D14")</f>
        <v>0</v>
      </c>
      <c r="H256" s="3">
        <f t="array" aca="1" ref="H256" ca="1">INDIRECT("'"&amp;$A256&amp;"'!E14")</f>
        <v>0</v>
      </c>
      <c r="I256" s="3">
        <f t="array" aca="1" ref="I256" ca="1">INDIRECT("'"&amp;$A256&amp;"'!F14")</f>
        <v>0</v>
      </c>
      <c r="J256" s="3">
        <f t="array" aca="1" ref="J256" ca="1">INDIRECT("'"&amp;$A256&amp;"'!G14")</f>
        <v>0</v>
      </c>
      <c r="K256" s="3">
        <f t="array" aca="1" ref="K256" ca="1">INDIRECT("'"&amp;$A256&amp;"'!H14")</f>
        <v>0</v>
      </c>
      <c r="L256" s="3">
        <f t="array" aca="1" ref="L256" ca="1">INDIRECT("'"&amp;$A256&amp;"'!I14")</f>
        <v>0</v>
      </c>
      <c r="M256" s="3">
        <f t="array" aca="1" ref="M256" ca="1">INDIRECT("'"&amp;$A256&amp;"'!J14")</f>
        <v>0</v>
      </c>
      <c r="N256" s="3">
        <f t="array" aca="1" ref="N256" ca="1">INDIRECT("'"&amp;$A256&amp;"'!K14")</f>
        <v>0</v>
      </c>
      <c r="O256" s="3">
        <f t="array" aca="1" ref="O256" ca="1">INDIRECT("'"&amp;$A256&amp;"'!L14")</f>
        <v>0</v>
      </c>
      <c r="P256" s="3">
        <f t="array" aca="1" ref="P256" ca="1">INDIRECT("'"&amp;$A256&amp;"'!M14")</f>
        <v>0</v>
      </c>
      <c r="Q256" s="3">
        <f t="array" aca="1" ref="Q256" ca="1">INDIRECT("'"&amp;$A256&amp;"'!N14")</f>
        <v>0</v>
      </c>
      <c r="R256" s="3">
        <f t="array" aca="1" ref="R256" ca="1">INDIRECT("'"&amp;$A256&amp;"'!O14")</f>
        <v>0</v>
      </c>
      <c r="S256" s="3">
        <f t="array" aca="1" ref="S256" ca="1">INDIRECT("'"&amp;$A256&amp;"'!P14")</f>
        <v>0</v>
      </c>
      <c r="T256" s="3">
        <f t="array" aca="1" ref="T256" ca="1">INDIRECT("'"&amp;$A256&amp;"'!Q14")</f>
        <v>0</v>
      </c>
      <c r="U256" s="3">
        <f t="array" aca="1" ref="U256" ca="1">INDIRECT("'"&amp;$A256&amp;"'!R14")</f>
        <v>0</v>
      </c>
      <c r="V256" s="3">
        <f t="array" aca="1" ref="V256" ca="1">INDIRECT("'"&amp;$A256&amp;"'!S14")</f>
        <v>0</v>
      </c>
      <c r="W256" s="3">
        <f t="array" aca="1" ref="W256" ca="1">INDIRECT("'"&amp;$A256&amp;"'!T14")</f>
        <v>0</v>
      </c>
      <c r="X256" s="3">
        <f t="array" aca="1" ref="X256" ca="1">INDIRECT("'"&amp;$A256&amp;"'!U14")</f>
        <v>0</v>
      </c>
      <c r="Y256" s="3">
        <f t="array" aca="1" ref="Y256" ca="1">INDIRECT("'"&amp;$A256&amp;"'!V14")</f>
        <v>0</v>
      </c>
      <c r="Z256" s="3">
        <f t="array" aca="1" ref="Z256" ca="1">INDIRECT("'"&amp;$A256&amp;"'!W14")</f>
        <v>0</v>
      </c>
      <c r="AA256" s="3">
        <f t="array" aca="1" ref="AA256" ca="1">INDIRECT("'"&amp;$A256&amp;"'!X14")</f>
        <v>0</v>
      </c>
      <c r="AB256" s="3">
        <f t="array" aca="1" ref="AB256" ca="1">INDIRECT("'"&amp;$A256&amp;"'!Y14")</f>
        <v>0</v>
      </c>
      <c r="AC256" s="3">
        <f t="array" aca="1" ref="AC256" ca="1">INDIRECT("'"&amp;$A256&amp;"'!Z14")</f>
        <v>0</v>
      </c>
      <c r="AD256" s="32">
        <f t="array" aca="1" ref="AD256" ca="1">INDIRECT("'"&amp;$A256&amp;"'!AA14")</f>
        <v>0</v>
      </c>
      <c r="AE256" s="83">
        <f t="array" aca="1" ref="AE256" ca="1">INDIRECT("'"&amp;$A255&amp;"'!J4")</f>
        <v>0</v>
      </c>
      <c r="AF256" s="53"/>
    </row>
    <row r="257" spans="1:32">
      <c r="A257" s="58">
        <v>86</v>
      </c>
      <c r="B257" s="105">
        <f>INDEX(data!$I$2:$I$91,MATCH(A257*1,data!$G$2:$G$91,0))</f>
        <v>46270</v>
      </c>
      <c r="C257" s="66" t="str">
        <f>HYPERLINK("#'" &amp; A257 &amp; "'!A1", "编辑")</f>
        <v>编辑</v>
      </c>
      <c r="D257" s="54" t="s">
        <v>6</v>
      </c>
      <c r="E257" s="81">
        <f t="array" aca="1" ref="E257" ca="1">INDIRECT("'"&amp;$A258&amp;"'!I2")</f>
        <v>18</v>
      </c>
      <c r="F257" s="29">
        <f t="array" aca="1" ref="F257" ca="1">INDIRECT("'"&amp;$A257&amp;"'!C8")</f>
        <v>0</v>
      </c>
      <c r="G257" s="30">
        <f t="array" aca="1" ref="G257" ca="1">INDIRECT("'"&amp;$A257&amp;"'!D8")</f>
        <v>0</v>
      </c>
      <c r="H257" s="30">
        <f t="array" aca="1" ref="H257" ca="1">INDIRECT("'"&amp;$A257&amp;"'!E8")</f>
        <v>0</v>
      </c>
      <c r="I257" s="30">
        <f t="array" aca="1" ref="I257" ca="1">INDIRECT("'"&amp;$A257&amp;"'!F8")</f>
        <v>0</v>
      </c>
      <c r="J257" s="30">
        <f t="array" aca="1" ref="J257" ca="1">INDIRECT("'"&amp;$A257&amp;"'!G8")</f>
        <v>0</v>
      </c>
      <c r="K257" s="30">
        <f t="array" aca="1" ref="K257" ca="1">INDIRECT("'"&amp;$A257&amp;"'!H8")</f>
        <v>0</v>
      </c>
      <c r="L257" s="30">
        <f t="array" aca="1" ref="L257" ca="1">INDIRECT("'"&amp;$A257&amp;"'!I8")</f>
        <v>0</v>
      </c>
      <c r="M257" s="30">
        <f t="array" aca="1" ref="M257" ca="1">INDIRECT("'"&amp;$A257&amp;"'!J8")</f>
        <v>0</v>
      </c>
      <c r="N257" s="30">
        <f t="array" aca="1" ref="N257" ca="1">INDIRECT("'"&amp;$A257&amp;"'!K8")</f>
        <v>0</v>
      </c>
      <c r="O257" s="30">
        <f t="array" aca="1" ref="O257" ca="1">INDIRECT("'"&amp;$A257&amp;"'!L8")</f>
        <v>0</v>
      </c>
      <c r="P257" s="30">
        <f t="array" aca="1" ref="P257" ca="1">INDIRECT("'"&amp;$A257&amp;"'!M8")</f>
        <v>0</v>
      </c>
      <c r="Q257" s="30">
        <f t="array" aca="1" ref="Q257" ca="1">INDIRECT("'"&amp;$A257&amp;"'!N8")</f>
        <v>0</v>
      </c>
      <c r="R257" s="30">
        <f t="array" aca="1" ref="R257" ca="1">INDIRECT("'"&amp;$A257&amp;"'!O8")</f>
        <v>0</v>
      </c>
      <c r="S257" s="30">
        <f t="array" aca="1" ref="S257" ca="1">INDIRECT("'"&amp;$A257&amp;"'!P8")</f>
        <v>0</v>
      </c>
      <c r="T257" s="30">
        <f t="array" aca="1" ref="T257" ca="1">INDIRECT("'"&amp;$A257&amp;"'!Q8")</f>
        <v>0</v>
      </c>
      <c r="U257" s="30">
        <f t="array" aca="1" ref="U257" ca="1">INDIRECT("'"&amp;$A257&amp;"'!R8")</f>
        <v>0</v>
      </c>
      <c r="V257" s="30">
        <f t="array" aca="1" ref="V257" ca="1">INDIRECT("'"&amp;$A257&amp;"'!S8")</f>
        <v>0</v>
      </c>
      <c r="W257" s="30">
        <f t="array" aca="1" ref="W257" ca="1">INDIRECT("'"&amp;$A257&amp;"'!T8")</f>
        <v>0</v>
      </c>
      <c r="X257" s="30">
        <f t="array" aca="1" ref="X257" ca="1">INDIRECT("'"&amp;$A257&amp;"'!U8")</f>
        <v>0</v>
      </c>
      <c r="Y257" s="30">
        <f t="array" aca="1" ref="Y257" ca="1">INDIRECT("'"&amp;$A257&amp;"'!V8")</f>
        <v>0</v>
      </c>
      <c r="Z257" s="30">
        <f t="array" aca="1" ref="Z257" ca="1">INDIRECT("'"&amp;$A257&amp;"'!W8")</f>
        <v>0</v>
      </c>
      <c r="AA257" s="30">
        <f t="array" aca="1" ref="AA257" ca="1">INDIRECT("'"&amp;$A257&amp;"'!X8")</f>
        <v>0</v>
      </c>
      <c r="AB257" s="30">
        <f t="array" aca="1" ref="AB257" ca="1">INDIRECT("'"&amp;$A257&amp;"'!Y8")</f>
        <v>0</v>
      </c>
      <c r="AC257" s="30">
        <f t="array" aca="1" ref="AC257" ca="1">INDIRECT("'"&amp;$A257&amp;"'!Z8")</f>
        <v>0</v>
      </c>
      <c r="AD257" s="31">
        <f t="array" aca="1" ref="AD257" ca="1">INDIRECT("'"&amp;$A257&amp;"'!AA8")</f>
        <v>0</v>
      </c>
      <c r="AE257" s="81">
        <f t="array" aca="1" ref="AE257" ca="1">INDIRECT("'"&amp;$A258&amp;"'!J2")</f>
        <v>0</v>
      </c>
      <c r="AF257" s="53" t="str">
        <f t="array" aca="1" ref="AF257" ca="1">INDIRECT("'"&amp;$A258&amp;"'!AD1")</f>
        <v/>
      </c>
    </row>
    <row r="258" spans="1:32">
      <c r="A258" s="58">
        <v>86</v>
      </c>
      <c r="B258" s="106"/>
      <c r="C258" s="67" t="str">
        <f t="array" aca="1" ref="C258" ca="1">CONCATENATE("粮 ",INDIRECT("'"&amp;$A258&amp;"'!D4"))</f>
        <v>粮 142800</v>
      </c>
      <c r="D258" s="55" t="s">
        <v>7</v>
      </c>
      <c r="E258" s="82">
        <f t="array" aca="1" ref="E258" ca="1">INDIRECT("'"&amp;$A258&amp;"'!I3")</f>
        <v>18</v>
      </c>
      <c r="F258" s="52">
        <f t="array" aca="1" ref="F258" ca="1">INDIRECT("'"&amp;$A258&amp;"'!C11")</f>
        <v>0</v>
      </c>
      <c r="G258" s="3">
        <f t="array" aca="1" ref="G258" ca="1">INDIRECT("'"&amp;$A258&amp;"'!D11")</f>
        <v>0</v>
      </c>
      <c r="H258" s="3">
        <f t="array" aca="1" ref="H258" ca="1">INDIRECT("'"&amp;$A258&amp;"'!E11")</f>
        <v>0</v>
      </c>
      <c r="I258" s="3">
        <f t="array" aca="1" ref="I258" ca="1">INDIRECT("'"&amp;$A258&amp;"'!F11")</f>
        <v>0</v>
      </c>
      <c r="J258" s="3">
        <f t="array" aca="1" ref="J258" ca="1">INDIRECT("'"&amp;$A258&amp;"'!G11")</f>
        <v>0</v>
      </c>
      <c r="K258" s="3">
        <f t="array" aca="1" ref="K258" ca="1">INDIRECT("'"&amp;$A258&amp;"'!H11")</f>
        <v>0</v>
      </c>
      <c r="L258" s="3">
        <f t="array" aca="1" ref="L258" ca="1">INDIRECT("'"&amp;$A258&amp;"'!I11")</f>
        <v>0</v>
      </c>
      <c r="M258" s="3">
        <f t="array" aca="1" ref="M258" ca="1">INDIRECT("'"&amp;$A258&amp;"'!J11")</f>
        <v>0</v>
      </c>
      <c r="N258" s="3">
        <f t="array" aca="1" ref="N258" ca="1">INDIRECT("'"&amp;$A258&amp;"'!K11")</f>
        <v>0</v>
      </c>
      <c r="O258" s="3">
        <f t="array" aca="1" ref="O258" ca="1">INDIRECT("'"&amp;$A258&amp;"'!L11")</f>
        <v>0</v>
      </c>
      <c r="P258" s="3">
        <f t="array" aca="1" ref="P258" ca="1">INDIRECT("'"&amp;$A258&amp;"'!M11")</f>
        <v>0</v>
      </c>
      <c r="Q258" s="3">
        <f t="array" aca="1" ref="Q258" ca="1">INDIRECT("'"&amp;$A258&amp;"'!N11")</f>
        <v>0</v>
      </c>
      <c r="R258" s="3">
        <f t="array" aca="1" ref="R258" ca="1">INDIRECT("'"&amp;$A258&amp;"'!O11")</f>
        <v>0</v>
      </c>
      <c r="S258" s="3">
        <f t="array" aca="1" ref="S258" ca="1">INDIRECT("'"&amp;$A258&amp;"'!P11")</f>
        <v>0</v>
      </c>
      <c r="T258" s="3">
        <f t="array" aca="1" ref="T258" ca="1">INDIRECT("'"&amp;$A258&amp;"'!Q11")</f>
        <v>0</v>
      </c>
      <c r="U258" s="3">
        <f t="array" aca="1" ref="U258" ca="1">INDIRECT("'"&amp;$A258&amp;"'!R11")</f>
        <v>0</v>
      </c>
      <c r="V258" s="3">
        <f t="array" aca="1" ref="V258" ca="1">INDIRECT("'"&amp;$A258&amp;"'!S11")</f>
        <v>0</v>
      </c>
      <c r="W258" s="3">
        <f t="array" aca="1" ref="W258" ca="1">INDIRECT("'"&amp;$A258&amp;"'!T11")</f>
        <v>0</v>
      </c>
      <c r="X258" s="3">
        <f t="array" aca="1" ref="X258" ca="1">INDIRECT("'"&amp;$A258&amp;"'!U11")</f>
        <v>0</v>
      </c>
      <c r="Y258" s="3">
        <f t="array" aca="1" ref="Y258" ca="1">INDIRECT("'"&amp;$A258&amp;"'!V11")</f>
        <v>0</v>
      </c>
      <c r="Z258" s="3">
        <f t="array" aca="1" ref="Z258" ca="1">INDIRECT("'"&amp;$A258&amp;"'!W11")</f>
        <v>0</v>
      </c>
      <c r="AA258" s="3">
        <f t="array" aca="1" ref="AA258" ca="1">INDIRECT("'"&amp;$A258&amp;"'!X11")</f>
        <v>0</v>
      </c>
      <c r="AB258" s="3">
        <f t="array" aca="1" ref="AB258" ca="1">INDIRECT("'"&amp;$A258&amp;"'!Y11")</f>
        <v>0</v>
      </c>
      <c r="AC258" s="3">
        <f t="array" aca="1" ref="AC258" ca="1">INDIRECT("'"&amp;$A258&amp;"'!Z11")</f>
        <v>0</v>
      </c>
      <c r="AD258" s="32">
        <f t="array" aca="1" ref="AD258" ca="1">INDIRECT("'"&amp;$A258&amp;"'!AA11")</f>
        <v>0</v>
      </c>
      <c r="AE258" s="82">
        <f t="array" aca="1" ref="AE258" ca="1">INDIRECT("'"&amp;$A258&amp;"'!J3")</f>
        <v>0</v>
      </c>
      <c r="AF258" s="53" t="str">
        <f t="array" aca="1" ref="AF258" ca="1">INDIRECT("'"&amp;$A258&amp;"'!AC1")</f>
        <v/>
      </c>
    </row>
    <row r="259" spans="1:32" ht="15.75" customHeight="1" thickBot="1">
      <c r="A259" s="58">
        <v>86</v>
      </c>
      <c r="B259" s="107"/>
      <c r="C259" s="77" t="str">
        <f t="array" aca="1" ref="C259" ca="1">CONCATENATE("分 ",INDIRECT("'"&amp;$A258&amp;"'!D6"))</f>
        <v>分 0</v>
      </c>
      <c r="D259" s="56" t="s">
        <v>8</v>
      </c>
      <c r="E259" s="83">
        <f t="array" aca="1" ref="E259" ca="1">INDIRECT("'"&amp;$A258&amp;"'!I4")</f>
        <v>18</v>
      </c>
      <c r="F259" s="52">
        <f t="array" aca="1" ref="F259" ca="1">INDIRECT("'"&amp;$A259&amp;"'!C14")</f>
        <v>0</v>
      </c>
      <c r="G259" s="3">
        <f t="array" aca="1" ref="G259" ca="1">INDIRECT("'"&amp;$A259&amp;"'!D14")</f>
        <v>0</v>
      </c>
      <c r="H259" s="3">
        <f t="array" aca="1" ref="H259" ca="1">INDIRECT("'"&amp;$A259&amp;"'!E14")</f>
        <v>0</v>
      </c>
      <c r="I259" s="3">
        <f t="array" aca="1" ref="I259" ca="1">INDIRECT("'"&amp;$A259&amp;"'!F14")</f>
        <v>0</v>
      </c>
      <c r="J259" s="3">
        <f t="array" aca="1" ref="J259" ca="1">INDIRECT("'"&amp;$A259&amp;"'!G14")</f>
        <v>0</v>
      </c>
      <c r="K259" s="3">
        <f t="array" aca="1" ref="K259" ca="1">INDIRECT("'"&amp;$A259&amp;"'!H14")</f>
        <v>0</v>
      </c>
      <c r="L259" s="3">
        <f t="array" aca="1" ref="L259" ca="1">INDIRECT("'"&amp;$A259&amp;"'!I14")</f>
        <v>0</v>
      </c>
      <c r="M259" s="3">
        <f t="array" aca="1" ref="M259" ca="1">INDIRECT("'"&amp;$A259&amp;"'!J14")</f>
        <v>0</v>
      </c>
      <c r="N259" s="3">
        <f t="array" aca="1" ref="N259" ca="1">INDIRECT("'"&amp;$A259&amp;"'!K14")</f>
        <v>0</v>
      </c>
      <c r="O259" s="3">
        <f t="array" aca="1" ref="O259" ca="1">INDIRECT("'"&amp;$A259&amp;"'!L14")</f>
        <v>0</v>
      </c>
      <c r="P259" s="3">
        <f t="array" aca="1" ref="P259" ca="1">INDIRECT("'"&amp;$A259&amp;"'!M14")</f>
        <v>0</v>
      </c>
      <c r="Q259" s="3">
        <f t="array" aca="1" ref="Q259" ca="1">INDIRECT("'"&amp;$A259&amp;"'!N14")</f>
        <v>0</v>
      </c>
      <c r="R259" s="3">
        <f t="array" aca="1" ref="R259" ca="1">INDIRECT("'"&amp;$A259&amp;"'!O14")</f>
        <v>0</v>
      </c>
      <c r="S259" s="3">
        <f t="array" aca="1" ref="S259" ca="1">INDIRECT("'"&amp;$A259&amp;"'!P14")</f>
        <v>0</v>
      </c>
      <c r="T259" s="3">
        <f t="array" aca="1" ref="T259" ca="1">INDIRECT("'"&amp;$A259&amp;"'!Q14")</f>
        <v>0</v>
      </c>
      <c r="U259" s="3">
        <f t="array" aca="1" ref="U259" ca="1">INDIRECT("'"&amp;$A259&amp;"'!R14")</f>
        <v>0</v>
      </c>
      <c r="V259" s="3">
        <f t="array" aca="1" ref="V259" ca="1">INDIRECT("'"&amp;$A259&amp;"'!S14")</f>
        <v>0</v>
      </c>
      <c r="W259" s="3">
        <f t="array" aca="1" ref="W259" ca="1">INDIRECT("'"&amp;$A259&amp;"'!T14")</f>
        <v>0</v>
      </c>
      <c r="X259" s="3">
        <f t="array" aca="1" ref="X259" ca="1">INDIRECT("'"&amp;$A259&amp;"'!U14")</f>
        <v>0</v>
      </c>
      <c r="Y259" s="3">
        <f t="array" aca="1" ref="Y259" ca="1">INDIRECT("'"&amp;$A259&amp;"'!V14")</f>
        <v>0</v>
      </c>
      <c r="Z259" s="3">
        <f t="array" aca="1" ref="Z259" ca="1">INDIRECT("'"&amp;$A259&amp;"'!W14")</f>
        <v>0</v>
      </c>
      <c r="AA259" s="3">
        <f t="array" aca="1" ref="AA259" ca="1">INDIRECT("'"&amp;$A259&amp;"'!X14")</f>
        <v>0</v>
      </c>
      <c r="AB259" s="3">
        <f t="array" aca="1" ref="AB259" ca="1">INDIRECT("'"&amp;$A259&amp;"'!Y14")</f>
        <v>0</v>
      </c>
      <c r="AC259" s="3">
        <f t="array" aca="1" ref="AC259" ca="1">INDIRECT("'"&amp;$A259&amp;"'!Z14")</f>
        <v>0</v>
      </c>
      <c r="AD259" s="32">
        <f t="array" aca="1" ref="AD259" ca="1">INDIRECT("'"&amp;$A259&amp;"'!AA14")</f>
        <v>0</v>
      </c>
      <c r="AE259" s="83">
        <f t="array" aca="1" ref="AE259" ca="1">INDIRECT("'"&amp;$A258&amp;"'!J4")</f>
        <v>0</v>
      </c>
      <c r="AF259" s="53"/>
    </row>
    <row r="260" spans="1:32">
      <c r="A260" s="58">
        <v>87</v>
      </c>
      <c r="B260" s="105">
        <f>INDEX(data!$I$2:$I$91,MATCH(A260*1,data!$G$2:$G$91,0))</f>
        <v>46271</v>
      </c>
      <c r="C260" s="66" t="str">
        <f>HYPERLINK("#'" &amp; A260 &amp; "'!A1", "编辑")</f>
        <v>编辑</v>
      </c>
      <c r="D260" s="54" t="s">
        <v>6</v>
      </c>
      <c r="E260" s="81">
        <f t="array" aca="1" ref="E260" ca="1">INDIRECT("'"&amp;$A261&amp;"'!I2")</f>
        <v>18</v>
      </c>
      <c r="F260" s="29">
        <f t="array" aca="1" ref="F260" ca="1">INDIRECT("'"&amp;$A260&amp;"'!C8")</f>
        <v>0</v>
      </c>
      <c r="G260" s="30">
        <f t="array" aca="1" ref="G260" ca="1">INDIRECT("'"&amp;$A260&amp;"'!D8")</f>
        <v>0</v>
      </c>
      <c r="H260" s="30">
        <f t="array" aca="1" ref="H260" ca="1">INDIRECT("'"&amp;$A260&amp;"'!E8")</f>
        <v>0</v>
      </c>
      <c r="I260" s="30">
        <f t="array" aca="1" ref="I260" ca="1">INDIRECT("'"&amp;$A260&amp;"'!F8")</f>
        <v>0</v>
      </c>
      <c r="J260" s="30">
        <f t="array" aca="1" ref="J260" ca="1">INDIRECT("'"&amp;$A260&amp;"'!G8")</f>
        <v>0</v>
      </c>
      <c r="K260" s="30">
        <f t="array" aca="1" ref="K260" ca="1">INDIRECT("'"&amp;$A260&amp;"'!H8")</f>
        <v>0</v>
      </c>
      <c r="L260" s="30">
        <f t="array" aca="1" ref="L260" ca="1">INDIRECT("'"&amp;$A260&amp;"'!I8")</f>
        <v>0</v>
      </c>
      <c r="M260" s="30">
        <f t="array" aca="1" ref="M260" ca="1">INDIRECT("'"&amp;$A260&amp;"'!J8")</f>
        <v>0</v>
      </c>
      <c r="N260" s="30">
        <f t="array" aca="1" ref="N260" ca="1">INDIRECT("'"&amp;$A260&amp;"'!K8")</f>
        <v>0</v>
      </c>
      <c r="O260" s="30">
        <f t="array" aca="1" ref="O260" ca="1">INDIRECT("'"&amp;$A260&amp;"'!L8")</f>
        <v>0</v>
      </c>
      <c r="P260" s="30">
        <f t="array" aca="1" ref="P260" ca="1">INDIRECT("'"&amp;$A260&amp;"'!M8")</f>
        <v>0</v>
      </c>
      <c r="Q260" s="30">
        <f t="array" aca="1" ref="Q260" ca="1">INDIRECT("'"&amp;$A260&amp;"'!N8")</f>
        <v>0</v>
      </c>
      <c r="R260" s="30">
        <f t="array" aca="1" ref="R260" ca="1">INDIRECT("'"&amp;$A260&amp;"'!O8")</f>
        <v>0</v>
      </c>
      <c r="S260" s="30">
        <f t="array" aca="1" ref="S260" ca="1">INDIRECT("'"&amp;$A260&amp;"'!P8")</f>
        <v>0</v>
      </c>
      <c r="T260" s="30">
        <f t="array" aca="1" ref="T260" ca="1">INDIRECT("'"&amp;$A260&amp;"'!Q8")</f>
        <v>0</v>
      </c>
      <c r="U260" s="30">
        <f t="array" aca="1" ref="U260" ca="1">INDIRECT("'"&amp;$A260&amp;"'!R8")</f>
        <v>0</v>
      </c>
      <c r="V260" s="30">
        <f t="array" aca="1" ref="V260" ca="1">INDIRECT("'"&amp;$A260&amp;"'!S8")</f>
        <v>0</v>
      </c>
      <c r="W260" s="30">
        <f t="array" aca="1" ref="W260" ca="1">INDIRECT("'"&amp;$A260&amp;"'!T8")</f>
        <v>0</v>
      </c>
      <c r="X260" s="30">
        <f t="array" aca="1" ref="X260" ca="1">INDIRECT("'"&amp;$A260&amp;"'!U8")</f>
        <v>0</v>
      </c>
      <c r="Y260" s="30">
        <f t="array" aca="1" ref="Y260" ca="1">INDIRECT("'"&amp;$A260&amp;"'!V8")</f>
        <v>0</v>
      </c>
      <c r="Z260" s="30">
        <f t="array" aca="1" ref="Z260" ca="1">INDIRECT("'"&amp;$A260&amp;"'!W8")</f>
        <v>0</v>
      </c>
      <c r="AA260" s="30">
        <f t="array" aca="1" ref="AA260" ca="1">INDIRECT("'"&amp;$A260&amp;"'!X8")</f>
        <v>0</v>
      </c>
      <c r="AB260" s="30">
        <f t="array" aca="1" ref="AB260" ca="1">INDIRECT("'"&amp;$A260&amp;"'!Y8")</f>
        <v>0</v>
      </c>
      <c r="AC260" s="30">
        <f t="array" aca="1" ref="AC260" ca="1">INDIRECT("'"&amp;$A260&amp;"'!Z8")</f>
        <v>0</v>
      </c>
      <c r="AD260" s="31">
        <f t="array" aca="1" ref="AD260" ca="1">INDIRECT("'"&amp;$A260&amp;"'!AA8")</f>
        <v>0</v>
      </c>
      <c r="AE260" s="81">
        <f t="array" aca="1" ref="AE260" ca="1">INDIRECT("'"&amp;$A261&amp;"'!J2")</f>
        <v>0</v>
      </c>
      <c r="AF260" s="53" t="str">
        <f t="array" aca="1" ref="AF260" ca="1">INDIRECT("'"&amp;$A261&amp;"'!AD1")</f>
        <v/>
      </c>
    </row>
    <row r="261" spans="1:32">
      <c r="A261" s="58">
        <v>87</v>
      </c>
      <c r="B261" s="106"/>
      <c r="C261" s="67" t="str">
        <f t="array" aca="1" ref="C261" ca="1">CONCATENATE("粮 ",INDIRECT("'"&amp;$A261&amp;"'!D4"))</f>
        <v>粮 144400</v>
      </c>
      <c r="D261" s="55" t="s">
        <v>7</v>
      </c>
      <c r="E261" s="82">
        <f t="array" aca="1" ref="E261" ca="1">INDIRECT("'"&amp;$A261&amp;"'!I3")</f>
        <v>18</v>
      </c>
      <c r="F261" s="52">
        <f t="array" aca="1" ref="F261" ca="1">INDIRECT("'"&amp;$A261&amp;"'!C11")</f>
        <v>0</v>
      </c>
      <c r="G261" s="3">
        <f t="array" aca="1" ref="G261" ca="1">INDIRECT("'"&amp;$A261&amp;"'!D11")</f>
        <v>0</v>
      </c>
      <c r="H261" s="3">
        <f t="array" aca="1" ref="H261" ca="1">INDIRECT("'"&amp;$A261&amp;"'!E11")</f>
        <v>0</v>
      </c>
      <c r="I261" s="3">
        <f t="array" aca="1" ref="I261" ca="1">INDIRECT("'"&amp;$A261&amp;"'!F11")</f>
        <v>0</v>
      </c>
      <c r="J261" s="3">
        <f t="array" aca="1" ref="J261" ca="1">INDIRECT("'"&amp;$A261&amp;"'!G11")</f>
        <v>0</v>
      </c>
      <c r="K261" s="3">
        <f t="array" aca="1" ref="K261" ca="1">INDIRECT("'"&amp;$A261&amp;"'!H11")</f>
        <v>0</v>
      </c>
      <c r="L261" s="3">
        <f t="array" aca="1" ref="L261" ca="1">INDIRECT("'"&amp;$A261&amp;"'!I11")</f>
        <v>0</v>
      </c>
      <c r="M261" s="3">
        <f t="array" aca="1" ref="M261" ca="1">INDIRECT("'"&amp;$A261&amp;"'!J11")</f>
        <v>0</v>
      </c>
      <c r="N261" s="3">
        <f t="array" aca="1" ref="N261" ca="1">INDIRECT("'"&amp;$A261&amp;"'!K11")</f>
        <v>0</v>
      </c>
      <c r="O261" s="3">
        <f t="array" aca="1" ref="O261" ca="1">INDIRECT("'"&amp;$A261&amp;"'!L11")</f>
        <v>0</v>
      </c>
      <c r="P261" s="3">
        <f t="array" aca="1" ref="P261" ca="1">INDIRECT("'"&amp;$A261&amp;"'!M11")</f>
        <v>0</v>
      </c>
      <c r="Q261" s="3">
        <f t="array" aca="1" ref="Q261" ca="1">INDIRECT("'"&amp;$A261&amp;"'!N11")</f>
        <v>0</v>
      </c>
      <c r="R261" s="3">
        <f t="array" aca="1" ref="R261" ca="1">INDIRECT("'"&amp;$A261&amp;"'!O11")</f>
        <v>0</v>
      </c>
      <c r="S261" s="3">
        <f t="array" aca="1" ref="S261" ca="1">INDIRECT("'"&amp;$A261&amp;"'!P11")</f>
        <v>0</v>
      </c>
      <c r="T261" s="3">
        <f t="array" aca="1" ref="T261" ca="1">INDIRECT("'"&amp;$A261&amp;"'!Q11")</f>
        <v>0</v>
      </c>
      <c r="U261" s="3">
        <f t="array" aca="1" ref="U261" ca="1">INDIRECT("'"&amp;$A261&amp;"'!R11")</f>
        <v>0</v>
      </c>
      <c r="V261" s="3">
        <f t="array" aca="1" ref="V261" ca="1">INDIRECT("'"&amp;$A261&amp;"'!S11")</f>
        <v>0</v>
      </c>
      <c r="W261" s="3">
        <f t="array" aca="1" ref="W261" ca="1">INDIRECT("'"&amp;$A261&amp;"'!T11")</f>
        <v>0</v>
      </c>
      <c r="X261" s="3">
        <f t="array" aca="1" ref="X261" ca="1">INDIRECT("'"&amp;$A261&amp;"'!U11")</f>
        <v>0</v>
      </c>
      <c r="Y261" s="3">
        <f t="array" aca="1" ref="Y261" ca="1">INDIRECT("'"&amp;$A261&amp;"'!V11")</f>
        <v>0</v>
      </c>
      <c r="Z261" s="3">
        <f t="array" aca="1" ref="Z261" ca="1">INDIRECT("'"&amp;$A261&amp;"'!W11")</f>
        <v>0</v>
      </c>
      <c r="AA261" s="3">
        <f t="array" aca="1" ref="AA261" ca="1">INDIRECT("'"&amp;$A261&amp;"'!X11")</f>
        <v>0</v>
      </c>
      <c r="AB261" s="3">
        <f t="array" aca="1" ref="AB261" ca="1">INDIRECT("'"&amp;$A261&amp;"'!Y11")</f>
        <v>0</v>
      </c>
      <c r="AC261" s="3">
        <f t="array" aca="1" ref="AC261" ca="1">INDIRECT("'"&amp;$A261&amp;"'!Z11")</f>
        <v>0</v>
      </c>
      <c r="AD261" s="32">
        <f t="array" aca="1" ref="AD261" ca="1">INDIRECT("'"&amp;$A261&amp;"'!AA11")</f>
        <v>0</v>
      </c>
      <c r="AE261" s="82">
        <f t="array" aca="1" ref="AE261" ca="1">INDIRECT("'"&amp;$A261&amp;"'!J3")</f>
        <v>0</v>
      </c>
      <c r="AF261" s="53" t="str">
        <f t="array" aca="1" ref="AF261" ca="1">INDIRECT("'"&amp;$A261&amp;"'!AC1")</f>
        <v/>
      </c>
    </row>
    <row r="262" spans="1:32" ht="15.75" customHeight="1" thickBot="1">
      <c r="A262" s="58">
        <v>87</v>
      </c>
      <c r="B262" s="107"/>
      <c r="C262" s="77" t="str">
        <f t="array" aca="1" ref="C262" ca="1">CONCATENATE("分 ",INDIRECT("'"&amp;$A261&amp;"'!D6"))</f>
        <v>分 0</v>
      </c>
      <c r="D262" s="56" t="s">
        <v>8</v>
      </c>
      <c r="E262" s="83">
        <f t="array" aca="1" ref="E262" ca="1">INDIRECT("'"&amp;$A261&amp;"'!I4")</f>
        <v>18</v>
      </c>
      <c r="F262" s="52">
        <f t="array" aca="1" ref="F262" ca="1">INDIRECT("'"&amp;$A262&amp;"'!C14")</f>
        <v>0</v>
      </c>
      <c r="G262" s="3">
        <f t="array" aca="1" ref="G262" ca="1">INDIRECT("'"&amp;$A262&amp;"'!D14")</f>
        <v>0</v>
      </c>
      <c r="H262" s="3">
        <f t="array" aca="1" ref="H262" ca="1">INDIRECT("'"&amp;$A262&amp;"'!E14")</f>
        <v>0</v>
      </c>
      <c r="I262" s="3">
        <f t="array" aca="1" ref="I262" ca="1">INDIRECT("'"&amp;$A262&amp;"'!F14")</f>
        <v>0</v>
      </c>
      <c r="J262" s="3">
        <f t="array" aca="1" ref="J262" ca="1">INDIRECT("'"&amp;$A262&amp;"'!G14")</f>
        <v>0</v>
      </c>
      <c r="K262" s="3">
        <f t="array" aca="1" ref="K262" ca="1">INDIRECT("'"&amp;$A262&amp;"'!H14")</f>
        <v>0</v>
      </c>
      <c r="L262" s="3">
        <f t="array" aca="1" ref="L262" ca="1">INDIRECT("'"&amp;$A262&amp;"'!I14")</f>
        <v>0</v>
      </c>
      <c r="M262" s="3">
        <f t="array" aca="1" ref="M262" ca="1">INDIRECT("'"&amp;$A262&amp;"'!J14")</f>
        <v>0</v>
      </c>
      <c r="N262" s="3">
        <f t="array" aca="1" ref="N262" ca="1">INDIRECT("'"&amp;$A262&amp;"'!K14")</f>
        <v>0</v>
      </c>
      <c r="O262" s="3">
        <f t="array" aca="1" ref="O262" ca="1">INDIRECT("'"&amp;$A262&amp;"'!L14")</f>
        <v>0</v>
      </c>
      <c r="P262" s="3">
        <f t="array" aca="1" ref="P262" ca="1">INDIRECT("'"&amp;$A262&amp;"'!M14")</f>
        <v>0</v>
      </c>
      <c r="Q262" s="3">
        <f t="array" aca="1" ref="Q262" ca="1">INDIRECT("'"&amp;$A262&amp;"'!N14")</f>
        <v>0</v>
      </c>
      <c r="R262" s="3">
        <f t="array" aca="1" ref="R262" ca="1">INDIRECT("'"&amp;$A262&amp;"'!O14")</f>
        <v>0</v>
      </c>
      <c r="S262" s="3">
        <f t="array" aca="1" ref="S262" ca="1">INDIRECT("'"&amp;$A262&amp;"'!P14")</f>
        <v>0</v>
      </c>
      <c r="T262" s="3">
        <f t="array" aca="1" ref="T262" ca="1">INDIRECT("'"&amp;$A262&amp;"'!Q14")</f>
        <v>0</v>
      </c>
      <c r="U262" s="3">
        <f t="array" aca="1" ref="U262" ca="1">INDIRECT("'"&amp;$A262&amp;"'!R14")</f>
        <v>0</v>
      </c>
      <c r="V262" s="3">
        <f t="array" aca="1" ref="V262" ca="1">INDIRECT("'"&amp;$A262&amp;"'!S14")</f>
        <v>0</v>
      </c>
      <c r="W262" s="3">
        <f t="array" aca="1" ref="W262" ca="1">INDIRECT("'"&amp;$A262&amp;"'!T14")</f>
        <v>0</v>
      </c>
      <c r="X262" s="3">
        <f t="array" aca="1" ref="X262" ca="1">INDIRECT("'"&amp;$A262&amp;"'!U14")</f>
        <v>0</v>
      </c>
      <c r="Y262" s="3">
        <f t="array" aca="1" ref="Y262" ca="1">INDIRECT("'"&amp;$A262&amp;"'!V14")</f>
        <v>0</v>
      </c>
      <c r="Z262" s="3">
        <f t="array" aca="1" ref="Z262" ca="1">INDIRECT("'"&amp;$A262&amp;"'!W14")</f>
        <v>0</v>
      </c>
      <c r="AA262" s="3">
        <f t="array" aca="1" ref="AA262" ca="1">INDIRECT("'"&amp;$A262&amp;"'!X14")</f>
        <v>0</v>
      </c>
      <c r="AB262" s="3">
        <f t="array" aca="1" ref="AB262" ca="1">INDIRECT("'"&amp;$A262&amp;"'!Y14")</f>
        <v>0</v>
      </c>
      <c r="AC262" s="3">
        <f t="array" aca="1" ref="AC262" ca="1">INDIRECT("'"&amp;$A262&amp;"'!Z14")</f>
        <v>0</v>
      </c>
      <c r="AD262" s="32">
        <f t="array" aca="1" ref="AD262" ca="1">INDIRECT("'"&amp;$A262&amp;"'!AA14")</f>
        <v>0</v>
      </c>
      <c r="AE262" s="83">
        <f t="array" aca="1" ref="AE262" ca="1">INDIRECT("'"&amp;$A261&amp;"'!J4")</f>
        <v>0</v>
      </c>
      <c r="AF262" s="53"/>
    </row>
    <row r="263" spans="1:32">
      <c r="A263" s="58">
        <v>88</v>
      </c>
      <c r="B263" s="105">
        <f>INDEX(data!$I$2:$I$91,MATCH(A263*1,data!$G$2:$G$91,0))</f>
        <v>46272</v>
      </c>
      <c r="C263" s="66" t="str">
        <f>HYPERLINK("#'" &amp; A263 &amp; "'!A1", "编辑")</f>
        <v>编辑</v>
      </c>
      <c r="D263" s="54" t="s">
        <v>6</v>
      </c>
      <c r="E263" s="81">
        <f t="array" aca="1" ref="E263" ca="1">INDIRECT("'"&amp;$A264&amp;"'!I2")</f>
        <v>18</v>
      </c>
      <c r="F263" s="29">
        <f t="array" aca="1" ref="F263" ca="1">INDIRECT("'"&amp;$A263&amp;"'!C8")</f>
        <v>0</v>
      </c>
      <c r="G263" s="30">
        <f t="array" aca="1" ref="G263" ca="1">INDIRECT("'"&amp;$A263&amp;"'!D8")</f>
        <v>0</v>
      </c>
      <c r="H263" s="30">
        <f t="array" aca="1" ref="H263" ca="1">INDIRECT("'"&amp;$A263&amp;"'!E8")</f>
        <v>0</v>
      </c>
      <c r="I263" s="30">
        <f t="array" aca="1" ref="I263" ca="1">INDIRECT("'"&amp;$A263&amp;"'!F8")</f>
        <v>0</v>
      </c>
      <c r="J263" s="30">
        <f t="array" aca="1" ref="J263" ca="1">INDIRECT("'"&amp;$A263&amp;"'!G8")</f>
        <v>0</v>
      </c>
      <c r="K263" s="30">
        <f t="array" aca="1" ref="K263" ca="1">INDIRECT("'"&amp;$A263&amp;"'!H8")</f>
        <v>0</v>
      </c>
      <c r="L263" s="30">
        <f t="array" aca="1" ref="L263" ca="1">INDIRECT("'"&amp;$A263&amp;"'!I8")</f>
        <v>0</v>
      </c>
      <c r="M263" s="30">
        <f t="array" aca="1" ref="M263" ca="1">INDIRECT("'"&amp;$A263&amp;"'!J8")</f>
        <v>0</v>
      </c>
      <c r="N263" s="30">
        <f t="array" aca="1" ref="N263" ca="1">INDIRECT("'"&amp;$A263&amp;"'!K8")</f>
        <v>0</v>
      </c>
      <c r="O263" s="30">
        <f t="array" aca="1" ref="O263" ca="1">INDIRECT("'"&amp;$A263&amp;"'!L8")</f>
        <v>0</v>
      </c>
      <c r="P263" s="30">
        <f t="array" aca="1" ref="P263" ca="1">INDIRECT("'"&amp;$A263&amp;"'!M8")</f>
        <v>0</v>
      </c>
      <c r="Q263" s="30">
        <f t="array" aca="1" ref="Q263" ca="1">INDIRECT("'"&amp;$A263&amp;"'!N8")</f>
        <v>0</v>
      </c>
      <c r="R263" s="30">
        <f t="array" aca="1" ref="R263" ca="1">INDIRECT("'"&amp;$A263&amp;"'!O8")</f>
        <v>0</v>
      </c>
      <c r="S263" s="30">
        <f t="array" aca="1" ref="S263" ca="1">INDIRECT("'"&amp;$A263&amp;"'!P8")</f>
        <v>0</v>
      </c>
      <c r="T263" s="30">
        <f t="array" aca="1" ref="T263" ca="1">INDIRECT("'"&amp;$A263&amp;"'!Q8")</f>
        <v>0</v>
      </c>
      <c r="U263" s="30">
        <f t="array" aca="1" ref="U263" ca="1">INDIRECT("'"&amp;$A263&amp;"'!R8")</f>
        <v>0</v>
      </c>
      <c r="V263" s="30">
        <f t="array" aca="1" ref="V263" ca="1">INDIRECT("'"&amp;$A263&amp;"'!S8")</f>
        <v>0</v>
      </c>
      <c r="W263" s="30">
        <f t="array" aca="1" ref="W263" ca="1">INDIRECT("'"&amp;$A263&amp;"'!T8")</f>
        <v>0</v>
      </c>
      <c r="X263" s="30">
        <f t="array" aca="1" ref="X263" ca="1">INDIRECT("'"&amp;$A263&amp;"'!U8")</f>
        <v>0</v>
      </c>
      <c r="Y263" s="30">
        <f t="array" aca="1" ref="Y263" ca="1">INDIRECT("'"&amp;$A263&amp;"'!V8")</f>
        <v>0</v>
      </c>
      <c r="Z263" s="30">
        <f t="array" aca="1" ref="Z263" ca="1">INDIRECT("'"&amp;$A263&amp;"'!W8")</f>
        <v>0</v>
      </c>
      <c r="AA263" s="30">
        <f t="array" aca="1" ref="AA263" ca="1">INDIRECT("'"&amp;$A263&amp;"'!X8")</f>
        <v>0</v>
      </c>
      <c r="AB263" s="30">
        <f t="array" aca="1" ref="AB263" ca="1">INDIRECT("'"&amp;$A263&amp;"'!Y8")</f>
        <v>0</v>
      </c>
      <c r="AC263" s="30">
        <f t="array" aca="1" ref="AC263" ca="1">INDIRECT("'"&amp;$A263&amp;"'!Z8")</f>
        <v>0</v>
      </c>
      <c r="AD263" s="31">
        <f t="array" aca="1" ref="AD263" ca="1">INDIRECT("'"&amp;$A263&amp;"'!AA8")</f>
        <v>0</v>
      </c>
      <c r="AE263" s="81">
        <f t="array" aca="1" ref="AE263" ca="1">INDIRECT("'"&amp;$A264&amp;"'!J2")</f>
        <v>0</v>
      </c>
      <c r="AF263" s="53" t="str">
        <f t="array" aca="1" ref="AF263" ca="1">INDIRECT("'"&amp;$A264&amp;"'!AD1")</f>
        <v/>
      </c>
    </row>
    <row r="264" spans="1:32">
      <c r="A264" s="58">
        <v>88</v>
      </c>
      <c r="B264" s="106"/>
      <c r="C264" s="67" t="str">
        <f t="array" aca="1" ref="C264" ca="1">CONCATENATE("粮 ",INDIRECT("'"&amp;$A264&amp;"'!D4"))</f>
        <v>粮 146000</v>
      </c>
      <c r="D264" s="55" t="s">
        <v>7</v>
      </c>
      <c r="E264" s="82">
        <f t="array" aca="1" ref="E264" ca="1">INDIRECT("'"&amp;$A264&amp;"'!I3")</f>
        <v>18</v>
      </c>
      <c r="F264" s="52">
        <f t="array" aca="1" ref="F264" ca="1">INDIRECT("'"&amp;$A264&amp;"'!C11")</f>
        <v>0</v>
      </c>
      <c r="G264" s="3">
        <f t="array" aca="1" ref="G264" ca="1">INDIRECT("'"&amp;$A264&amp;"'!D11")</f>
        <v>0</v>
      </c>
      <c r="H264" s="3">
        <f t="array" aca="1" ref="H264" ca="1">INDIRECT("'"&amp;$A264&amp;"'!E11")</f>
        <v>0</v>
      </c>
      <c r="I264" s="3">
        <f t="array" aca="1" ref="I264" ca="1">INDIRECT("'"&amp;$A264&amp;"'!F11")</f>
        <v>0</v>
      </c>
      <c r="J264" s="3">
        <f t="array" aca="1" ref="J264" ca="1">INDIRECT("'"&amp;$A264&amp;"'!G11")</f>
        <v>0</v>
      </c>
      <c r="K264" s="3">
        <f t="array" aca="1" ref="K264" ca="1">INDIRECT("'"&amp;$A264&amp;"'!H11")</f>
        <v>0</v>
      </c>
      <c r="L264" s="3">
        <f t="array" aca="1" ref="L264" ca="1">INDIRECT("'"&amp;$A264&amp;"'!I11")</f>
        <v>0</v>
      </c>
      <c r="M264" s="3">
        <f t="array" aca="1" ref="M264" ca="1">INDIRECT("'"&amp;$A264&amp;"'!J11")</f>
        <v>0</v>
      </c>
      <c r="N264" s="3">
        <f t="array" aca="1" ref="N264" ca="1">INDIRECT("'"&amp;$A264&amp;"'!K11")</f>
        <v>0</v>
      </c>
      <c r="O264" s="3">
        <f t="array" aca="1" ref="O264" ca="1">INDIRECT("'"&amp;$A264&amp;"'!L11")</f>
        <v>0</v>
      </c>
      <c r="P264" s="3">
        <f t="array" aca="1" ref="P264" ca="1">INDIRECT("'"&amp;$A264&amp;"'!M11")</f>
        <v>0</v>
      </c>
      <c r="Q264" s="3">
        <f t="array" aca="1" ref="Q264" ca="1">INDIRECT("'"&amp;$A264&amp;"'!N11")</f>
        <v>0</v>
      </c>
      <c r="R264" s="3">
        <f t="array" aca="1" ref="R264" ca="1">INDIRECT("'"&amp;$A264&amp;"'!O11")</f>
        <v>0</v>
      </c>
      <c r="S264" s="3">
        <f t="array" aca="1" ref="S264" ca="1">INDIRECT("'"&amp;$A264&amp;"'!P11")</f>
        <v>0</v>
      </c>
      <c r="T264" s="3">
        <f t="array" aca="1" ref="T264" ca="1">INDIRECT("'"&amp;$A264&amp;"'!Q11")</f>
        <v>0</v>
      </c>
      <c r="U264" s="3">
        <f t="array" aca="1" ref="U264" ca="1">INDIRECT("'"&amp;$A264&amp;"'!R11")</f>
        <v>0</v>
      </c>
      <c r="V264" s="3">
        <f t="array" aca="1" ref="V264" ca="1">INDIRECT("'"&amp;$A264&amp;"'!S11")</f>
        <v>0</v>
      </c>
      <c r="W264" s="3">
        <f t="array" aca="1" ref="W264" ca="1">INDIRECT("'"&amp;$A264&amp;"'!T11")</f>
        <v>0</v>
      </c>
      <c r="X264" s="3">
        <f t="array" aca="1" ref="X264" ca="1">INDIRECT("'"&amp;$A264&amp;"'!U11")</f>
        <v>0</v>
      </c>
      <c r="Y264" s="3">
        <f t="array" aca="1" ref="Y264" ca="1">INDIRECT("'"&amp;$A264&amp;"'!V11")</f>
        <v>0</v>
      </c>
      <c r="Z264" s="3">
        <f t="array" aca="1" ref="Z264" ca="1">INDIRECT("'"&amp;$A264&amp;"'!W11")</f>
        <v>0</v>
      </c>
      <c r="AA264" s="3">
        <f t="array" aca="1" ref="AA264" ca="1">INDIRECT("'"&amp;$A264&amp;"'!X11")</f>
        <v>0</v>
      </c>
      <c r="AB264" s="3">
        <f t="array" aca="1" ref="AB264" ca="1">INDIRECT("'"&amp;$A264&amp;"'!Y11")</f>
        <v>0</v>
      </c>
      <c r="AC264" s="3">
        <f t="array" aca="1" ref="AC264" ca="1">INDIRECT("'"&amp;$A264&amp;"'!Z11")</f>
        <v>0</v>
      </c>
      <c r="AD264" s="32">
        <f t="array" aca="1" ref="AD264" ca="1">INDIRECT("'"&amp;$A264&amp;"'!AA11")</f>
        <v>0</v>
      </c>
      <c r="AE264" s="82">
        <f t="array" aca="1" ref="AE264" ca="1">INDIRECT("'"&amp;$A264&amp;"'!J3")</f>
        <v>0</v>
      </c>
      <c r="AF264" s="53" t="str">
        <f t="array" aca="1" ref="AF264" ca="1">INDIRECT("'"&amp;$A264&amp;"'!AC1")</f>
        <v/>
      </c>
    </row>
    <row r="265" spans="1:32" ht="15.75" customHeight="1" thickBot="1">
      <c r="A265" s="58">
        <v>88</v>
      </c>
      <c r="B265" s="107"/>
      <c r="C265" s="77" t="str">
        <f t="array" aca="1" ref="C265" ca="1">CONCATENATE("分 ",INDIRECT("'"&amp;$A264&amp;"'!D6"))</f>
        <v>分 0</v>
      </c>
      <c r="D265" s="56" t="s">
        <v>8</v>
      </c>
      <c r="E265" s="83">
        <f t="array" aca="1" ref="E265" ca="1">INDIRECT("'"&amp;$A264&amp;"'!I4")</f>
        <v>18</v>
      </c>
      <c r="F265" s="52">
        <f t="array" aca="1" ref="F265" ca="1">INDIRECT("'"&amp;$A265&amp;"'!C14")</f>
        <v>0</v>
      </c>
      <c r="G265" s="3">
        <f t="array" aca="1" ref="G265" ca="1">INDIRECT("'"&amp;$A265&amp;"'!D14")</f>
        <v>0</v>
      </c>
      <c r="H265" s="3">
        <f t="array" aca="1" ref="H265" ca="1">INDIRECT("'"&amp;$A265&amp;"'!E14")</f>
        <v>0</v>
      </c>
      <c r="I265" s="3">
        <f t="array" aca="1" ref="I265" ca="1">INDIRECT("'"&amp;$A265&amp;"'!F14")</f>
        <v>0</v>
      </c>
      <c r="J265" s="3">
        <f t="array" aca="1" ref="J265" ca="1">INDIRECT("'"&amp;$A265&amp;"'!G14")</f>
        <v>0</v>
      </c>
      <c r="K265" s="3">
        <f t="array" aca="1" ref="K265" ca="1">INDIRECT("'"&amp;$A265&amp;"'!H14")</f>
        <v>0</v>
      </c>
      <c r="L265" s="3">
        <f t="array" aca="1" ref="L265" ca="1">INDIRECT("'"&amp;$A265&amp;"'!I14")</f>
        <v>0</v>
      </c>
      <c r="M265" s="3">
        <f t="array" aca="1" ref="M265" ca="1">INDIRECT("'"&amp;$A265&amp;"'!J14")</f>
        <v>0</v>
      </c>
      <c r="N265" s="3">
        <f t="array" aca="1" ref="N265" ca="1">INDIRECT("'"&amp;$A265&amp;"'!K14")</f>
        <v>0</v>
      </c>
      <c r="O265" s="3">
        <f t="array" aca="1" ref="O265" ca="1">INDIRECT("'"&amp;$A265&amp;"'!L14")</f>
        <v>0</v>
      </c>
      <c r="P265" s="3">
        <f t="array" aca="1" ref="P265" ca="1">INDIRECT("'"&amp;$A265&amp;"'!M14")</f>
        <v>0</v>
      </c>
      <c r="Q265" s="3">
        <f t="array" aca="1" ref="Q265" ca="1">INDIRECT("'"&amp;$A265&amp;"'!N14")</f>
        <v>0</v>
      </c>
      <c r="R265" s="3">
        <f t="array" aca="1" ref="R265" ca="1">INDIRECT("'"&amp;$A265&amp;"'!O14")</f>
        <v>0</v>
      </c>
      <c r="S265" s="3">
        <f t="array" aca="1" ref="S265" ca="1">INDIRECT("'"&amp;$A265&amp;"'!P14")</f>
        <v>0</v>
      </c>
      <c r="T265" s="3">
        <f t="array" aca="1" ref="T265" ca="1">INDIRECT("'"&amp;$A265&amp;"'!Q14")</f>
        <v>0</v>
      </c>
      <c r="U265" s="3">
        <f t="array" aca="1" ref="U265" ca="1">INDIRECT("'"&amp;$A265&amp;"'!R14")</f>
        <v>0</v>
      </c>
      <c r="V265" s="3">
        <f t="array" aca="1" ref="V265" ca="1">INDIRECT("'"&amp;$A265&amp;"'!S14")</f>
        <v>0</v>
      </c>
      <c r="W265" s="3">
        <f t="array" aca="1" ref="W265" ca="1">INDIRECT("'"&amp;$A265&amp;"'!T14")</f>
        <v>0</v>
      </c>
      <c r="X265" s="3">
        <f t="array" aca="1" ref="X265" ca="1">INDIRECT("'"&amp;$A265&amp;"'!U14")</f>
        <v>0</v>
      </c>
      <c r="Y265" s="3">
        <f t="array" aca="1" ref="Y265" ca="1">INDIRECT("'"&amp;$A265&amp;"'!V14")</f>
        <v>0</v>
      </c>
      <c r="Z265" s="3">
        <f t="array" aca="1" ref="Z265" ca="1">INDIRECT("'"&amp;$A265&amp;"'!W14")</f>
        <v>0</v>
      </c>
      <c r="AA265" s="3">
        <f t="array" aca="1" ref="AA265" ca="1">INDIRECT("'"&amp;$A265&amp;"'!X14")</f>
        <v>0</v>
      </c>
      <c r="AB265" s="3">
        <f t="array" aca="1" ref="AB265" ca="1">INDIRECT("'"&amp;$A265&amp;"'!Y14")</f>
        <v>0</v>
      </c>
      <c r="AC265" s="3">
        <f t="array" aca="1" ref="AC265" ca="1">INDIRECT("'"&amp;$A265&amp;"'!Z14")</f>
        <v>0</v>
      </c>
      <c r="AD265" s="32">
        <f t="array" aca="1" ref="AD265" ca="1">INDIRECT("'"&amp;$A265&amp;"'!AA14")</f>
        <v>0</v>
      </c>
      <c r="AE265" s="83">
        <f t="array" aca="1" ref="AE265" ca="1">INDIRECT("'"&amp;$A264&amp;"'!J4")</f>
        <v>0</v>
      </c>
      <c r="AF265" s="53"/>
    </row>
    <row r="266" spans="1:32">
      <c r="A266" s="58">
        <v>89</v>
      </c>
      <c r="B266" s="105">
        <f>INDEX(data!$I$2:$I$91,MATCH(A266*1,data!$G$2:$G$91,0))</f>
        <v>46273</v>
      </c>
      <c r="C266" s="66" t="str">
        <f>HYPERLINK("#'" &amp; A266 &amp; "'!A1", "编辑")</f>
        <v>编辑</v>
      </c>
      <c r="D266" s="54" t="s">
        <v>6</v>
      </c>
      <c r="E266" s="81">
        <f t="array" aca="1" ref="E266" ca="1">INDIRECT("'"&amp;$A267&amp;"'!I2")</f>
        <v>18</v>
      </c>
      <c r="F266" s="29">
        <f t="array" aca="1" ref="F266" ca="1">INDIRECT("'"&amp;$A266&amp;"'!C8")</f>
        <v>0</v>
      </c>
      <c r="G266" s="30">
        <f t="array" aca="1" ref="G266" ca="1">INDIRECT("'"&amp;$A266&amp;"'!D8")</f>
        <v>0</v>
      </c>
      <c r="H266" s="30">
        <f t="array" aca="1" ref="H266" ca="1">INDIRECT("'"&amp;$A266&amp;"'!E8")</f>
        <v>0</v>
      </c>
      <c r="I266" s="30">
        <f t="array" aca="1" ref="I266" ca="1">INDIRECT("'"&amp;$A266&amp;"'!F8")</f>
        <v>0</v>
      </c>
      <c r="J266" s="30">
        <f t="array" aca="1" ref="J266" ca="1">INDIRECT("'"&amp;$A266&amp;"'!G8")</f>
        <v>0</v>
      </c>
      <c r="K266" s="30">
        <f t="array" aca="1" ref="K266" ca="1">INDIRECT("'"&amp;$A266&amp;"'!H8")</f>
        <v>0</v>
      </c>
      <c r="L266" s="30">
        <f t="array" aca="1" ref="L266" ca="1">INDIRECT("'"&amp;$A266&amp;"'!I8")</f>
        <v>0</v>
      </c>
      <c r="M266" s="30">
        <f t="array" aca="1" ref="M266" ca="1">INDIRECT("'"&amp;$A266&amp;"'!J8")</f>
        <v>0</v>
      </c>
      <c r="N266" s="30">
        <f t="array" aca="1" ref="N266" ca="1">INDIRECT("'"&amp;$A266&amp;"'!K8")</f>
        <v>0</v>
      </c>
      <c r="O266" s="30">
        <f t="array" aca="1" ref="O266" ca="1">INDIRECT("'"&amp;$A266&amp;"'!L8")</f>
        <v>0</v>
      </c>
      <c r="P266" s="30">
        <f t="array" aca="1" ref="P266" ca="1">INDIRECT("'"&amp;$A266&amp;"'!M8")</f>
        <v>0</v>
      </c>
      <c r="Q266" s="30">
        <f t="array" aca="1" ref="Q266" ca="1">INDIRECT("'"&amp;$A266&amp;"'!N8")</f>
        <v>0</v>
      </c>
      <c r="R266" s="30">
        <f t="array" aca="1" ref="R266" ca="1">INDIRECT("'"&amp;$A266&amp;"'!O8")</f>
        <v>0</v>
      </c>
      <c r="S266" s="30">
        <f t="array" aca="1" ref="S266" ca="1">INDIRECT("'"&amp;$A266&amp;"'!P8")</f>
        <v>0</v>
      </c>
      <c r="T266" s="30">
        <f t="array" aca="1" ref="T266" ca="1">INDIRECT("'"&amp;$A266&amp;"'!Q8")</f>
        <v>0</v>
      </c>
      <c r="U266" s="30">
        <f t="array" aca="1" ref="U266" ca="1">INDIRECT("'"&amp;$A266&amp;"'!R8")</f>
        <v>0</v>
      </c>
      <c r="V266" s="30">
        <f t="array" aca="1" ref="V266" ca="1">INDIRECT("'"&amp;$A266&amp;"'!S8")</f>
        <v>0</v>
      </c>
      <c r="W266" s="30">
        <f t="array" aca="1" ref="W266" ca="1">INDIRECT("'"&amp;$A266&amp;"'!T8")</f>
        <v>0</v>
      </c>
      <c r="X266" s="30">
        <f t="array" aca="1" ref="X266" ca="1">INDIRECT("'"&amp;$A266&amp;"'!U8")</f>
        <v>0</v>
      </c>
      <c r="Y266" s="30">
        <f t="array" aca="1" ref="Y266" ca="1">INDIRECT("'"&amp;$A266&amp;"'!V8")</f>
        <v>0</v>
      </c>
      <c r="Z266" s="30">
        <f t="array" aca="1" ref="Z266" ca="1">INDIRECT("'"&amp;$A266&amp;"'!W8")</f>
        <v>0</v>
      </c>
      <c r="AA266" s="30">
        <f t="array" aca="1" ref="AA266" ca="1">INDIRECT("'"&amp;$A266&amp;"'!X8")</f>
        <v>0</v>
      </c>
      <c r="AB266" s="30">
        <f t="array" aca="1" ref="AB266" ca="1">INDIRECT("'"&amp;$A266&amp;"'!Y8")</f>
        <v>0</v>
      </c>
      <c r="AC266" s="30">
        <f t="array" aca="1" ref="AC266" ca="1">INDIRECT("'"&amp;$A266&amp;"'!Z8")</f>
        <v>0</v>
      </c>
      <c r="AD266" s="31">
        <f t="array" aca="1" ref="AD266" ca="1">INDIRECT("'"&amp;$A266&amp;"'!AA8")</f>
        <v>0</v>
      </c>
      <c r="AE266" s="81">
        <f t="array" aca="1" ref="AE266" ca="1">INDIRECT("'"&amp;$A267&amp;"'!J2")</f>
        <v>0</v>
      </c>
      <c r="AF266" s="53" t="str">
        <f t="array" aca="1" ref="AF266" ca="1">INDIRECT("'"&amp;$A267&amp;"'!AD1")</f>
        <v/>
      </c>
    </row>
    <row r="267" spans="1:32">
      <c r="A267" s="58">
        <v>89</v>
      </c>
      <c r="B267" s="106"/>
      <c r="C267" s="67" t="str">
        <f t="array" aca="1" ref="C267" ca="1">CONCATENATE("粮 ",INDIRECT("'"&amp;$A267&amp;"'!D4"))</f>
        <v>粮 147600</v>
      </c>
      <c r="D267" s="55" t="s">
        <v>7</v>
      </c>
      <c r="E267" s="82">
        <f t="array" aca="1" ref="E267" ca="1">INDIRECT("'"&amp;$A267&amp;"'!I3")</f>
        <v>18</v>
      </c>
      <c r="F267" s="52">
        <f t="array" aca="1" ref="F267" ca="1">INDIRECT("'"&amp;$A267&amp;"'!C11")</f>
        <v>0</v>
      </c>
      <c r="G267" s="3">
        <f t="array" aca="1" ref="G267" ca="1">INDIRECT("'"&amp;$A267&amp;"'!D11")</f>
        <v>0</v>
      </c>
      <c r="H267" s="3">
        <f t="array" aca="1" ref="H267" ca="1">INDIRECT("'"&amp;$A267&amp;"'!E11")</f>
        <v>0</v>
      </c>
      <c r="I267" s="3">
        <f t="array" aca="1" ref="I267" ca="1">INDIRECT("'"&amp;$A267&amp;"'!F11")</f>
        <v>0</v>
      </c>
      <c r="J267" s="3">
        <f t="array" aca="1" ref="J267" ca="1">INDIRECT("'"&amp;$A267&amp;"'!G11")</f>
        <v>0</v>
      </c>
      <c r="K267" s="3">
        <f t="array" aca="1" ref="K267" ca="1">INDIRECT("'"&amp;$A267&amp;"'!H11")</f>
        <v>0</v>
      </c>
      <c r="L267" s="3">
        <f t="array" aca="1" ref="L267" ca="1">INDIRECT("'"&amp;$A267&amp;"'!I11")</f>
        <v>0</v>
      </c>
      <c r="M267" s="3">
        <f t="array" aca="1" ref="M267" ca="1">INDIRECT("'"&amp;$A267&amp;"'!J11")</f>
        <v>0</v>
      </c>
      <c r="N267" s="3">
        <f t="array" aca="1" ref="N267" ca="1">INDIRECT("'"&amp;$A267&amp;"'!K11")</f>
        <v>0</v>
      </c>
      <c r="O267" s="3">
        <f t="array" aca="1" ref="O267" ca="1">INDIRECT("'"&amp;$A267&amp;"'!L11")</f>
        <v>0</v>
      </c>
      <c r="P267" s="3">
        <f t="array" aca="1" ref="P267" ca="1">INDIRECT("'"&amp;$A267&amp;"'!M11")</f>
        <v>0</v>
      </c>
      <c r="Q267" s="3">
        <f t="array" aca="1" ref="Q267" ca="1">INDIRECT("'"&amp;$A267&amp;"'!N11")</f>
        <v>0</v>
      </c>
      <c r="R267" s="3">
        <f t="array" aca="1" ref="R267" ca="1">INDIRECT("'"&amp;$A267&amp;"'!O11")</f>
        <v>0</v>
      </c>
      <c r="S267" s="3">
        <f t="array" aca="1" ref="S267" ca="1">INDIRECT("'"&amp;$A267&amp;"'!P11")</f>
        <v>0</v>
      </c>
      <c r="T267" s="3">
        <f t="array" aca="1" ref="T267" ca="1">INDIRECT("'"&amp;$A267&amp;"'!Q11")</f>
        <v>0</v>
      </c>
      <c r="U267" s="3">
        <f t="array" aca="1" ref="U267" ca="1">INDIRECT("'"&amp;$A267&amp;"'!R11")</f>
        <v>0</v>
      </c>
      <c r="V267" s="3">
        <f t="array" aca="1" ref="V267" ca="1">INDIRECT("'"&amp;$A267&amp;"'!S11")</f>
        <v>0</v>
      </c>
      <c r="W267" s="3">
        <f t="array" aca="1" ref="W267" ca="1">INDIRECT("'"&amp;$A267&amp;"'!T11")</f>
        <v>0</v>
      </c>
      <c r="X267" s="3">
        <f t="array" aca="1" ref="X267" ca="1">INDIRECT("'"&amp;$A267&amp;"'!U11")</f>
        <v>0</v>
      </c>
      <c r="Y267" s="3">
        <f t="array" aca="1" ref="Y267" ca="1">INDIRECT("'"&amp;$A267&amp;"'!V11")</f>
        <v>0</v>
      </c>
      <c r="Z267" s="3">
        <f t="array" aca="1" ref="Z267" ca="1">INDIRECT("'"&amp;$A267&amp;"'!W11")</f>
        <v>0</v>
      </c>
      <c r="AA267" s="3">
        <f t="array" aca="1" ref="AA267" ca="1">INDIRECT("'"&amp;$A267&amp;"'!X11")</f>
        <v>0</v>
      </c>
      <c r="AB267" s="3">
        <f t="array" aca="1" ref="AB267" ca="1">INDIRECT("'"&amp;$A267&amp;"'!Y11")</f>
        <v>0</v>
      </c>
      <c r="AC267" s="3">
        <f t="array" aca="1" ref="AC267" ca="1">INDIRECT("'"&amp;$A267&amp;"'!Z11")</f>
        <v>0</v>
      </c>
      <c r="AD267" s="32">
        <f t="array" aca="1" ref="AD267" ca="1">INDIRECT("'"&amp;$A267&amp;"'!AA11")</f>
        <v>0</v>
      </c>
      <c r="AE267" s="82">
        <f t="array" aca="1" ref="AE267" ca="1">INDIRECT("'"&amp;$A267&amp;"'!J3")</f>
        <v>0</v>
      </c>
      <c r="AF267" s="53" t="str">
        <f t="array" aca="1" ref="AF267" ca="1">INDIRECT("'"&amp;$A267&amp;"'!AC1")</f>
        <v/>
      </c>
    </row>
    <row r="268" spans="1:32" ht="15.75" customHeight="1" thickBot="1">
      <c r="A268" s="58">
        <v>89</v>
      </c>
      <c r="B268" s="107"/>
      <c r="C268" s="77" t="str">
        <f t="array" aca="1" ref="C268" ca="1">CONCATENATE("分 ",INDIRECT("'"&amp;$A267&amp;"'!D6"))</f>
        <v>分 0</v>
      </c>
      <c r="D268" s="56" t="s">
        <v>8</v>
      </c>
      <c r="E268" s="83">
        <f t="array" aca="1" ref="E268" ca="1">INDIRECT("'"&amp;$A267&amp;"'!I4")</f>
        <v>18</v>
      </c>
      <c r="F268" s="52">
        <f t="array" aca="1" ref="F268" ca="1">INDIRECT("'"&amp;$A268&amp;"'!C14")</f>
        <v>0</v>
      </c>
      <c r="G268" s="3">
        <f t="array" aca="1" ref="G268" ca="1">INDIRECT("'"&amp;$A268&amp;"'!D14")</f>
        <v>0</v>
      </c>
      <c r="H268" s="3">
        <f t="array" aca="1" ref="H268" ca="1">INDIRECT("'"&amp;$A268&amp;"'!E14")</f>
        <v>0</v>
      </c>
      <c r="I268" s="3">
        <f t="array" aca="1" ref="I268" ca="1">INDIRECT("'"&amp;$A268&amp;"'!F14")</f>
        <v>0</v>
      </c>
      <c r="J268" s="3">
        <f t="array" aca="1" ref="J268" ca="1">INDIRECT("'"&amp;$A268&amp;"'!G14")</f>
        <v>0</v>
      </c>
      <c r="K268" s="3">
        <f t="array" aca="1" ref="K268" ca="1">INDIRECT("'"&amp;$A268&amp;"'!H14")</f>
        <v>0</v>
      </c>
      <c r="L268" s="3">
        <f t="array" aca="1" ref="L268" ca="1">INDIRECT("'"&amp;$A268&amp;"'!I14")</f>
        <v>0</v>
      </c>
      <c r="M268" s="3">
        <f t="array" aca="1" ref="M268" ca="1">INDIRECT("'"&amp;$A268&amp;"'!J14")</f>
        <v>0</v>
      </c>
      <c r="N268" s="3">
        <f t="array" aca="1" ref="N268" ca="1">INDIRECT("'"&amp;$A268&amp;"'!K14")</f>
        <v>0</v>
      </c>
      <c r="O268" s="3">
        <f t="array" aca="1" ref="O268" ca="1">INDIRECT("'"&amp;$A268&amp;"'!L14")</f>
        <v>0</v>
      </c>
      <c r="P268" s="3">
        <f t="array" aca="1" ref="P268" ca="1">INDIRECT("'"&amp;$A268&amp;"'!M14")</f>
        <v>0</v>
      </c>
      <c r="Q268" s="3">
        <f t="array" aca="1" ref="Q268" ca="1">INDIRECT("'"&amp;$A268&amp;"'!N14")</f>
        <v>0</v>
      </c>
      <c r="R268" s="3">
        <f t="array" aca="1" ref="R268" ca="1">INDIRECT("'"&amp;$A268&amp;"'!O14")</f>
        <v>0</v>
      </c>
      <c r="S268" s="3">
        <f t="array" aca="1" ref="S268" ca="1">INDIRECT("'"&amp;$A268&amp;"'!P14")</f>
        <v>0</v>
      </c>
      <c r="T268" s="3">
        <f t="array" aca="1" ref="T268" ca="1">INDIRECT("'"&amp;$A268&amp;"'!Q14")</f>
        <v>0</v>
      </c>
      <c r="U268" s="3">
        <f t="array" aca="1" ref="U268" ca="1">INDIRECT("'"&amp;$A268&amp;"'!R14")</f>
        <v>0</v>
      </c>
      <c r="V268" s="3">
        <f t="array" aca="1" ref="V268" ca="1">INDIRECT("'"&amp;$A268&amp;"'!S14")</f>
        <v>0</v>
      </c>
      <c r="W268" s="3">
        <f t="array" aca="1" ref="W268" ca="1">INDIRECT("'"&amp;$A268&amp;"'!T14")</f>
        <v>0</v>
      </c>
      <c r="X268" s="3">
        <f t="array" aca="1" ref="X268" ca="1">INDIRECT("'"&amp;$A268&amp;"'!U14")</f>
        <v>0</v>
      </c>
      <c r="Y268" s="3">
        <f t="array" aca="1" ref="Y268" ca="1">INDIRECT("'"&amp;$A268&amp;"'!V14")</f>
        <v>0</v>
      </c>
      <c r="Z268" s="3">
        <f t="array" aca="1" ref="Z268" ca="1">INDIRECT("'"&amp;$A268&amp;"'!W14")</f>
        <v>0</v>
      </c>
      <c r="AA268" s="3">
        <f t="array" aca="1" ref="AA268" ca="1">INDIRECT("'"&amp;$A268&amp;"'!X14")</f>
        <v>0</v>
      </c>
      <c r="AB268" s="3">
        <f t="array" aca="1" ref="AB268" ca="1">INDIRECT("'"&amp;$A268&amp;"'!Y14")</f>
        <v>0</v>
      </c>
      <c r="AC268" s="3">
        <f t="array" aca="1" ref="AC268" ca="1">INDIRECT("'"&amp;$A268&amp;"'!Z14")</f>
        <v>0</v>
      </c>
      <c r="AD268" s="32">
        <f t="array" aca="1" ref="AD268" ca="1">INDIRECT("'"&amp;$A268&amp;"'!AA14")</f>
        <v>0</v>
      </c>
      <c r="AE268" s="83">
        <f t="array" aca="1" ref="AE268" ca="1">INDIRECT("'"&amp;$A267&amp;"'!J4")</f>
        <v>0</v>
      </c>
      <c r="AF268" s="53"/>
    </row>
    <row r="269" spans="1:32">
      <c r="A269" s="58">
        <v>90</v>
      </c>
      <c r="B269" s="105">
        <f>INDEX(data!$I$2:$I$91,MATCH(A269*1,data!$G$2:$G$91,0))</f>
        <v>46274</v>
      </c>
      <c r="C269" s="66" t="str">
        <f>HYPERLINK("#'" &amp; A269 &amp; "'!A1", "编辑")</f>
        <v>编辑</v>
      </c>
      <c r="D269" s="54" t="s">
        <v>6</v>
      </c>
      <c r="E269" s="81">
        <f t="array" aca="1" ref="E269" ca="1">INDIRECT("'"&amp;$A270&amp;"'!I2")</f>
        <v>18</v>
      </c>
      <c r="F269" s="29">
        <f t="array" aca="1" ref="F269" ca="1">INDIRECT("'"&amp;$A269&amp;"'!C8")</f>
        <v>0</v>
      </c>
      <c r="G269" s="30">
        <f t="array" aca="1" ref="G269" ca="1">INDIRECT("'"&amp;$A269&amp;"'!D8")</f>
        <v>0</v>
      </c>
      <c r="H269" s="30">
        <f t="array" aca="1" ref="H269" ca="1">INDIRECT("'"&amp;$A269&amp;"'!E8")</f>
        <v>0</v>
      </c>
      <c r="I269" s="30">
        <f t="array" aca="1" ref="I269" ca="1">INDIRECT("'"&amp;$A269&amp;"'!F8")</f>
        <v>0</v>
      </c>
      <c r="J269" s="30">
        <f t="array" aca="1" ref="J269" ca="1">INDIRECT("'"&amp;$A269&amp;"'!G8")</f>
        <v>0</v>
      </c>
      <c r="K269" s="30">
        <f t="array" aca="1" ref="K269" ca="1">INDIRECT("'"&amp;$A269&amp;"'!H8")</f>
        <v>0</v>
      </c>
      <c r="L269" s="30">
        <f t="array" aca="1" ref="L269" ca="1">INDIRECT("'"&amp;$A269&amp;"'!I8")</f>
        <v>0</v>
      </c>
      <c r="M269" s="30">
        <f t="array" aca="1" ref="M269" ca="1">INDIRECT("'"&amp;$A269&amp;"'!J8")</f>
        <v>0</v>
      </c>
      <c r="N269" s="30">
        <f t="array" aca="1" ref="N269" ca="1">INDIRECT("'"&amp;$A269&amp;"'!K8")</f>
        <v>0</v>
      </c>
      <c r="O269" s="30">
        <f t="array" aca="1" ref="O269" ca="1">INDIRECT("'"&amp;$A269&amp;"'!L8")</f>
        <v>0</v>
      </c>
      <c r="P269" s="30">
        <f t="array" aca="1" ref="P269" ca="1">INDIRECT("'"&amp;$A269&amp;"'!M8")</f>
        <v>0</v>
      </c>
      <c r="Q269" s="30">
        <f t="array" aca="1" ref="Q269" ca="1">INDIRECT("'"&amp;$A269&amp;"'!N8")</f>
        <v>0</v>
      </c>
      <c r="R269" s="30">
        <f t="array" aca="1" ref="R269" ca="1">INDIRECT("'"&amp;$A269&amp;"'!O8")</f>
        <v>0</v>
      </c>
      <c r="S269" s="30">
        <f t="array" aca="1" ref="S269" ca="1">INDIRECT("'"&amp;$A269&amp;"'!P8")</f>
        <v>0</v>
      </c>
      <c r="T269" s="30">
        <f t="array" aca="1" ref="T269" ca="1">INDIRECT("'"&amp;$A269&amp;"'!Q8")</f>
        <v>0</v>
      </c>
      <c r="U269" s="30">
        <f t="array" aca="1" ref="U269" ca="1">INDIRECT("'"&amp;$A269&amp;"'!R8")</f>
        <v>0</v>
      </c>
      <c r="V269" s="30">
        <f t="array" aca="1" ref="V269" ca="1">INDIRECT("'"&amp;$A269&amp;"'!S8")</f>
        <v>0</v>
      </c>
      <c r="W269" s="30">
        <f t="array" aca="1" ref="W269" ca="1">INDIRECT("'"&amp;$A269&amp;"'!T8")</f>
        <v>0</v>
      </c>
      <c r="X269" s="30">
        <f t="array" aca="1" ref="X269" ca="1">INDIRECT("'"&amp;$A269&amp;"'!U8")</f>
        <v>0</v>
      </c>
      <c r="Y269" s="30">
        <f t="array" aca="1" ref="Y269" ca="1">INDIRECT("'"&amp;$A269&amp;"'!V8")</f>
        <v>0</v>
      </c>
      <c r="Z269" s="30">
        <f t="array" aca="1" ref="Z269" ca="1">INDIRECT("'"&amp;$A269&amp;"'!W8")</f>
        <v>0</v>
      </c>
      <c r="AA269" s="30">
        <f t="array" aca="1" ref="AA269" ca="1">INDIRECT("'"&amp;$A269&amp;"'!X8")</f>
        <v>0</v>
      </c>
      <c r="AB269" s="30">
        <f t="array" aca="1" ref="AB269" ca="1">INDIRECT("'"&amp;$A269&amp;"'!Y8")</f>
        <v>0</v>
      </c>
      <c r="AC269" s="30">
        <f t="array" aca="1" ref="AC269" ca="1">INDIRECT("'"&amp;$A269&amp;"'!Z8")</f>
        <v>0</v>
      </c>
      <c r="AD269" s="31">
        <f t="array" aca="1" ref="AD269" ca="1">INDIRECT("'"&amp;$A269&amp;"'!AA8")</f>
        <v>0</v>
      </c>
      <c r="AE269" s="81">
        <f t="array" aca="1" ref="AE269" ca="1">INDIRECT("'"&amp;$A270&amp;"'!J2")</f>
        <v>0</v>
      </c>
      <c r="AF269" s="53" t="str">
        <f t="array" aca="1" ref="AF269" ca="1">INDIRECT("'"&amp;$A270&amp;"'!AD1")</f>
        <v/>
      </c>
    </row>
    <row r="270" spans="1:32">
      <c r="A270" s="58">
        <v>90</v>
      </c>
      <c r="B270" s="106"/>
      <c r="C270" s="67" t="str">
        <f t="array" aca="1" ref="C270" ca="1">CONCATENATE("粮 ",INDIRECT("'"&amp;$A270&amp;"'!D4"))</f>
        <v>粮 149200</v>
      </c>
      <c r="D270" s="55" t="s">
        <v>7</v>
      </c>
      <c r="E270" s="82">
        <f t="array" aca="1" ref="E270" ca="1">INDIRECT("'"&amp;$A270&amp;"'!I3")</f>
        <v>18</v>
      </c>
      <c r="F270" s="52">
        <f t="array" aca="1" ref="F270" ca="1">INDIRECT("'"&amp;$A270&amp;"'!C11")</f>
        <v>0</v>
      </c>
      <c r="G270" s="3">
        <f t="array" aca="1" ref="G270" ca="1">INDIRECT("'"&amp;$A270&amp;"'!D11")</f>
        <v>0</v>
      </c>
      <c r="H270" s="3">
        <f t="array" aca="1" ref="H270" ca="1">INDIRECT("'"&amp;$A270&amp;"'!E11")</f>
        <v>0</v>
      </c>
      <c r="I270" s="3">
        <f t="array" aca="1" ref="I270" ca="1">INDIRECT("'"&amp;$A270&amp;"'!F11")</f>
        <v>0</v>
      </c>
      <c r="J270" s="3">
        <f t="array" aca="1" ref="J270" ca="1">INDIRECT("'"&amp;$A270&amp;"'!G11")</f>
        <v>0</v>
      </c>
      <c r="K270" s="3">
        <f t="array" aca="1" ref="K270" ca="1">INDIRECT("'"&amp;$A270&amp;"'!H11")</f>
        <v>0</v>
      </c>
      <c r="L270" s="3">
        <f t="array" aca="1" ref="L270" ca="1">INDIRECT("'"&amp;$A270&amp;"'!I11")</f>
        <v>0</v>
      </c>
      <c r="M270" s="3">
        <f t="array" aca="1" ref="M270" ca="1">INDIRECT("'"&amp;$A270&amp;"'!J11")</f>
        <v>0</v>
      </c>
      <c r="N270" s="3">
        <f t="array" aca="1" ref="N270" ca="1">INDIRECT("'"&amp;$A270&amp;"'!K11")</f>
        <v>0</v>
      </c>
      <c r="O270" s="3">
        <f t="array" aca="1" ref="O270" ca="1">INDIRECT("'"&amp;$A270&amp;"'!L11")</f>
        <v>0</v>
      </c>
      <c r="P270" s="3">
        <f t="array" aca="1" ref="P270" ca="1">INDIRECT("'"&amp;$A270&amp;"'!M11")</f>
        <v>0</v>
      </c>
      <c r="Q270" s="3">
        <f t="array" aca="1" ref="Q270" ca="1">INDIRECT("'"&amp;$A270&amp;"'!N11")</f>
        <v>0</v>
      </c>
      <c r="R270" s="3">
        <f t="array" aca="1" ref="R270" ca="1">INDIRECT("'"&amp;$A270&amp;"'!O11")</f>
        <v>0</v>
      </c>
      <c r="S270" s="3">
        <f t="array" aca="1" ref="S270" ca="1">INDIRECT("'"&amp;$A270&amp;"'!P11")</f>
        <v>0</v>
      </c>
      <c r="T270" s="3">
        <f t="array" aca="1" ref="T270" ca="1">INDIRECT("'"&amp;$A270&amp;"'!Q11")</f>
        <v>0</v>
      </c>
      <c r="U270" s="3">
        <f t="array" aca="1" ref="U270" ca="1">INDIRECT("'"&amp;$A270&amp;"'!R11")</f>
        <v>0</v>
      </c>
      <c r="V270" s="3">
        <f t="array" aca="1" ref="V270" ca="1">INDIRECT("'"&amp;$A270&amp;"'!S11")</f>
        <v>0</v>
      </c>
      <c r="W270" s="3">
        <f t="array" aca="1" ref="W270" ca="1">INDIRECT("'"&amp;$A270&amp;"'!T11")</f>
        <v>0</v>
      </c>
      <c r="X270" s="3">
        <f t="array" aca="1" ref="X270" ca="1">INDIRECT("'"&amp;$A270&amp;"'!U11")</f>
        <v>0</v>
      </c>
      <c r="Y270" s="3">
        <f t="array" aca="1" ref="Y270" ca="1">INDIRECT("'"&amp;$A270&amp;"'!V11")</f>
        <v>0</v>
      </c>
      <c r="Z270" s="3">
        <f t="array" aca="1" ref="Z270" ca="1">INDIRECT("'"&amp;$A270&amp;"'!W11")</f>
        <v>0</v>
      </c>
      <c r="AA270" s="3">
        <f t="array" aca="1" ref="AA270" ca="1">INDIRECT("'"&amp;$A270&amp;"'!X11")</f>
        <v>0</v>
      </c>
      <c r="AB270" s="3">
        <f t="array" aca="1" ref="AB270" ca="1">INDIRECT("'"&amp;$A270&amp;"'!Y11")</f>
        <v>0</v>
      </c>
      <c r="AC270" s="3">
        <f t="array" aca="1" ref="AC270" ca="1">INDIRECT("'"&amp;$A270&amp;"'!Z11")</f>
        <v>0</v>
      </c>
      <c r="AD270" s="32">
        <f t="array" aca="1" ref="AD270" ca="1">INDIRECT("'"&amp;$A270&amp;"'!AA11")</f>
        <v>0</v>
      </c>
      <c r="AE270" s="82">
        <f t="array" aca="1" ref="AE270" ca="1">INDIRECT("'"&amp;$A270&amp;"'!J3")</f>
        <v>0</v>
      </c>
      <c r="AF270" s="53" t="str">
        <f t="array" aca="1" ref="AF270" ca="1">INDIRECT("'"&amp;$A270&amp;"'!AC1")</f>
        <v/>
      </c>
    </row>
    <row r="271" spans="1:32">
      <c r="A271" s="58">
        <v>90</v>
      </c>
      <c r="B271" s="107"/>
      <c r="C271" s="77" t="str">
        <f t="array" aca="1" ref="C271" ca="1">CONCATENATE("分 ",INDIRECT("'"&amp;$A270&amp;"'!D6"))</f>
        <v>分 0</v>
      </c>
      <c r="D271" s="56" t="s">
        <v>8</v>
      </c>
      <c r="E271" s="83">
        <f t="array" aca="1" ref="E271" ca="1">INDIRECT("'"&amp;$A270&amp;"'!I4")</f>
        <v>18</v>
      </c>
      <c r="F271" s="52">
        <f t="array" aca="1" ref="F271" ca="1">INDIRECT("'"&amp;$A271&amp;"'!C14")</f>
        <v>0</v>
      </c>
      <c r="G271" s="3">
        <f t="array" aca="1" ref="G271" ca="1">INDIRECT("'"&amp;$A271&amp;"'!D14")</f>
        <v>0</v>
      </c>
      <c r="H271" s="3">
        <f t="array" aca="1" ref="H271" ca="1">INDIRECT("'"&amp;$A271&amp;"'!E14")</f>
        <v>0</v>
      </c>
      <c r="I271" s="3">
        <f t="array" aca="1" ref="I271" ca="1">INDIRECT("'"&amp;$A271&amp;"'!F14")</f>
        <v>0</v>
      </c>
      <c r="J271" s="3">
        <f t="array" aca="1" ref="J271" ca="1">INDIRECT("'"&amp;$A271&amp;"'!G14")</f>
        <v>0</v>
      </c>
      <c r="K271" s="3">
        <f t="array" aca="1" ref="K271" ca="1">INDIRECT("'"&amp;$A271&amp;"'!H14")</f>
        <v>0</v>
      </c>
      <c r="L271" s="3">
        <f t="array" aca="1" ref="L271" ca="1">INDIRECT("'"&amp;$A271&amp;"'!I14")</f>
        <v>0</v>
      </c>
      <c r="M271" s="3">
        <f t="array" aca="1" ref="M271" ca="1">INDIRECT("'"&amp;$A271&amp;"'!J14")</f>
        <v>0</v>
      </c>
      <c r="N271" s="3">
        <f t="array" aca="1" ref="N271" ca="1">INDIRECT("'"&amp;$A271&amp;"'!K14")</f>
        <v>0</v>
      </c>
      <c r="O271" s="3">
        <f t="array" aca="1" ref="O271" ca="1">INDIRECT("'"&amp;$A271&amp;"'!L14")</f>
        <v>0</v>
      </c>
      <c r="P271" s="3">
        <f t="array" aca="1" ref="P271" ca="1">INDIRECT("'"&amp;$A271&amp;"'!M14")</f>
        <v>0</v>
      </c>
      <c r="Q271" s="3">
        <f t="array" aca="1" ref="Q271" ca="1">INDIRECT("'"&amp;$A271&amp;"'!N14")</f>
        <v>0</v>
      </c>
      <c r="R271" s="3">
        <f t="array" aca="1" ref="R271" ca="1">INDIRECT("'"&amp;$A271&amp;"'!O14")</f>
        <v>0</v>
      </c>
      <c r="S271" s="3">
        <f t="array" aca="1" ref="S271" ca="1">INDIRECT("'"&amp;$A271&amp;"'!P14")</f>
        <v>0</v>
      </c>
      <c r="T271" s="3">
        <f t="array" aca="1" ref="T271" ca="1">INDIRECT("'"&amp;$A271&amp;"'!Q14")</f>
        <v>0</v>
      </c>
      <c r="U271" s="3">
        <f t="array" aca="1" ref="U271" ca="1">INDIRECT("'"&amp;$A271&amp;"'!R14")</f>
        <v>0</v>
      </c>
      <c r="V271" s="3">
        <f t="array" aca="1" ref="V271" ca="1">INDIRECT("'"&amp;$A271&amp;"'!S14")</f>
        <v>0</v>
      </c>
      <c r="W271" s="3">
        <f t="array" aca="1" ref="W271" ca="1">INDIRECT("'"&amp;$A271&amp;"'!T14")</f>
        <v>0</v>
      </c>
      <c r="X271" s="3">
        <f t="array" aca="1" ref="X271" ca="1">INDIRECT("'"&amp;$A271&amp;"'!U14")</f>
        <v>0</v>
      </c>
      <c r="Y271" s="3">
        <f t="array" aca="1" ref="Y271" ca="1">INDIRECT("'"&amp;$A271&amp;"'!V14")</f>
        <v>0</v>
      </c>
      <c r="Z271" s="3">
        <f t="array" aca="1" ref="Z271" ca="1">INDIRECT("'"&amp;$A271&amp;"'!W14")</f>
        <v>0</v>
      </c>
      <c r="AA271" s="3">
        <f t="array" aca="1" ref="AA271" ca="1">INDIRECT("'"&amp;$A271&amp;"'!X14")</f>
        <v>0</v>
      </c>
      <c r="AB271" s="3">
        <f t="array" aca="1" ref="AB271" ca="1">INDIRECT("'"&amp;$A271&amp;"'!Y14")</f>
        <v>0</v>
      </c>
      <c r="AC271" s="3">
        <f t="array" aca="1" ref="AC271" ca="1">INDIRECT("'"&amp;$A271&amp;"'!Z14")</f>
        <v>0</v>
      </c>
      <c r="AD271" s="32">
        <f t="array" aca="1" ref="AD271" ca="1">INDIRECT("'"&amp;$A271&amp;"'!AA14")</f>
        <v>0</v>
      </c>
      <c r="AE271" s="83">
        <f t="array" aca="1" ref="AE271" ca="1">INDIRECT("'"&amp;$A270&amp;"'!J4")</f>
        <v>0</v>
      </c>
      <c r="AF271" s="53"/>
    </row>
  </sheetData>
  <autoFilter ref="B1:AF271" xr:uid="{00000000-0009-0000-0000-000000000000}"/>
  <mergeCells count="90">
    <mergeCell ref="B266:B268"/>
    <mergeCell ref="B95:B97"/>
    <mergeCell ref="B104:B106"/>
    <mergeCell ref="B218:B220"/>
    <mergeCell ref="B122:B124"/>
    <mergeCell ref="B227:B229"/>
    <mergeCell ref="B236:B238"/>
    <mergeCell ref="B224:B226"/>
    <mergeCell ref="B200:B202"/>
    <mergeCell ref="B209:B211"/>
    <mergeCell ref="B161:B163"/>
    <mergeCell ref="B170:B172"/>
    <mergeCell ref="B239:B241"/>
    <mergeCell ref="B137:B139"/>
    <mergeCell ref="B263:B265"/>
    <mergeCell ref="B155:B157"/>
    <mergeCell ref="B2:B4"/>
    <mergeCell ref="B101:B103"/>
    <mergeCell ref="B116:B118"/>
    <mergeCell ref="B17:B19"/>
    <mergeCell ref="B77:B79"/>
    <mergeCell ref="B179:B181"/>
    <mergeCell ref="B86:B88"/>
    <mergeCell ref="B44:B46"/>
    <mergeCell ref="B119:B121"/>
    <mergeCell ref="B143:B145"/>
    <mergeCell ref="B56:B58"/>
    <mergeCell ref="B32:B34"/>
    <mergeCell ref="B71:B73"/>
    <mergeCell ref="B260:B262"/>
    <mergeCell ref="B89:B91"/>
    <mergeCell ref="B26:B28"/>
    <mergeCell ref="B113:B115"/>
    <mergeCell ref="B185:B187"/>
    <mergeCell ref="B212:B214"/>
    <mergeCell ref="B41:B43"/>
    <mergeCell ref="B194:B196"/>
    <mergeCell ref="B221:B223"/>
    <mergeCell ref="B50:B52"/>
    <mergeCell ref="B59:B61"/>
    <mergeCell ref="B230:B232"/>
    <mergeCell ref="B158:B160"/>
    <mergeCell ref="B65:B67"/>
    <mergeCell ref="B245:B247"/>
    <mergeCell ref="B80:B82"/>
    <mergeCell ref="B254:B256"/>
    <mergeCell ref="B164:B166"/>
    <mergeCell ref="B269:B271"/>
    <mergeCell ref="B173:B175"/>
    <mergeCell ref="B74:B76"/>
    <mergeCell ref="B83:B85"/>
    <mergeCell ref="B197:B199"/>
    <mergeCell ref="B206:B208"/>
    <mergeCell ref="B188:B190"/>
    <mergeCell ref="B203:B205"/>
    <mergeCell ref="B125:B127"/>
    <mergeCell ref="B248:B250"/>
    <mergeCell ref="B131:B133"/>
    <mergeCell ref="B140:B142"/>
    <mergeCell ref="B149:B151"/>
    <mergeCell ref="B182:B184"/>
    <mergeCell ref="B8:B10"/>
    <mergeCell ref="B167:B169"/>
    <mergeCell ref="B176:B178"/>
    <mergeCell ref="B23:B25"/>
    <mergeCell ref="B191:B193"/>
    <mergeCell ref="B98:B100"/>
    <mergeCell ref="B107:B109"/>
    <mergeCell ref="B128:B130"/>
    <mergeCell ref="B35:B37"/>
    <mergeCell ref="B11:B13"/>
    <mergeCell ref="B14:B16"/>
    <mergeCell ref="B29:B31"/>
    <mergeCell ref="B38:B40"/>
    <mergeCell ref="B146:B148"/>
    <mergeCell ref="B53:B55"/>
    <mergeCell ref="B68:B70"/>
    <mergeCell ref="B257:B259"/>
    <mergeCell ref="B5:B7"/>
    <mergeCell ref="B251:B253"/>
    <mergeCell ref="B92:B94"/>
    <mergeCell ref="B110:B112"/>
    <mergeCell ref="B20:B22"/>
    <mergeCell ref="B47:B49"/>
    <mergeCell ref="B233:B235"/>
    <mergeCell ref="B62:B64"/>
    <mergeCell ref="B215:B217"/>
    <mergeCell ref="B242:B244"/>
    <mergeCell ref="B134:B136"/>
    <mergeCell ref="B152:B154"/>
  </mergeCells>
  <conditionalFormatting sqref="B2:B271">
    <cfRule type="expression" dxfId="21" priority="1">
      <formula>B2=TODAY()</formula>
    </cfRule>
  </conditionalFormatting>
  <conditionalFormatting sqref="F2:AD271">
    <cfRule type="cellIs" dxfId="20" priority="3" operator="equal">
      <formula>"塔3"</formula>
    </cfRule>
    <cfRule type="cellIs" dxfId="19" priority="4" operator="equal">
      <formula>"大boss"</formula>
    </cfRule>
    <cfRule type="cellIs" dxfId="18" priority="5" operator="equal">
      <formula>"中boss"</formula>
    </cfRule>
    <cfRule type="cellIs" dxfId="17" priority="7" operator="equal">
      <formula>"塔1"</formula>
    </cfRule>
    <cfRule type="cellIs" dxfId="16" priority="8" operator="equal">
      <formula>"塔2"</formula>
    </cfRule>
    <cfRule type="cellIs" dxfId="15" priority="9" operator="equal">
      <formula>"草6"</formula>
    </cfRule>
    <cfRule type="cellIs" dxfId="14" priority="10" operator="equal">
      <formula>"草5"</formula>
    </cfRule>
    <cfRule type="cellIs" dxfId="13" priority="11" operator="equal">
      <formula>"草4"</formula>
    </cfRule>
    <cfRule type="cellIs" dxfId="12" priority="12" operator="equal">
      <formula>"草3"</formula>
    </cfRule>
    <cfRule type="cellIs" dxfId="11" priority="13" operator="equal">
      <formula>"历练"</formula>
    </cfRule>
    <cfRule type="cellIs" dxfId="10" priority="14" operator="equal">
      <formula>"3级卦"</formula>
    </cfRule>
    <cfRule type="cellIs" dxfId="9" priority="15" operator="equal">
      <formula>"大卦"</formula>
    </cfRule>
    <cfRule type="cellIs" dxfId="8" priority="16" operator="equal">
      <formula>"商人"</formula>
    </cfRule>
    <cfRule type="cellIs" dxfId="7" priority="17" operator="equal">
      <formula>"营地"</formula>
    </cfRule>
    <cfRule type="cellIs" dxfId="6" priority="18" operator="equal">
      <formula>"草2"</formula>
    </cfRule>
    <cfRule type="cellIs" dxfId="5" priority="19" operator="equal">
      <formula>"3级"</formula>
    </cfRule>
    <cfRule type="cellIs" dxfId="4" priority="20" operator="equal">
      <formula>"4级"</formula>
    </cfRule>
    <cfRule type="cellIs" dxfId="3" priority="21" operator="equal">
      <formula>"5级"</formula>
    </cfRule>
    <cfRule type="cellIs" dxfId="2" priority="22" operator="equal">
      <formula>"6级"</formula>
    </cfRule>
    <cfRule type="cellIs" dxfId="1" priority="23" operator="equal">
      <formula>"1级"</formula>
    </cfRule>
    <cfRule type="cellIs" dxfId="0" priority="24" operator="equal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91"/>
  <sheetViews>
    <sheetView workbookViewId="0">
      <selection activeCell="F13" sqref="F13"/>
    </sheetView>
  </sheetViews>
  <sheetFormatPr defaultRowHeight="15"/>
  <cols>
    <col min="9" max="9" width="14.7109375" customWidth="1"/>
  </cols>
  <sheetData>
    <row r="1" spans="1:21">
      <c r="B1" s="1" t="s">
        <v>9</v>
      </c>
      <c r="C1" s="1" t="s">
        <v>10</v>
      </c>
      <c r="D1" s="1" t="s">
        <v>11</v>
      </c>
      <c r="E1" t="s">
        <v>12</v>
      </c>
      <c r="G1" t="s">
        <v>13</v>
      </c>
      <c r="H1" t="s">
        <v>14</v>
      </c>
      <c r="I1" t="s">
        <v>15</v>
      </c>
      <c r="K1" s="3"/>
      <c r="L1" s="62" t="s">
        <v>16</v>
      </c>
      <c r="M1" s="62" t="s">
        <v>17</v>
      </c>
      <c r="N1" s="63" t="s">
        <v>18</v>
      </c>
      <c r="O1" s="63" t="s">
        <v>19</v>
      </c>
      <c r="Q1" s="3"/>
      <c r="R1" s="62" t="s">
        <v>16</v>
      </c>
      <c r="S1" s="62" t="s">
        <v>17</v>
      </c>
      <c r="T1" s="63" t="s">
        <v>18</v>
      </c>
      <c r="U1" s="63" t="s">
        <v>19</v>
      </c>
    </row>
    <row r="2" spans="1:21">
      <c r="A2" s="2" t="s">
        <v>20</v>
      </c>
      <c r="B2" s="3">
        <v>150</v>
      </c>
      <c r="C2" s="3">
        <v>35</v>
      </c>
      <c r="D2" s="3">
        <v>1</v>
      </c>
      <c r="E2" s="3">
        <f ca="1">COUNTIF(main!$F$2:$AD$271,data!A2)</f>
        <v>0</v>
      </c>
      <c r="G2">
        <v>1</v>
      </c>
      <c r="H2" s="23">
        <v>300</v>
      </c>
      <c r="I2" s="24">
        <v>46185</v>
      </c>
      <c r="K2" s="59">
        <v>1</v>
      </c>
      <c r="L2" s="8" t="s">
        <v>21</v>
      </c>
      <c r="M2" s="3">
        <f t="shared" ref="M2:M11" si="0">IF(L2="",0,(INDEX($B$2:$B$27,MATCH(L2,$A$2:$A$27,0))-50)*(0.4))</f>
        <v>56</v>
      </c>
      <c r="N2" s="21" t="s">
        <v>22</v>
      </c>
      <c r="O2" s="3">
        <f t="shared" ref="O2:O11" si="1">IF(N2="",0,INDEX($C$2:$C$27,MATCH(N2,$A$2:$A$27,0))*0.4)</f>
        <v>200</v>
      </c>
      <c r="Q2" s="59">
        <v>1</v>
      </c>
      <c r="R2" s="4" t="s">
        <v>23</v>
      </c>
      <c r="S2" s="3">
        <f t="shared" ref="S2:S11" si="2">IF(R2="",0,(INDEX($B$2:$B$27,MATCH(R2,$A$2:$A$27,0))-50)*(0.4))</f>
        <v>44</v>
      </c>
      <c r="T2" s="22" t="s">
        <v>24</v>
      </c>
      <c r="U2" s="3">
        <f t="shared" ref="U2:U11" si="3">IF(T2="",0,INDEX($C$2:$C$27,MATCH(T2,$A$2:$A$27,0))*0.4)</f>
        <v>208</v>
      </c>
    </row>
    <row r="3" spans="1:21">
      <c r="A3" s="4" t="s">
        <v>23</v>
      </c>
      <c r="B3" s="3">
        <v>160</v>
      </c>
      <c r="C3" s="3">
        <v>40</v>
      </c>
      <c r="D3" s="3">
        <v>1</v>
      </c>
      <c r="E3" s="3">
        <f ca="1">COUNTIF(main!$F$2:$AD$271,data!A3)</f>
        <v>0</v>
      </c>
      <c r="G3">
        <v>2</v>
      </c>
      <c r="H3" s="23">
        <v>300</v>
      </c>
      <c r="I3" s="24">
        <v>46186</v>
      </c>
      <c r="K3" s="59">
        <v>2</v>
      </c>
      <c r="L3" s="8" t="s">
        <v>21</v>
      </c>
      <c r="M3" s="3">
        <f t="shared" si="0"/>
        <v>56</v>
      </c>
      <c r="N3" s="20" t="s">
        <v>25</v>
      </c>
      <c r="O3" s="3">
        <f t="shared" si="1"/>
        <v>400</v>
      </c>
      <c r="Q3" s="59">
        <v>2</v>
      </c>
      <c r="R3" s="4" t="s">
        <v>23</v>
      </c>
      <c r="S3" s="3">
        <f t="shared" si="2"/>
        <v>44</v>
      </c>
      <c r="T3" s="3"/>
      <c r="U3" s="3">
        <f t="shared" si="3"/>
        <v>0</v>
      </c>
    </row>
    <row r="4" spans="1:21">
      <c r="A4" s="6" t="s">
        <v>26</v>
      </c>
      <c r="B4" s="3">
        <v>170</v>
      </c>
      <c r="C4" s="3">
        <v>45</v>
      </c>
      <c r="D4" s="3">
        <v>1</v>
      </c>
      <c r="E4" s="3">
        <f ca="1">COUNTIF(main!$F$2:$AD$271,data!A4)</f>
        <v>0</v>
      </c>
      <c r="G4">
        <v>3</v>
      </c>
      <c r="H4" s="23">
        <v>300</v>
      </c>
      <c r="I4" s="24">
        <v>46187</v>
      </c>
      <c r="K4" s="59">
        <v>3</v>
      </c>
      <c r="L4" s="8" t="s">
        <v>21</v>
      </c>
      <c r="M4" s="3">
        <f t="shared" si="0"/>
        <v>56</v>
      </c>
      <c r="N4" s="20" t="s">
        <v>25</v>
      </c>
      <c r="O4" s="3">
        <f t="shared" si="1"/>
        <v>400</v>
      </c>
      <c r="Q4" s="59">
        <v>3</v>
      </c>
      <c r="R4" s="4" t="s">
        <v>23</v>
      </c>
      <c r="S4" s="3">
        <f t="shared" si="2"/>
        <v>44</v>
      </c>
      <c r="T4" s="6" t="s">
        <v>26</v>
      </c>
      <c r="U4" s="3">
        <f t="shared" si="3"/>
        <v>18</v>
      </c>
    </row>
    <row r="5" spans="1:21">
      <c r="A5" s="7" t="s">
        <v>27</v>
      </c>
      <c r="B5" s="3">
        <v>180</v>
      </c>
      <c r="C5" s="3">
        <v>50</v>
      </c>
      <c r="D5" s="3">
        <v>1</v>
      </c>
      <c r="E5" s="3">
        <f ca="1">COUNTIF(main!$F$2:$AD$271,data!A5)</f>
        <v>0</v>
      </c>
      <c r="G5">
        <v>4</v>
      </c>
      <c r="H5" s="23">
        <v>300</v>
      </c>
      <c r="I5" s="24">
        <v>46188</v>
      </c>
      <c r="K5" s="59">
        <v>4</v>
      </c>
      <c r="L5" s="9" t="s">
        <v>28</v>
      </c>
      <c r="M5" s="3">
        <f t="shared" si="0"/>
        <v>60</v>
      </c>
      <c r="N5" s="22" t="s">
        <v>24</v>
      </c>
      <c r="O5" s="3">
        <f t="shared" si="1"/>
        <v>208</v>
      </c>
      <c r="Q5" s="59">
        <v>4</v>
      </c>
      <c r="R5" s="4" t="s">
        <v>23</v>
      </c>
      <c r="S5" s="3">
        <f t="shared" si="2"/>
        <v>44</v>
      </c>
      <c r="T5" s="15" t="s">
        <v>29</v>
      </c>
      <c r="U5" s="3">
        <f t="shared" si="3"/>
        <v>120</v>
      </c>
    </row>
    <row r="6" spans="1:21">
      <c r="A6" s="8" t="s">
        <v>21</v>
      </c>
      <c r="B6" s="3">
        <v>190</v>
      </c>
      <c r="C6" s="3">
        <v>55</v>
      </c>
      <c r="D6" s="3">
        <v>1</v>
      </c>
      <c r="E6" s="3">
        <f ca="1">COUNTIF(main!$F$2:$AD$271,data!A6)</f>
        <v>0</v>
      </c>
      <c r="G6" s="28">
        <v>5</v>
      </c>
      <c r="H6" s="23">
        <v>300</v>
      </c>
      <c r="I6" s="24">
        <v>46189</v>
      </c>
      <c r="K6" s="59">
        <v>5</v>
      </c>
      <c r="L6" s="9" t="s">
        <v>28</v>
      </c>
      <c r="M6" s="3">
        <f t="shared" si="0"/>
        <v>60</v>
      </c>
      <c r="N6" s="22" t="s">
        <v>24</v>
      </c>
      <c r="O6" s="3">
        <f t="shared" si="1"/>
        <v>208</v>
      </c>
      <c r="Q6" s="59">
        <v>5</v>
      </c>
      <c r="R6" s="11" t="s">
        <v>30</v>
      </c>
      <c r="S6" s="3">
        <f t="shared" si="2"/>
        <v>40</v>
      </c>
      <c r="T6" s="6" t="s">
        <v>26</v>
      </c>
      <c r="U6" s="3">
        <f t="shared" si="3"/>
        <v>18</v>
      </c>
    </row>
    <row r="7" spans="1:21">
      <c r="A7" s="9" t="s">
        <v>28</v>
      </c>
      <c r="B7" s="3">
        <v>200</v>
      </c>
      <c r="C7" s="3">
        <v>60</v>
      </c>
      <c r="D7" s="3">
        <v>1</v>
      </c>
      <c r="E7" s="3">
        <f ca="1">COUNTIF(main!$F$2:$AD$271,data!A7)</f>
        <v>0</v>
      </c>
      <c r="G7">
        <v>6</v>
      </c>
      <c r="H7" s="23">
        <v>300</v>
      </c>
      <c r="I7" s="24">
        <v>46190</v>
      </c>
      <c r="K7" s="60">
        <v>6</v>
      </c>
      <c r="L7" s="9" t="s">
        <v>28</v>
      </c>
      <c r="M7" s="3">
        <f t="shared" si="0"/>
        <v>60</v>
      </c>
      <c r="N7" s="21" t="s">
        <v>22</v>
      </c>
      <c r="O7" s="3">
        <f t="shared" si="1"/>
        <v>200</v>
      </c>
      <c r="Q7" s="60">
        <v>6</v>
      </c>
      <c r="R7" s="19"/>
      <c r="S7" s="3">
        <f t="shared" si="2"/>
        <v>0</v>
      </c>
      <c r="T7" s="15" t="s">
        <v>29</v>
      </c>
      <c r="U7" s="3">
        <f t="shared" si="3"/>
        <v>120</v>
      </c>
    </row>
    <row r="8" spans="1:21">
      <c r="A8" s="10" t="s">
        <v>31</v>
      </c>
      <c r="B8" s="3">
        <v>150</v>
      </c>
      <c r="C8" s="3">
        <v>35</v>
      </c>
      <c r="D8" s="3">
        <v>1</v>
      </c>
      <c r="E8" s="3">
        <f ca="1">COUNTIF(main!$F$2:$AD$271,data!A8)</f>
        <v>0</v>
      </c>
      <c r="G8">
        <v>7</v>
      </c>
      <c r="H8" s="23">
        <v>300</v>
      </c>
      <c r="I8" s="24">
        <v>46191</v>
      </c>
      <c r="K8" s="60">
        <v>7</v>
      </c>
      <c r="L8" s="9" t="s">
        <v>28</v>
      </c>
      <c r="M8" s="3">
        <f t="shared" si="0"/>
        <v>60</v>
      </c>
      <c r="N8" s="9" t="s">
        <v>28</v>
      </c>
      <c r="O8" s="3">
        <f t="shared" si="1"/>
        <v>24</v>
      </c>
      <c r="Q8" s="60">
        <v>7</v>
      </c>
      <c r="R8" s="19"/>
      <c r="S8" s="3">
        <f t="shared" si="2"/>
        <v>0</v>
      </c>
      <c r="T8" s="6" t="s">
        <v>26</v>
      </c>
      <c r="U8" s="3">
        <f t="shared" si="3"/>
        <v>18</v>
      </c>
    </row>
    <row r="9" spans="1:21">
      <c r="A9" s="11" t="s">
        <v>30</v>
      </c>
      <c r="B9" s="3">
        <v>150</v>
      </c>
      <c r="C9" s="3">
        <v>40</v>
      </c>
      <c r="D9" s="3">
        <v>1</v>
      </c>
      <c r="E9" s="3">
        <f ca="1">COUNTIF(main!$F$2:$AD$271,data!A9)</f>
        <v>0</v>
      </c>
      <c r="G9">
        <v>8</v>
      </c>
      <c r="H9" s="23">
        <v>300</v>
      </c>
      <c r="I9" s="24">
        <v>46192</v>
      </c>
      <c r="K9" s="60">
        <v>8</v>
      </c>
      <c r="L9" s="9" t="s">
        <v>28</v>
      </c>
      <c r="M9" s="3">
        <f t="shared" si="0"/>
        <v>60</v>
      </c>
      <c r="N9" s="9" t="s">
        <v>28</v>
      </c>
      <c r="O9" s="3">
        <f t="shared" si="1"/>
        <v>24</v>
      </c>
      <c r="Q9" s="60">
        <v>8</v>
      </c>
      <c r="R9" s="19"/>
      <c r="S9" s="3">
        <f t="shared" si="2"/>
        <v>0</v>
      </c>
      <c r="T9" s="15" t="s">
        <v>29</v>
      </c>
      <c r="U9" s="3">
        <f t="shared" si="3"/>
        <v>120</v>
      </c>
    </row>
    <row r="10" spans="1:21">
      <c r="A10" s="12" t="s">
        <v>32</v>
      </c>
      <c r="B10" s="3">
        <v>150</v>
      </c>
      <c r="C10" s="3">
        <v>45</v>
      </c>
      <c r="D10" s="3">
        <v>1</v>
      </c>
      <c r="E10" s="3">
        <f ca="1">COUNTIF(main!$F$2:$AD$271,data!A10)</f>
        <v>0</v>
      </c>
      <c r="G10">
        <v>9</v>
      </c>
      <c r="H10" s="23">
        <v>300</v>
      </c>
      <c r="I10" s="24">
        <v>46193</v>
      </c>
      <c r="K10" s="61">
        <v>9</v>
      </c>
      <c r="L10" s="9" t="s">
        <v>28</v>
      </c>
      <c r="M10" s="3">
        <f t="shared" si="0"/>
        <v>60</v>
      </c>
      <c r="N10" s="19"/>
      <c r="O10" s="3">
        <f t="shared" si="1"/>
        <v>0</v>
      </c>
      <c r="Q10" s="61">
        <v>9</v>
      </c>
      <c r="R10" s="19"/>
      <c r="S10" s="3">
        <f t="shared" si="2"/>
        <v>0</v>
      </c>
      <c r="T10" s="19"/>
      <c r="U10" s="3">
        <f t="shared" si="3"/>
        <v>0</v>
      </c>
    </row>
    <row r="11" spans="1:21">
      <c r="A11" s="13" t="s">
        <v>33</v>
      </c>
      <c r="B11" s="3">
        <v>150</v>
      </c>
      <c r="C11" s="3">
        <v>50</v>
      </c>
      <c r="D11" s="3">
        <v>1</v>
      </c>
      <c r="E11" s="3">
        <f ca="1">COUNTIF(main!$F$2:$AD$271,data!A11)</f>
        <v>0</v>
      </c>
      <c r="G11">
        <v>10</v>
      </c>
      <c r="H11" s="23">
        <v>300</v>
      </c>
      <c r="I11" s="24">
        <v>46194</v>
      </c>
      <c r="K11" s="61">
        <v>10</v>
      </c>
      <c r="L11" s="9" t="s">
        <v>28</v>
      </c>
      <c r="M11" s="3">
        <f t="shared" si="0"/>
        <v>60</v>
      </c>
      <c r="N11" s="19"/>
      <c r="O11" s="3">
        <f t="shared" si="1"/>
        <v>0</v>
      </c>
      <c r="Q11" s="61">
        <v>10</v>
      </c>
      <c r="R11" s="19"/>
      <c r="S11" s="3">
        <f t="shared" si="2"/>
        <v>0</v>
      </c>
      <c r="T11" s="19"/>
      <c r="U11" s="3">
        <f t="shared" si="3"/>
        <v>0</v>
      </c>
    </row>
    <row r="12" spans="1:21">
      <c r="A12" s="14" t="s">
        <v>34</v>
      </c>
      <c r="B12" s="3">
        <v>150</v>
      </c>
      <c r="C12" s="3">
        <v>55</v>
      </c>
      <c r="D12" s="3">
        <v>1</v>
      </c>
      <c r="E12" s="3">
        <f ca="1">COUNTIF(main!$F$2:$AD$271,data!A12)</f>
        <v>0</v>
      </c>
      <c r="G12">
        <v>11</v>
      </c>
      <c r="H12" s="25">
        <v>250</v>
      </c>
      <c r="I12" s="26">
        <v>46195</v>
      </c>
      <c r="M12" s="64">
        <f>SUM(M2:M11)</f>
        <v>588</v>
      </c>
      <c r="O12" s="65">
        <f>SUM(O2:O11)</f>
        <v>1664</v>
      </c>
      <c r="S12" s="64">
        <f>SUM(S2:S11)</f>
        <v>216</v>
      </c>
      <c r="U12" s="65">
        <f>SUM(U2:U11)</f>
        <v>622</v>
      </c>
    </row>
    <row r="13" spans="1:21" ht="15.75" customHeight="1" thickBot="1">
      <c r="A13" s="16" t="s">
        <v>35</v>
      </c>
      <c r="B13" s="3">
        <v>150</v>
      </c>
      <c r="C13" s="3">
        <v>60</v>
      </c>
      <c r="D13" s="3">
        <v>1</v>
      </c>
      <c r="E13" s="3">
        <f ca="1">COUNTIF(main!$F$2:$AD$271,data!A13)</f>
        <v>0</v>
      </c>
      <c r="G13">
        <v>12</v>
      </c>
      <c r="H13" s="25">
        <v>250</v>
      </c>
      <c r="I13" s="26">
        <v>46196</v>
      </c>
      <c r="Q13" s="92" t="s">
        <v>36</v>
      </c>
      <c r="R13" s="64" t="s">
        <v>37</v>
      </c>
      <c r="S13" s="64">
        <f>M12+S12</f>
        <v>804</v>
      </c>
      <c r="T13" s="65" t="s">
        <v>38</v>
      </c>
      <c r="U13" s="65">
        <f>O12+U12</f>
        <v>2286</v>
      </c>
    </row>
    <row r="14" spans="1:21">
      <c r="A14" s="17" t="s">
        <v>39</v>
      </c>
      <c r="B14" s="3">
        <v>150</v>
      </c>
      <c r="C14" s="3">
        <v>40</v>
      </c>
      <c r="D14" s="3">
        <v>1</v>
      </c>
      <c r="E14" s="3">
        <f ca="1">COUNTIF(main!$F$2:$AD$271,data!A14)</f>
        <v>0</v>
      </c>
      <c r="G14">
        <v>13</v>
      </c>
      <c r="H14" s="25">
        <v>250</v>
      </c>
      <c r="I14" s="26">
        <v>46197</v>
      </c>
      <c r="K14" s="84" t="s">
        <v>40</v>
      </c>
      <c r="L14" s="85"/>
      <c r="M14" s="85"/>
      <c r="N14" s="85"/>
      <c r="O14" s="85"/>
      <c r="P14" s="86"/>
    </row>
    <row r="15" spans="1:21">
      <c r="A15" s="5" t="s">
        <v>41</v>
      </c>
      <c r="B15" s="3">
        <v>50</v>
      </c>
      <c r="C15" s="3">
        <v>30</v>
      </c>
      <c r="D15" s="3">
        <v>1</v>
      </c>
      <c r="E15" s="3">
        <f ca="1">COUNTIF(main!$F$2:$AD$271,data!A15)</f>
        <v>0</v>
      </c>
      <c r="G15">
        <v>14</v>
      </c>
      <c r="H15" s="25">
        <v>250</v>
      </c>
      <c r="I15" s="26">
        <v>46198</v>
      </c>
      <c r="K15" s="87" t="s">
        <v>42</v>
      </c>
      <c r="P15" s="88"/>
    </row>
    <row r="16" spans="1:21">
      <c r="A16" s="18" t="s">
        <v>43</v>
      </c>
      <c r="B16" s="3">
        <v>-250</v>
      </c>
      <c r="C16" s="3">
        <v>0</v>
      </c>
      <c r="D16" s="3">
        <v>-1</v>
      </c>
      <c r="E16" s="3">
        <f ca="1">COUNTIF(main!$F$2:$AD$271,data!A16)</f>
        <v>0</v>
      </c>
      <c r="G16">
        <v>15</v>
      </c>
      <c r="H16" s="25">
        <v>250</v>
      </c>
      <c r="I16" s="26">
        <v>46199</v>
      </c>
      <c r="K16" s="87" t="s">
        <v>44</v>
      </c>
      <c r="P16" s="88"/>
    </row>
    <row r="17" spans="1:16">
      <c r="A17" s="15" t="s">
        <v>29</v>
      </c>
      <c r="B17" s="3">
        <v>250</v>
      </c>
      <c r="C17" s="3">
        <v>300</v>
      </c>
      <c r="D17" s="3">
        <v>1</v>
      </c>
      <c r="E17" s="3">
        <f ca="1">COUNTIF(main!$F$2:$AD$271,data!A17)</f>
        <v>0</v>
      </c>
      <c r="G17">
        <v>16</v>
      </c>
      <c r="H17" s="25">
        <v>250</v>
      </c>
      <c r="I17" s="26">
        <v>46200</v>
      </c>
      <c r="K17" s="87" t="s">
        <v>45</v>
      </c>
      <c r="P17" s="88"/>
    </row>
    <row r="18" spans="1:16">
      <c r="A18" s="15" t="s">
        <v>46</v>
      </c>
      <c r="B18" s="3">
        <v>170</v>
      </c>
      <c r="C18" s="3">
        <v>45</v>
      </c>
      <c r="D18" s="3">
        <v>1</v>
      </c>
      <c r="E18" s="3">
        <f ca="1">COUNTIF(main!$F$2:$AD$271,data!A18)</f>
        <v>0</v>
      </c>
      <c r="G18">
        <v>17</v>
      </c>
      <c r="H18" s="25">
        <v>250</v>
      </c>
      <c r="I18" s="26">
        <v>46201</v>
      </c>
      <c r="K18" s="87" t="s">
        <v>47</v>
      </c>
      <c r="P18" s="88"/>
    </row>
    <row r="19" spans="1:16">
      <c r="A19" s="19" t="s">
        <v>48</v>
      </c>
      <c r="B19" s="3">
        <v>-50</v>
      </c>
      <c r="C19" s="3">
        <v>0</v>
      </c>
      <c r="D19" s="3">
        <v>0</v>
      </c>
      <c r="E19" s="3">
        <f ca="1">COUNTIF(main!$F$2:$AD$271,data!A19)</f>
        <v>0</v>
      </c>
      <c r="G19">
        <v>18</v>
      </c>
      <c r="H19" s="25">
        <v>250</v>
      </c>
      <c r="I19" s="26">
        <v>46202</v>
      </c>
      <c r="K19" s="87" t="s">
        <v>49</v>
      </c>
      <c r="P19" s="88"/>
    </row>
    <row r="20" spans="1:16">
      <c r="A20" s="20" t="s">
        <v>25</v>
      </c>
      <c r="B20" s="3">
        <v>250</v>
      </c>
      <c r="C20" s="3">
        <v>1000</v>
      </c>
      <c r="D20" s="3">
        <v>1</v>
      </c>
      <c r="E20" s="3">
        <f ca="1">COUNTIF(main!$F$2:$AD$271,data!A20)</f>
        <v>0</v>
      </c>
      <c r="G20">
        <v>19</v>
      </c>
      <c r="H20" s="25">
        <v>250</v>
      </c>
      <c r="I20" s="26">
        <v>46203</v>
      </c>
      <c r="K20" s="87" t="s">
        <v>50</v>
      </c>
      <c r="P20" s="88"/>
    </row>
    <row r="21" spans="1:16">
      <c r="A21" s="21" t="s">
        <v>22</v>
      </c>
      <c r="B21" s="3">
        <v>250</v>
      </c>
      <c r="C21" s="3">
        <v>500</v>
      </c>
      <c r="D21" s="3">
        <v>1</v>
      </c>
      <c r="E21" s="3">
        <f ca="1">COUNTIF(main!$F$2:$AD$271,data!A21)</f>
        <v>0</v>
      </c>
      <c r="G21">
        <v>20</v>
      </c>
      <c r="H21" s="25">
        <v>250</v>
      </c>
      <c r="I21" s="26">
        <v>46204</v>
      </c>
      <c r="K21" s="87" t="s">
        <v>51</v>
      </c>
      <c r="P21" s="88"/>
    </row>
    <row r="22" spans="1:16">
      <c r="A22" s="19" t="s">
        <v>52</v>
      </c>
      <c r="B22" s="3">
        <v>180</v>
      </c>
      <c r="C22" s="3">
        <v>50</v>
      </c>
      <c r="D22" s="3">
        <v>1</v>
      </c>
      <c r="E22" s="3">
        <f ca="1">COUNTIF(main!$F$2:$AD$271,data!A22)</f>
        <v>0</v>
      </c>
      <c r="G22">
        <v>21</v>
      </c>
      <c r="H22" s="27">
        <v>200</v>
      </c>
      <c r="I22" s="24">
        <v>46205</v>
      </c>
      <c r="K22" s="87" t="s">
        <v>49</v>
      </c>
      <c r="P22" s="88"/>
    </row>
    <row r="23" spans="1:16">
      <c r="A23" s="10" t="s">
        <v>53</v>
      </c>
      <c r="B23" s="3">
        <v>150</v>
      </c>
      <c r="C23" s="3">
        <v>35</v>
      </c>
      <c r="D23" s="3">
        <v>1</v>
      </c>
      <c r="E23" s="3">
        <f ca="1">COUNTIF(main!$F$2:$AD$271,data!A23)</f>
        <v>0</v>
      </c>
      <c r="G23">
        <v>22</v>
      </c>
      <c r="H23" s="27">
        <v>200</v>
      </c>
      <c r="I23" s="24">
        <v>46206</v>
      </c>
      <c r="K23" s="87" t="s">
        <v>54</v>
      </c>
      <c r="P23" s="88"/>
    </row>
    <row r="24" spans="1:16">
      <c r="A24" s="11" t="s">
        <v>55</v>
      </c>
      <c r="B24" s="3">
        <v>150</v>
      </c>
      <c r="C24" s="3">
        <v>40</v>
      </c>
      <c r="D24" s="3">
        <v>1</v>
      </c>
      <c r="E24" s="3">
        <f ca="1">COUNTIF(main!$F$2:$AD$271,data!A24)</f>
        <v>0</v>
      </c>
      <c r="G24">
        <v>23</v>
      </c>
      <c r="H24" s="27">
        <v>200</v>
      </c>
      <c r="I24" s="24">
        <v>46207</v>
      </c>
      <c r="K24" s="87" t="s">
        <v>56</v>
      </c>
      <c r="P24" s="88"/>
    </row>
    <row r="25" spans="1:16">
      <c r="A25" s="12" t="s">
        <v>57</v>
      </c>
      <c r="B25" s="3">
        <v>150</v>
      </c>
      <c r="C25" s="3">
        <v>45</v>
      </c>
      <c r="D25" s="3">
        <v>1</v>
      </c>
      <c r="E25" s="3">
        <f ca="1">COUNTIF(main!$F$2:$AD$271,data!A25)</f>
        <v>0</v>
      </c>
      <c r="G25">
        <v>24</v>
      </c>
      <c r="H25" s="27">
        <v>200</v>
      </c>
      <c r="I25" s="24">
        <v>46208</v>
      </c>
      <c r="K25" s="87" t="s">
        <v>58</v>
      </c>
      <c r="P25" s="88"/>
    </row>
    <row r="26" spans="1:16">
      <c r="A26" s="19" t="s">
        <v>59</v>
      </c>
      <c r="B26" s="3">
        <v>0</v>
      </c>
      <c r="C26" s="3">
        <v>0</v>
      </c>
      <c r="D26" s="3">
        <v>0</v>
      </c>
      <c r="E26" s="3">
        <f ca="1">COUNTIF(main!$F$2:$AD$271,data!A26)</f>
        <v>0</v>
      </c>
      <c r="G26">
        <v>25</v>
      </c>
      <c r="H26" s="27">
        <v>200</v>
      </c>
      <c r="I26" s="24">
        <v>46209</v>
      </c>
      <c r="K26" s="87" t="s">
        <v>60</v>
      </c>
      <c r="P26" s="88"/>
    </row>
    <row r="27" spans="1:16" ht="15.75" customHeight="1" thickBot="1">
      <c r="A27" s="22" t="s">
        <v>24</v>
      </c>
      <c r="B27" s="3">
        <v>50</v>
      </c>
      <c r="C27" s="3">
        <v>520</v>
      </c>
      <c r="D27" s="3">
        <v>0</v>
      </c>
      <c r="E27" s="3">
        <f ca="1">COUNTIF(main!$F$2:$AD$271,data!A27)</f>
        <v>0</v>
      </c>
      <c r="G27">
        <v>26</v>
      </c>
      <c r="H27" s="27">
        <v>200</v>
      </c>
      <c r="I27" s="24">
        <v>46210</v>
      </c>
      <c r="K27" s="89" t="s">
        <v>61</v>
      </c>
      <c r="L27" s="90"/>
      <c r="M27" s="90"/>
      <c r="N27" s="90"/>
      <c r="O27" s="90"/>
      <c r="P27" s="91"/>
    </row>
    <row r="28" spans="1:16">
      <c r="D28" t="s">
        <v>62</v>
      </c>
      <c r="E28">
        <f t="array" aca="1" ref="E28" ca="1">SUM(C2:C27*E2:E27)</f>
        <v>0</v>
      </c>
      <c r="G28">
        <v>27</v>
      </c>
      <c r="H28" s="27">
        <v>200</v>
      </c>
      <c r="I28" s="24">
        <v>46211</v>
      </c>
    </row>
    <row r="29" spans="1:16">
      <c r="D29" t="s">
        <v>63</v>
      </c>
      <c r="E29">
        <f ca="1">E28+7000+O12+U12</f>
        <v>9286</v>
      </c>
      <c r="G29">
        <v>28</v>
      </c>
      <c r="H29" s="27">
        <v>200</v>
      </c>
      <c r="I29" s="24">
        <v>46212</v>
      </c>
    </row>
    <row r="30" spans="1:16">
      <c r="G30">
        <v>29</v>
      </c>
      <c r="H30" s="27">
        <v>200</v>
      </c>
      <c r="I30" s="24">
        <v>46213</v>
      </c>
    </row>
    <row r="31" spans="1:16">
      <c r="G31">
        <v>30</v>
      </c>
      <c r="H31" s="27">
        <v>200</v>
      </c>
      <c r="I31" s="24">
        <v>46214</v>
      </c>
    </row>
    <row r="32" spans="1:16">
      <c r="G32">
        <v>31</v>
      </c>
      <c r="H32" s="27">
        <v>200</v>
      </c>
      <c r="I32" s="24">
        <v>46215</v>
      </c>
    </row>
    <row r="33" spans="7:9">
      <c r="G33">
        <v>32</v>
      </c>
      <c r="H33" s="27">
        <v>200</v>
      </c>
      <c r="I33" s="24">
        <v>46216</v>
      </c>
    </row>
    <row r="34" spans="7:9">
      <c r="G34">
        <v>33</v>
      </c>
      <c r="H34" s="27">
        <v>200</v>
      </c>
      <c r="I34" s="24">
        <v>46217</v>
      </c>
    </row>
    <row r="35" spans="7:9">
      <c r="G35">
        <v>34</v>
      </c>
      <c r="H35" s="27">
        <v>200</v>
      </c>
      <c r="I35" s="24">
        <v>46218</v>
      </c>
    </row>
    <row r="36" spans="7:9">
      <c r="G36">
        <v>35</v>
      </c>
      <c r="H36" s="27">
        <v>200</v>
      </c>
      <c r="I36" s="24">
        <v>46219</v>
      </c>
    </row>
    <row r="37" spans="7:9">
      <c r="G37">
        <v>36</v>
      </c>
      <c r="H37" s="27">
        <v>200</v>
      </c>
      <c r="I37" s="24">
        <v>46220</v>
      </c>
    </row>
    <row r="38" spans="7:9">
      <c r="G38">
        <v>37</v>
      </c>
      <c r="H38" s="27">
        <v>200</v>
      </c>
      <c r="I38" s="24">
        <v>46221</v>
      </c>
    </row>
    <row r="39" spans="7:9">
      <c r="G39">
        <v>38</v>
      </c>
      <c r="H39" s="27">
        <v>200</v>
      </c>
      <c r="I39" s="24">
        <v>46222</v>
      </c>
    </row>
    <row r="40" spans="7:9">
      <c r="G40">
        <v>39</v>
      </c>
      <c r="H40" s="27">
        <v>200</v>
      </c>
      <c r="I40" s="24">
        <v>46223</v>
      </c>
    </row>
    <row r="41" spans="7:9">
      <c r="G41">
        <v>40</v>
      </c>
      <c r="H41" s="27">
        <v>200</v>
      </c>
      <c r="I41" s="24">
        <v>46224</v>
      </c>
    </row>
    <row r="42" spans="7:9">
      <c r="G42">
        <v>41</v>
      </c>
      <c r="H42" s="25">
        <v>150</v>
      </c>
      <c r="I42" s="26">
        <v>46225</v>
      </c>
    </row>
    <row r="43" spans="7:9">
      <c r="G43">
        <v>42</v>
      </c>
      <c r="H43" s="25">
        <v>150</v>
      </c>
      <c r="I43" s="26">
        <v>46226</v>
      </c>
    </row>
    <row r="44" spans="7:9">
      <c r="G44">
        <v>43</v>
      </c>
      <c r="H44" s="25">
        <v>150</v>
      </c>
      <c r="I44" s="26">
        <v>46227</v>
      </c>
    </row>
    <row r="45" spans="7:9">
      <c r="G45">
        <v>44</v>
      </c>
      <c r="H45" s="25">
        <v>150</v>
      </c>
      <c r="I45" s="26">
        <v>46228</v>
      </c>
    </row>
    <row r="46" spans="7:9">
      <c r="G46">
        <v>45</v>
      </c>
      <c r="H46" s="25">
        <v>150</v>
      </c>
      <c r="I46" s="26">
        <v>46229</v>
      </c>
    </row>
    <row r="47" spans="7:9">
      <c r="G47">
        <v>46</v>
      </c>
      <c r="H47" s="25">
        <v>150</v>
      </c>
      <c r="I47" s="26">
        <v>46230</v>
      </c>
    </row>
    <row r="48" spans="7:9">
      <c r="G48">
        <v>47</v>
      </c>
      <c r="H48" s="25">
        <v>150</v>
      </c>
      <c r="I48" s="26">
        <v>46231</v>
      </c>
    </row>
    <row r="49" spans="7:9">
      <c r="G49">
        <v>48</v>
      </c>
      <c r="H49" s="25">
        <v>150</v>
      </c>
      <c r="I49" s="26">
        <v>46232</v>
      </c>
    </row>
    <row r="50" spans="7:9">
      <c r="G50">
        <v>49</v>
      </c>
      <c r="H50" s="25">
        <v>150</v>
      </c>
      <c r="I50" s="26">
        <v>46233</v>
      </c>
    </row>
    <row r="51" spans="7:9">
      <c r="G51">
        <v>50</v>
      </c>
      <c r="H51" s="25">
        <v>150</v>
      </c>
      <c r="I51" s="26">
        <v>46234</v>
      </c>
    </row>
    <row r="52" spans="7:9">
      <c r="G52">
        <v>51</v>
      </c>
      <c r="H52" s="25">
        <v>150</v>
      </c>
      <c r="I52" s="26">
        <v>46235</v>
      </c>
    </row>
    <row r="53" spans="7:9">
      <c r="G53">
        <v>52</v>
      </c>
      <c r="H53" s="25">
        <v>150</v>
      </c>
      <c r="I53" s="26">
        <v>46236</v>
      </c>
    </row>
    <row r="54" spans="7:9">
      <c r="G54">
        <v>53</v>
      </c>
      <c r="H54" s="25">
        <v>150</v>
      </c>
      <c r="I54" s="26">
        <v>46237</v>
      </c>
    </row>
    <row r="55" spans="7:9">
      <c r="G55">
        <v>54</v>
      </c>
      <c r="H55" s="25">
        <v>150</v>
      </c>
      <c r="I55" s="26">
        <v>46238</v>
      </c>
    </row>
    <row r="56" spans="7:9">
      <c r="G56">
        <v>55</v>
      </c>
      <c r="H56" s="25">
        <v>150</v>
      </c>
      <c r="I56" s="26">
        <v>46239</v>
      </c>
    </row>
    <row r="57" spans="7:9">
      <c r="G57">
        <v>56</v>
      </c>
      <c r="H57" s="25">
        <v>150</v>
      </c>
      <c r="I57" s="26">
        <v>46240</v>
      </c>
    </row>
    <row r="58" spans="7:9">
      <c r="G58">
        <v>57</v>
      </c>
      <c r="H58" s="25">
        <v>150</v>
      </c>
      <c r="I58" s="26">
        <v>46241</v>
      </c>
    </row>
    <row r="59" spans="7:9">
      <c r="G59">
        <v>58</v>
      </c>
      <c r="H59" s="25">
        <v>150</v>
      </c>
      <c r="I59" s="26">
        <v>46242</v>
      </c>
    </row>
    <row r="60" spans="7:9">
      <c r="G60">
        <v>59</v>
      </c>
      <c r="H60" s="25">
        <v>150</v>
      </c>
      <c r="I60" s="26">
        <v>46243</v>
      </c>
    </row>
    <row r="61" spans="7:9">
      <c r="G61">
        <v>60</v>
      </c>
      <c r="H61" s="25">
        <v>150</v>
      </c>
      <c r="I61" s="26">
        <v>46244</v>
      </c>
    </row>
    <row r="62" spans="7:9">
      <c r="G62">
        <v>61</v>
      </c>
      <c r="H62" s="25">
        <v>150</v>
      </c>
      <c r="I62" s="26">
        <v>46245</v>
      </c>
    </row>
    <row r="63" spans="7:9">
      <c r="G63">
        <v>62</v>
      </c>
      <c r="H63" s="27">
        <v>100</v>
      </c>
      <c r="I63" s="24">
        <v>46246</v>
      </c>
    </row>
    <row r="64" spans="7:9">
      <c r="G64">
        <v>63</v>
      </c>
      <c r="H64" s="27">
        <v>100</v>
      </c>
      <c r="I64" s="24">
        <v>46247</v>
      </c>
    </row>
    <row r="65" spans="7:9">
      <c r="G65">
        <v>64</v>
      </c>
      <c r="H65" s="27">
        <v>100</v>
      </c>
      <c r="I65" s="24">
        <v>46248</v>
      </c>
    </row>
    <row r="66" spans="7:9">
      <c r="G66">
        <v>65</v>
      </c>
      <c r="H66" s="27">
        <v>100</v>
      </c>
      <c r="I66" s="24">
        <v>46249</v>
      </c>
    </row>
    <row r="67" spans="7:9">
      <c r="G67">
        <v>66</v>
      </c>
      <c r="H67" s="27">
        <v>100</v>
      </c>
      <c r="I67" s="24">
        <v>46250</v>
      </c>
    </row>
    <row r="68" spans="7:9">
      <c r="G68">
        <v>67</v>
      </c>
      <c r="H68" s="27">
        <v>100</v>
      </c>
      <c r="I68" s="24">
        <v>46251</v>
      </c>
    </row>
    <row r="69" spans="7:9">
      <c r="G69">
        <v>68</v>
      </c>
      <c r="H69" s="27">
        <v>100</v>
      </c>
      <c r="I69" s="24">
        <v>46252</v>
      </c>
    </row>
    <row r="70" spans="7:9">
      <c r="G70">
        <v>69</v>
      </c>
      <c r="H70" s="27">
        <v>100</v>
      </c>
      <c r="I70" s="24">
        <v>46253</v>
      </c>
    </row>
    <row r="71" spans="7:9">
      <c r="G71">
        <v>70</v>
      </c>
      <c r="H71" s="27">
        <v>100</v>
      </c>
      <c r="I71" s="24">
        <v>46254</v>
      </c>
    </row>
    <row r="72" spans="7:9">
      <c r="G72">
        <v>71</v>
      </c>
      <c r="H72" s="27">
        <v>100</v>
      </c>
      <c r="I72" s="24">
        <v>46255</v>
      </c>
    </row>
    <row r="73" spans="7:9">
      <c r="G73">
        <v>72</v>
      </c>
      <c r="H73" s="27">
        <v>100</v>
      </c>
      <c r="I73" s="24">
        <v>46256</v>
      </c>
    </row>
    <row r="74" spans="7:9">
      <c r="G74">
        <v>73</v>
      </c>
      <c r="H74" s="27">
        <v>100</v>
      </c>
      <c r="I74" s="24">
        <v>46257</v>
      </c>
    </row>
    <row r="75" spans="7:9">
      <c r="G75">
        <v>74</v>
      </c>
      <c r="H75" s="27">
        <v>100</v>
      </c>
      <c r="I75" s="24">
        <v>46258</v>
      </c>
    </row>
    <row r="76" spans="7:9">
      <c r="G76">
        <v>75</v>
      </c>
      <c r="H76" s="27">
        <v>100</v>
      </c>
      <c r="I76" s="24">
        <v>46259</v>
      </c>
    </row>
    <row r="77" spans="7:9">
      <c r="G77">
        <v>76</v>
      </c>
      <c r="H77" s="27">
        <v>100</v>
      </c>
      <c r="I77" s="24">
        <v>46260</v>
      </c>
    </row>
    <row r="78" spans="7:9">
      <c r="G78">
        <v>77</v>
      </c>
      <c r="H78" s="27">
        <v>100</v>
      </c>
      <c r="I78" s="24">
        <v>46261</v>
      </c>
    </row>
    <row r="79" spans="7:9">
      <c r="G79">
        <v>78</v>
      </c>
      <c r="H79" s="27">
        <v>100</v>
      </c>
      <c r="I79" s="24">
        <v>46262</v>
      </c>
    </row>
    <row r="80" spans="7:9">
      <c r="G80">
        <v>79</v>
      </c>
      <c r="H80" s="27">
        <v>100</v>
      </c>
      <c r="I80" s="24">
        <v>46263</v>
      </c>
    </row>
    <row r="81" spans="7:9">
      <c r="G81">
        <v>80</v>
      </c>
      <c r="H81" s="27">
        <v>100</v>
      </c>
      <c r="I81" s="24">
        <v>46264</v>
      </c>
    </row>
    <row r="82" spans="7:9">
      <c r="G82">
        <v>81</v>
      </c>
      <c r="H82" s="27">
        <v>100</v>
      </c>
      <c r="I82" s="24">
        <v>46265</v>
      </c>
    </row>
    <row r="83" spans="7:9">
      <c r="G83">
        <v>82</v>
      </c>
      <c r="H83" s="27">
        <v>100</v>
      </c>
      <c r="I83" s="24">
        <v>46266</v>
      </c>
    </row>
    <row r="84" spans="7:9">
      <c r="G84">
        <v>83</v>
      </c>
      <c r="H84" s="27">
        <v>100</v>
      </c>
      <c r="I84" s="24">
        <v>46267</v>
      </c>
    </row>
    <row r="85" spans="7:9">
      <c r="G85">
        <v>84</v>
      </c>
      <c r="H85" s="27">
        <v>100</v>
      </c>
      <c r="I85" s="24">
        <v>46268</v>
      </c>
    </row>
    <row r="86" spans="7:9">
      <c r="G86">
        <v>85</v>
      </c>
      <c r="H86" s="27">
        <v>100</v>
      </c>
      <c r="I86" s="24">
        <v>46269</v>
      </c>
    </row>
    <row r="87" spans="7:9">
      <c r="G87">
        <v>86</v>
      </c>
      <c r="H87" s="27">
        <v>100</v>
      </c>
      <c r="I87" s="24">
        <v>46270</v>
      </c>
    </row>
    <row r="88" spans="7:9">
      <c r="G88">
        <v>87</v>
      </c>
      <c r="H88" s="27">
        <v>100</v>
      </c>
      <c r="I88" s="24">
        <v>46271</v>
      </c>
    </row>
    <row r="89" spans="7:9">
      <c r="G89">
        <v>88</v>
      </c>
      <c r="H89" s="27">
        <v>100</v>
      </c>
      <c r="I89" s="24">
        <v>46272</v>
      </c>
    </row>
    <row r="90" spans="7:9">
      <c r="G90">
        <v>89</v>
      </c>
      <c r="H90" s="27">
        <v>100</v>
      </c>
      <c r="I90" s="24">
        <v>46273</v>
      </c>
    </row>
    <row r="91" spans="7:9">
      <c r="G91">
        <v>90</v>
      </c>
      <c r="H91" s="27">
        <v>100</v>
      </c>
      <c r="I91" s="24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3"/>
  <sheetViews>
    <sheetView zoomScale="115" zoomScaleNormal="115" workbookViewId="0">
      <selection activeCell="AC14" sqref="AC1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>IF(MIN(I2:I4)&lt;0, "行动不足", "")</f>
        <v/>
      </c>
      <c r="AD1" s="44" t="str">
        <f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</v>
      </c>
      <c r="B2" s="49">
        <f ca="1">INDEX(data!I2:I91,MATCH(A2*1,data!G2:G91,0))</f>
        <v>46185</v>
      </c>
      <c r="E2" s="42" t="s">
        <v>69</v>
      </c>
      <c r="F2" s="3">
        <f>SUM(C9:AA9)</f>
        <v>0</v>
      </c>
      <c r="G2" s="3">
        <f>SUM(C10:AA10)</f>
        <v>0</v>
      </c>
      <c r="H2" s="3">
        <v>6</v>
      </c>
      <c r="I2" s="32">
        <f t="array" ref="I2">H2-SUM(IFERROR(INDEX(data!$D$2:$D$27,MATCH(C8:AA8,data!$A$2:$A$27,0)),0))</f>
        <v>6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76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v>6</v>
      </c>
      <c r="I3" s="32">
        <f t="array" ref="I3">H3-SUM(IFERROR(INDEX(data!$D$2:$D$27,MATCH(C11:AA11,data!$A$2:$A$27,0)),0))</f>
        <v>6</v>
      </c>
      <c r="J3" s="3">
        <f t="array" ref="J3">SUM(IFERROR(VALUE(MID(IF(LEFT(C11:AA11,1)="跳",C11:AA11,""),2,10)),0))</f>
        <v>0</v>
      </c>
    </row>
    <row r="4" spans="1:30" ht="15.75" customHeight="1" thickBot="1">
      <c r="A4" s="68">
        <v>6800</v>
      </c>
      <c r="B4" s="69">
        <f>SUM(F2:F4)</f>
        <v>0</v>
      </c>
      <c r="C4" s="3">
        <v>0</v>
      </c>
      <c r="D4" s="70">
        <f>A4-B4+C4</f>
        <v>6800</v>
      </c>
      <c r="E4" s="41" t="s">
        <v>74</v>
      </c>
      <c r="F4" s="34">
        <f>SUM(C15:AA15)</f>
        <v>0</v>
      </c>
      <c r="G4" s="3">
        <f>SUM(C16:AA16)</f>
        <v>0</v>
      </c>
      <c r="H4" s="3">
        <v>6</v>
      </c>
      <c r="I4" s="35">
        <f t="array" ref="I4">H4-SUM(IFERROR(INDEX(data!$D$2:$D$27,MATCH(C14:AA14,data!$A$2:$A$27,0)),0))</f>
        <v>6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  <c r="E5" s="67"/>
    </row>
    <row r="6" spans="1:30">
      <c r="A6" s="3">
        <v>0</v>
      </c>
      <c r="B6" s="3">
        <f>SUM(G2:G4)</f>
        <v>0</v>
      </c>
      <c r="C6" s="3">
        <v>0</v>
      </c>
      <c r="D6" s="73">
        <f>A6+B6+C6</f>
        <v>0</v>
      </c>
      <c r="E6" s="67"/>
      <c r="AC6" s="3" t="s">
        <v>4</v>
      </c>
      <c r="AD6" s="50">
        <v>2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跳2</v>
      </c>
      <c r="AD7" s="3"/>
    </row>
    <row r="8" spans="1:30">
      <c r="A8" s="108"/>
      <c r="B8" s="30"/>
      <c r="C8" s="96"/>
      <c r="D8" s="96"/>
      <c r="E8" s="96"/>
      <c r="F8" s="96"/>
      <c r="G8" s="19"/>
      <c r="H8" s="9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33"/>
  <sheetViews>
    <sheetView zoomScale="115" zoomScaleNormal="115" workbookViewId="0">
      <selection activeCell="C8" sqref="C8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</v>
      </c>
      <c r="B2" s="49">
        <f ca="1">INDEX(data!I2:I91,MATCH(A2*1,data!G2:G91,0))</f>
        <v>46186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12</v>
      </c>
      <c r="I2" s="32">
        <f t="array" aca="1" ref="I2" ca="1">H2-SUM(IFERROR(INDEX(data!$D$2:$D$27,MATCH(C8:AA8,data!$A$2:$A$27,0)),0))</f>
        <v>12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12</v>
      </c>
      <c r="I3" s="32">
        <f t="array" aca="1" ref="I3" ca="1">H3-SUM(IFERROR(INDEX(data!$D$2:$D$27,MATCH(C11:AA11,data!$A$2:$A$27,0)),0))</f>
        <v>12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8400</v>
      </c>
      <c r="B4" s="34">
        <f>SUM(F2:F4)</f>
        <v>0</v>
      </c>
      <c r="C4" s="3">
        <v>0</v>
      </c>
      <c r="D4" s="70">
        <f ca="1">A4-B4+C4</f>
        <v>8400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12</v>
      </c>
      <c r="I4" s="35">
        <f t="array" aca="1" ref="I4" ca="1">H4-SUM(IFERROR(INDEX(data!$D$2:$D$27,MATCH(C14:AA14,data!$A$2:$A$27,0)),0))</f>
        <v>12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93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</v>
      </c>
      <c r="B2" s="49">
        <f ca="1">INDEX(data!I2:I91,MATCH(A2*1,data!G2:G91,0))</f>
        <v>46187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94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94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10000</v>
      </c>
      <c r="B4" s="34">
        <f>SUM(F2:F4)</f>
        <v>0</v>
      </c>
      <c r="C4" s="3">
        <v>0</v>
      </c>
      <c r="D4" s="70">
        <f ca="1">A4-B4+C4</f>
        <v>10000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95">
        <f t="array" aca="1" ref="I4" ca="1">H4-SUM(IFERROR(INDEX(data!$D$2:$D$27,MATCH(C14:AA14,data!$A$2:$A$27,0)),0))+5</f>
        <v>23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96"/>
      <c r="E11" s="96"/>
      <c r="F11" s="3"/>
      <c r="G11" s="3"/>
      <c r="H11" s="3"/>
      <c r="I11" s="96"/>
      <c r="J11" s="96"/>
      <c r="K11" s="19"/>
      <c r="L11" s="96"/>
      <c r="M11" s="96"/>
      <c r="N11" s="96"/>
      <c r="O11" s="19"/>
      <c r="P11" s="96"/>
      <c r="Q11" s="96"/>
      <c r="R11" s="97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9"/>
      <c r="D14" s="3"/>
      <c r="E14" s="3"/>
      <c r="F14" s="3"/>
      <c r="G14" s="97"/>
      <c r="N14" s="3"/>
      <c r="O14" s="3"/>
      <c r="P14" s="3"/>
      <c r="Q14" s="96"/>
      <c r="R14" s="96"/>
      <c r="S14" s="19"/>
      <c r="T14" s="96"/>
      <c r="U14" s="96"/>
      <c r="V14" s="97"/>
      <c r="W14" s="96"/>
      <c r="X14" s="96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</v>
      </c>
      <c r="B2" s="49">
        <f ca="1">INDEX(data!I2:I91,MATCH(A2*1,data!G2:G91,0))</f>
        <v>46189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13200</v>
      </c>
      <c r="B4" s="34">
        <f>SUM(F2:F4)</f>
        <v>0</v>
      </c>
      <c r="C4" s="3">
        <v>0</v>
      </c>
      <c r="D4" s="70">
        <f ca="1">A4-B4+C4</f>
        <v>13200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7"/>
      <c r="D8" s="3"/>
      <c r="E8" s="37"/>
      <c r="F8" s="98"/>
      <c r="G8" s="98"/>
      <c r="H8" s="98"/>
      <c r="I8" s="98"/>
      <c r="J8" s="99"/>
      <c r="K8" s="9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9"/>
      <c r="D14" s="98"/>
      <c r="E14" s="36"/>
      <c r="F14" s="98"/>
      <c r="G14" s="98"/>
      <c r="H14" s="29"/>
      <c r="I14" s="29"/>
      <c r="J14" s="98"/>
      <c r="K14" s="99"/>
      <c r="L14" s="98"/>
      <c r="M14" s="98"/>
      <c r="N14" s="99"/>
      <c r="O14" s="36"/>
      <c r="P14" s="98"/>
      <c r="Q14" s="98"/>
      <c r="R14" s="98"/>
      <c r="S14" s="99"/>
      <c r="T14" s="30"/>
      <c r="U14" s="30"/>
      <c r="V14" s="30"/>
      <c r="W14" s="30"/>
      <c r="X14" s="30"/>
      <c r="Y14" s="30"/>
      <c r="Z14" s="30"/>
      <c r="AA14" s="31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</v>
      </c>
      <c r="B2" s="49">
        <f ca="1">INDEX(data!I2:I91,MATCH(A2*1,data!G2:G91,0))</f>
        <v>46188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11600</v>
      </c>
      <c r="B4" s="34">
        <f>SUM(F2:F4)</f>
        <v>0</v>
      </c>
      <c r="C4" s="3">
        <v>0</v>
      </c>
      <c r="D4" s="70">
        <f ca="1">A4-B4+C4</f>
        <v>11600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9"/>
      <c r="D14" s="96"/>
      <c r="E14" s="96"/>
      <c r="F14" s="96"/>
      <c r="G14" s="96"/>
      <c r="H14" s="97"/>
      <c r="I14" s="96"/>
      <c r="J14" s="96"/>
      <c r="K14" s="19"/>
      <c r="L14" s="96"/>
      <c r="M14" s="96"/>
      <c r="N14" s="97"/>
      <c r="O14" s="9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</v>
      </c>
      <c r="B2" s="49">
        <f ca="1">INDEX(data!I2:I91,MATCH(A2*1,data!G2:G91,0))</f>
        <v>46190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14800</v>
      </c>
      <c r="B4" s="34">
        <f>SUM(F2:F4)</f>
        <v>0</v>
      </c>
      <c r="C4" s="3">
        <v>0</v>
      </c>
      <c r="D4" s="70">
        <f ca="1">A4-B4+C4</f>
        <v>14800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96"/>
      <c r="E8" s="19"/>
      <c r="F8" s="3"/>
      <c r="G8" s="96"/>
      <c r="H8" s="97"/>
      <c r="I8" s="96"/>
      <c r="J8" s="96"/>
      <c r="K8" s="19"/>
      <c r="L8" s="96"/>
      <c r="M8" s="96"/>
      <c r="N8" s="96"/>
      <c r="O8" s="97"/>
      <c r="P8" s="96"/>
      <c r="Q8" s="96"/>
      <c r="R8" s="19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79"/>
      <c r="D11" s="19"/>
      <c r="E11" s="79"/>
      <c r="F11" s="96"/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7"/>
      <c r="F14" s="96"/>
      <c r="G14" s="96"/>
      <c r="H14" s="19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</v>
      </c>
      <c r="B2" s="49">
        <f ca="1">INDEX(data!I2:I91,MATCH(A2*1,data!G2:G91,0))</f>
        <v>46191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16400</v>
      </c>
      <c r="B4" s="34">
        <f>SUM(F2:F4)</f>
        <v>0</v>
      </c>
      <c r="C4" s="3">
        <v>0</v>
      </c>
      <c r="D4" s="70">
        <f ca="1">A4-B4+C4</f>
        <v>16400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96"/>
      <c r="E8" s="96"/>
      <c r="F8" s="96"/>
      <c r="G8" s="19"/>
      <c r="H8" s="96"/>
      <c r="I8" s="96"/>
      <c r="J8" s="96"/>
      <c r="K8" s="1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79"/>
      <c r="D11" s="96"/>
      <c r="E11" s="19"/>
      <c r="F11" s="3"/>
      <c r="G11" s="3"/>
      <c r="H11" s="79"/>
      <c r="I11" s="96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19"/>
      <c r="F14" s="96"/>
      <c r="G14" s="96"/>
      <c r="H14" s="96"/>
      <c r="I14" s="97"/>
      <c r="J14" s="9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78</v>
      </c>
      <c r="F17" s="1" t="s">
        <v>78</v>
      </c>
      <c r="G17" s="1" t="s">
        <v>78</v>
      </c>
      <c r="H17" s="1" t="s">
        <v>78</v>
      </c>
      <c r="I17" s="1" t="s">
        <v>78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78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D33"/>
  <sheetViews>
    <sheetView zoomScale="115" zoomScaleNormal="115" workbookViewId="0">
      <selection activeCell="K13" sqref="K13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</v>
      </c>
      <c r="B2" s="49">
        <f ca="1">INDEX(data!I2:I91,MATCH(A2*1,data!G2:G91,0))</f>
        <v>46192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18000</v>
      </c>
      <c r="B4" s="34">
        <f>SUM(F2:F4)</f>
        <v>0</v>
      </c>
      <c r="C4" s="3">
        <v>0</v>
      </c>
      <c r="D4" s="111">
        <f ca="1">A4-B4+C4</f>
        <v>18000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96"/>
      <c r="F11" s="96"/>
      <c r="G11" s="100"/>
      <c r="H11" s="96"/>
      <c r="I11" s="96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78</v>
      </c>
      <c r="D17" s="1" t="s">
        <v>78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9</v>
      </c>
      <c r="B2" s="49">
        <f ca="1">INDEX(data!I2:I91,MATCH(A2*1,data!G2:G91,0))</f>
        <v>46193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19600</v>
      </c>
      <c r="B4" s="34">
        <f>SUM(F2:F4)</f>
        <v>0</v>
      </c>
      <c r="C4" s="3">
        <v>0</v>
      </c>
      <c r="D4" s="70">
        <f ca="1">A4-B4+C4</f>
        <v>19600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79"/>
      <c r="E8" s="96"/>
      <c r="F8" s="96"/>
      <c r="G8" s="96"/>
      <c r="H8" s="19"/>
      <c r="I8" s="79"/>
      <c r="J8" s="96"/>
      <c r="K8" s="96"/>
      <c r="L8" s="96"/>
      <c r="M8" s="1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19"/>
      <c r="G11" s="96"/>
      <c r="H11" s="96"/>
      <c r="I11" s="97"/>
      <c r="J11" s="9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1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33"/>
  <sheetViews>
    <sheetView zoomScale="115" zoomScaleNormal="115" workbookViewId="0"/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10</v>
      </c>
      <c r="B2" s="49">
        <f ca="1">INDEX(data!I2:I91,MATCH(A2*1,data!G2:G91,0))</f>
        <v>46194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21200</v>
      </c>
      <c r="B4" s="34">
        <f>SUM(F2:F4)</f>
        <v>0</v>
      </c>
      <c r="C4" s="3">
        <v>0</v>
      </c>
      <c r="D4" s="70">
        <f ca="1">A4-B4+C4</f>
        <v>21200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79"/>
      <c r="D8" s="97"/>
      <c r="E8" s="96"/>
      <c r="F8" s="97"/>
      <c r="G8" s="96"/>
      <c r="H8" s="96"/>
      <c r="I8" s="97"/>
      <c r="J8" s="96"/>
      <c r="K8" s="96"/>
      <c r="L8" s="1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19"/>
      <c r="I11" s="96"/>
      <c r="J11" s="96"/>
      <c r="K11" s="96"/>
      <c r="L11" s="96"/>
      <c r="M11" s="96"/>
      <c r="N11" s="96"/>
      <c r="O11" s="96"/>
      <c r="P11" s="19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33"/>
  <sheetViews>
    <sheetView zoomScale="115" zoomScaleNormal="115" workbookViewId="0">
      <selection activeCell="C1" sqref="C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11</v>
      </c>
      <c r="B2" s="49">
        <f ca="1">INDEX(data!I2:I91,MATCH(A2*1,data!G2:G91,0))</f>
        <v>46195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22800</v>
      </c>
      <c r="B4" s="34">
        <f>SUM(F2:F4)</f>
        <v>0</v>
      </c>
      <c r="C4" s="3">
        <v>0</v>
      </c>
      <c r="D4" s="70">
        <f ca="1">A4-B4+C4</f>
        <v>22800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19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33"/>
  <sheetViews>
    <sheetView zoomScale="115" zoomScaleNormal="115" workbookViewId="0">
      <selection activeCell="C1" sqref="C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12</v>
      </c>
      <c r="B2" s="49">
        <f ca="1">INDEX(data!I2:I91,MATCH(A2*1,data!G2:G91,0))</f>
        <v>46196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24400</v>
      </c>
      <c r="B4" s="34">
        <f>SUM(F2:F4)</f>
        <v>0</v>
      </c>
      <c r="C4" s="3">
        <v>0</v>
      </c>
      <c r="D4" s="70">
        <f ca="1">A4-B4+C4</f>
        <v>24400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96"/>
      <c r="H11" s="96"/>
      <c r="I11" s="9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96"/>
      <c r="E14" s="96"/>
      <c r="F14" s="96"/>
      <c r="G14" s="19"/>
      <c r="H14" s="96"/>
      <c r="I14" s="96"/>
      <c r="J14" s="9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D33"/>
  <sheetViews>
    <sheetView zoomScale="115" zoomScaleNormal="115" workbookViewId="0">
      <selection activeCell="J12" sqref="J12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13</v>
      </c>
      <c r="B2" s="49">
        <f ca="1">INDEX(data!I2:I91,MATCH(A2*1,data!G2:G91,0))</f>
        <v>46197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26000</v>
      </c>
      <c r="B4" s="34">
        <f>SUM(F2:F4)</f>
        <v>0</v>
      </c>
      <c r="C4" s="3">
        <v>0</v>
      </c>
      <c r="D4" s="111">
        <f ca="1">A4-B4+C4</f>
        <v>26000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7"/>
      <c r="D11" s="96"/>
      <c r="E11" s="96"/>
      <c r="F11" s="96"/>
      <c r="G11" s="96"/>
      <c r="H11" s="96"/>
      <c r="I11" s="96"/>
      <c r="J11" s="96"/>
      <c r="K11" s="96"/>
      <c r="L11" s="9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9"/>
      <c r="E14" s="96"/>
      <c r="F14" s="9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D33"/>
  <sheetViews>
    <sheetView zoomScale="115" zoomScaleNormal="115" workbookViewId="0"/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14</v>
      </c>
      <c r="B2" s="49">
        <f ca="1">INDEX(data!I2:I91,MATCH(A2*1,data!G2:G91,0))</f>
        <v>46198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27600</v>
      </c>
      <c r="B4" s="34">
        <f>SUM(F2:F4)</f>
        <v>0</v>
      </c>
      <c r="C4" s="3">
        <v>0</v>
      </c>
      <c r="D4" s="70">
        <f ca="1">A4-B4+C4</f>
        <v>27600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19"/>
      <c r="I11" s="96"/>
      <c r="J11" s="9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19"/>
      <c r="G14" s="52"/>
      <c r="H14" s="96"/>
      <c r="I14" s="96"/>
      <c r="J14" s="1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15</v>
      </c>
      <c r="B2" s="49">
        <f ca="1">INDEX(data!I2:I91,MATCH(A2*1,data!G2:G91,0))</f>
        <v>46199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29200</v>
      </c>
      <c r="B4" s="34">
        <f>SUM(F2:F4)</f>
        <v>0</v>
      </c>
      <c r="C4" s="3">
        <v>0</v>
      </c>
      <c r="D4" s="70">
        <f ca="1">A4-B4+C4</f>
        <v>29200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52"/>
      <c r="D14" s="100"/>
      <c r="E14" s="96"/>
      <c r="F14" s="9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16</v>
      </c>
      <c r="B2" s="49">
        <f ca="1">INDEX(data!I2:I91,MATCH(A2*1,data!G2:G91,0))</f>
        <v>46200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30800</v>
      </c>
      <c r="B4" s="34">
        <f>SUM(F2:F4)</f>
        <v>0</v>
      </c>
      <c r="C4" s="3">
        <v>0</v>
      </c>
      <c r="D4" s="70">
        <f ca="1">A4-B4+C4</f>
        <v>30800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19"/>
      <c r="F11" s="96"/>
      <c r="G11" s="96"/>
      <c r="H11" s="96"/>
      <c r="I11" s="96"/>
      <c r="J11" s="9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D33"/>
  <sheetViews>
    <sheetView tabSelected="1" zoomScale="115" zoomScaleNormal="115" workbookViewId="0">
      <selection activeCell="M27" sqref="M27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17</v>
      </c>
      <c r="B2" s="49">
        <f ca="1">INDEX(data!I2:I91,MATCH(A2*1,data!G2:G91,0))</f>
        <v>46201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32400</v>
      </c>
      <c r="B4" s="34">
        <f>SUM(F2:F4)</f>
        <v>0</v>
      </c>
      <c r="C4" s="3">
        <v>0</v>
      </c>
      <c r="D4" s="70">
        <f ca="1">A4-B4+C4</f>
        <v>32400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52"/>
      <c r="D14" s="96"/>
      <c r="E14" s="96"/>
      <c r="F14" s="96"/>
      <c r="G14" s="96"/>
      <c r="H14" s="96"/>
      <c r="I14" s="9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18</v>
      </c>
      <c r="B2" s="49">
        <f ca="1">INDEX(data!I2:I91,MATCH(A2*1,data!G2:G91,0))</f>
        <v>46202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34000</v>
      </c>
      <c r="B4" s="34">
        <f>SUM(F2:F4)</f>
        <v>0</v>
      </c>
      <c r="C4" s="3">
        <v>0</v>
      </c>
      <c r="D4" s="70">
        <f ca="1">A4-B4+C4</f>
        <v>34000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19</v>
      </c>
      <c r="B2" s="49">
        <f ca="1">INDEX(data!I2:I91,MATCH(A2*1,data!G2:G91,0))</f>
        <v>46203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35600</v>
      </c>
      <c r="B4" s="34">
        <f>SUM(F2:F4)</f>
        <v>0</v>
      </c>
      <c r="C4" s="3">
        <v>0</v>
      </c>
      <c r="D4" s="70">
        <f ca="1">A4-B4+C4</f>
        <v>35600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79"/>
      <c r="D11" s="96"/>
      <c r="E11" s="96"/>
      <c r="F11" s="96"/>
      <c r="G11" s="96"/>
      <c r="H11" s="96"/>
      <c r="I11" s="79"/>
      <c r="J11" s="96"/>
      <c r="K11" s="96"/>
      <c r="L11" s="9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9"/>
      <c r="E14" s="96"/>
      <c r="F14" s="96"/>
      <c r="G14" s="79"/>
      <c r="H14" s="96"/>
      <c r="I14" s="96"/>
      <c r="J14" s="96"/>
      <c r="K14" s="9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20</v>
      </c>
      <c r="B2" s="49">
        <f ca="1">INDEX(data!I2:I91,MATCH(A2*1,data!G2:G91,0))</f>
        <v>46204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37200</v>
      </c>
      <c r="B4" s="34">
        <f>SUM(F2:F4)</f>
        <v>0</v>
      </c>
      <c r="C4" s="3">
        <v>0</v>
      </c>
      <c r="D4" s="70">
        <f ca="1">A4-B4+C4</f>
        <v>37200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1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1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D33"/>
  <sheetViews>
    <sheetView zoomScale="115" zoomScaleNormal="115" workbookViewId="0">
      <selection activeCell="J1" sqref="J1:J4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21</v>
      </c>
      <c r="B2" s="49">
        <f ca="1">INDEX(data!I2:I91,MATCH(A2*1,data!G2:G91,0))</f>
        <v>46205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38800</v>
      </c>
      <c r="B4" s="34">
        <f>SUM(F2:F4)</f>
        <v>0</v>
      </c>
      <c r="C4" s="3">
        <v>0</v>
      </c>
      <c r="D4" s="70">
        <f ca="1">A4-B4+C4</f>
        <v>38800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7"/>
      <c r="G14" s="96"/>
      <c r="H14" s="96"/>
      <c r="I14" s="96"/>
      <c r="J14" s="9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D33"/>
  <sheetViews>
    <sheetView zoomScale="115" zoomScaleNormal="115" workbookViewId="0">
      <selection activeCell="P27" sqref="P27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22</v>
      </c>
      <c r="B2" s="49">
        <f ca="1">INDEX(data!I2:I91,MATCH(A2*1,data!G2:G91,0))</f>
        <v>46206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40400</v>
      </c>
      <c r="B4" s="34">
        <f>SUM(F2:F4)</f>
        <v>0</v>
      </c>
      <c r="C4" s="3">
        <v>0</v>
      </c>
      <c r="D4" s="70">
        <f ca="1">A4-B4+C4</f>
        <v>40400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96"/>
      <c r="J14" s="9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23</v>
      </c>
      <c r="B2" s="49">
        <f ca="1">INDEX(data!I2:I91,MATCH(A2*1,data!G2:G91,0))</f>
        <v>46207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42000</v>
      </c>
      <c r="B4" s="34">
        <f>SUM(F2:F4)</f>
        <v>0</v>
      </c>
      <c r="C4" s="3">
        <v>0</v>
      </c>
      <c r="D4" s="70">
        <f ca="1">A4-B4+C4</f>
        <v>42000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101"/>
      <c r="I14" s="96"/>
      <c r="J14" s="10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24</v>
      </c>
      <c r="B2" s="49">
        <f ca="1">INDEX(data!I2:I91,MATCH(A2*1,data!G2:G91,0))</f>
        <v>46208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43600</v>
      </c>
      <c r="B4" s="34">
        <f>SUM(F2:F4)</f>
        <v>0</v>
      </c>
      <c r="C4" s="3">
        <v>0</v>
      </c>
      <c r="D4" s="70">
        <f ca="1">A4-B4+C4</f>
        <v>43600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01"/>
      <c r="E14" s="96"/>
      <c r="F14" s="101"/>
      <c r="G14" s="101"/>
      <c r="H14" s="101"/>
      <c r="I14" s="101"/>
      <c r="J14" s="3"/>
      <c r="K14" s="9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25</v>
      </c>
      <c r="B2" s="49">
        <f ca="1">INDEX(data!I2:I91,MATCH(A2*1,data!G2:G91,0))</f>
        <v>46209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45200</v>
      </c>
      <c r="B4" s="34">
        <f>SUM(F2:F4)</f>
        <v>0</v>
      </c>
      <c r="C4" s="3">
        <v>0</v>
      </c>
      <c r="D4" s="70">
        <f ca="1">A4-B4+C4</f>
        <v>45200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101"/>
      <c r="F14" s="96"/>
      <c r="G14" s="96"/>
      <c r="H14" s="101"/>
      <c r="I14" s="101"/>
      <c r="J14" s="9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26</v>
      </c>
      <c r="B2" s="49">
        <f ca="1">INDEX(data!I2:I91,MATCH(A2*1,data!G2:G91,0))</f>
        <v>46210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46800</v>
      </c>
      <c r="B4" s="34">
        <f>SUM(F2:F4)</f>
        <v>0</v>
      </c>
      <c r="C4" s="3">
        <v>0</v>
      </c>
      <c r="D4" s="70">
        <f ca="1">A4-B4+C4</f>
        <v>46800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01"/>
      <c r="E14" s="96"/>
      <c r="F14" s="96"/>
      <c r="G14" s="96"/>
      <c r="H14" s="96"/>
      <c r="I14" s="101"/>
      <c r="J14" s="10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27</v>
      </c>
      <c r="B2" s="49">
        <f ca="1">INDEX(data!I2:I91,MATCH(A2*1,data!G2:G91,0))</f>
        <v>46211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48400</v>
      </c>
      <c r="B4" s="34">
        <f>SUM(F2:F4)</f>
        <v>0</v>
      </c>
      <c r="C4" s="3">
        <v>0</v>
      </c>
      <c r="D4" s="70">
        <f ca="1">A4-B4+C4</f>
        <v>48400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102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28</v>
      </c>
      <c r="B2" s="49">
        <f ca="1">INDEX(data!I2:I91,MATCH(A2*1,data!G2:G91,0))</f>
        <v>46212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50000</v>
      </c>
      <c r="B4" s="34">
        <f>SUM(F2:F4)</f>
        <v>0</v>
      </c>
      <c r="C4" s="3">
        <v>0</v>
      </c>
      <c r="D4" s="70">
        <f ca="1">A4-B4+C4</f>
        <v>50000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7"/>
      <c r="D14" s="96"/>
      <c r="E14" s="96"/>
      <c r="F14" s="96"/>
      <c r="G14" s="96"/>
      <c r="H14" s="97"/>
      <c r="I14" s="101"/>
      <c r="J14" s="9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29</v>
      </c>
      <c r="B2" s="49">
        <f ca="1">INDEX(data!I2:I91,MATCH(A2*1,data!G2:G91,0))</f>
        <v>46213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51600</v>
      </c>
      <c r="B4" s="34">
        <f>SUM(F2:F4)</f>
        <v>0</v>
      </c>
      <c r="C4" s="3">
        <v>0</v>
      </c>
      <c r="D4" s="70">
        <f ca="1">A4-B4+C4</f>
        <v>51600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10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10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101"/>
      <c r="F14" s="97"/>
      <c r="G14" s="96"/>
      <c r="H14" s="96"/>
      <c r="I14" s="3"/>
      <c r="J14" s="101"/>
      <c r="K14" s="10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10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30</v>
      </c>
      <c r="B2" s="49">
        <f ca="1">INDEX(data!I2:I91,MATCH(A2*1,data!G2:G91,0))</f>
        <v>46214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53200</v>
      </c>
      <c r="B4" s="34">
        <f>SUM(F2:F4)</f>
        <v>0</v>
      </c>
      <c r="C4" s="3">
        <v>0</v>
      </c>
      <c r="D4" s="70">
        <f ca="1">A4-B4+C4</f>
        <v>53200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3"/>
      <c r="F14" s="96"/>
      <c r="G14" s="96"/>
      <c r="H14" s="96"/>
      <c r="I14" s="96"/>
      <c r="J14" s="9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31</v>
      </c>
      <c r="B2" s="49">
        <f ca="1">INDEX(data!I2:I91,MATCH(A2*1,data!G2:G91,0))</f>
        <v>46215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54800</v>
      </c>
      <c r="B4" s="34">
        <f>SUM(F2:F4)</f>
        <v>0</v>
      </c>
      <c r="C4" s="3">
        <v>0</v>
      </c>
      <c r="D4" s="70">
        <f ca="1">A4-B4+C4</f>
        <v>54800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32</v>
      </c>
      <c r="B2" s="49">
        <f ca="1">INDEX(data!I2:I91,MATCH(A2*1,data!G2:G91,0))</f>
        <v>46216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56400</v>
      </c>
      <c r="B4" s="34">
        <f>SUM(F2:F4)</f>
        <v>0</v>
      </c>
      <c r="C4" s="3">
        <v>0</v>
      </c>
      <c r="D4" s="70">
        <f ca="1">A4-B4+C4</f>
        <v>56400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33</v>
      </c>
      <c r="B2" s="49">
        <f ca="1">INDEX(data!I2:I91,MATCH(A2*1,data!G2:G91,0))</f>
        <v>46217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58000</v>
      </c>
      <c r="B4" s="34">
        <f>SUM(F2:F4)</f>
        <v>0</v>
      </c>
      <c r="C4" s="3">
        <v>0</v>
      </c>
      <c r="D4" s="70">
        <f ca="1">A4-B4+C4</f>
        <v>58000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34</v>
      </c>
      <c r="B2" s="49">
        <f ca="1">INDEX(data!I2:I91,MATCH(A2*1,data!G2:G91,0))</f>
        <v>46218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59600</v>
      </c>
      <c r="B4" s="34">
        <f>SUM(F2:F4)</f>
        <v>0</v>
      </c>
      <c r="C4" s="3">
        <v>0</v>
      </c>
      <c r="D4" s="70">
        <f ca="1">A4-B4+C4</f>
        <v>59600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9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35</v>
      </c>
      <c r="B2" s="49">
        <f ca="1">INDEX(data!I2:I91,MATCH(A2*1,data!G2:G91,0))</f>
        <v>46219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61200</v>
      </c>
      <c r="B4" s="34">
        <f>SUM(F2:F4)</f>
        <v>0</v>
      </c>
      <c r="C4" s="3">
        <v>0</v>
      </c>
      <c r="D4" s="70">
        <f ca="1">A4-B4+C4</f>
        <v>61200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36</v>
      </c>
      <c r="B2" s="49">
        <f ca="1">INDEX(data!I2:I91,MATCH(A2*1,data!G2:G91,0))</f>
        <v>46220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62800</v>
      </c>
      <c r="B4" s="34">
        <f>SUM(F2:F4)</f>
        <v>0</v>
      </c>
      <c r="C4" s="3">
        <v>0</v>
      </c>
      <c r="D4" s="70">
        <f ca="1">A4-B4+C4</f>
        <v>62800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96"/>
      <c r="E11" s="96"/>
      <c r="F11" s="96"/>
      <c r="G11" s="96"/>
      <c r="H11" s="96"/>
      <c r="I11" s="9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37</v>
      </c>
      <c r="B2" s="49">
        <f ca="1">INDEX(data!I2:I91,MATCH(A2*1,data!G2:G91,0))</f>
        <v>46221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64400</v>
      </c>
      <c r="B4" s="34">
        <f>SUM(F2:F4)</f>
        <v>0</v>
      </c>
      <c r="C4" s="3">
        <v>0</v>
      </c>
      <c r="D4" s="70">
        <f ca="1">A4-B4+C4</f>
        <v>64400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38</v>
      </c>
      <c r="B2" s="49">
        <f ca="1">INDEX(data!I2:I91,MATCH(A2*1,data!G2:G91,0))</f>
        <v>46222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66000</v>
      </c>
      <c r="B4" s="34">
        <f>SUM(F2:F4)</f>
        <v>0</v>
      </c>
      <c r="C4" s="3">
        <v>0</v>
      </c>
      <c r="D4" s="70">
        <f ca="1">A4-B4+C4</f>
        <v>66000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39</v>
      </c>
      <c r="B2" s="49">
        <f ca="1">INDEX(data!I2:I91,MATCH(A2*1,data!G2:G91,0))</f>
        <v>46223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67600</v>
      </c>
      <c r="B4" s="34">
        <f>SUM(F2:F4)</f>
        <v>0</v>
      </c>
      <c r="C4" s="3">
        <v>0</v>
      </c>
      <c r="D4" s="70">
        <f ca="1">A4-B4+C4</f>
        <v>67600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40</v>
      </c>
      <c r="B2" s="49">
        <f ca="1">INDEX(data!I2:I91,MATCH(A2*1,data!G2:G91,0))</f>
        <v>46224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69200</v>
      </c>
      <c r="B4" s="34">
        <f>SUM(F2:F4)</f>
        <v>0</v>
      </c>
      <c r="C4" s="3">
        <v>0</v>
      </c>
      <c r="D4" s="70">
        <f ca="1">A4-B4+C4</f>
        <v>69200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41</v>
      </c>
      <c r="B2" s="49">
        <f ca="1">INDEX(data!I2:I91,MATCH(A2*1,data!G2:G91,0))</f>
        <v>46225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70800</v>
      </c>
      <c r="B4" s="34">
        <f>SUM(F2:F4)</f>
        <v>0</v>
      </c>
      <c r="C4" s="3">
        <v>0</v>
      </c>
      <c r="D4" s="70">
        <f ca="1">A4-B4+C4</f>
        <v>70800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3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42</v>
      </c>
      <c r="B2" s="49">
        <f ca="1">INDEX(data!I2:I91,MATCH(A2*1,data!G2:G91,0))</f>
        <v>46226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72400</v>
      </c>
      <c r="B4" s="34">
        <f>SUM(F2:F4)</f>
        <v>0</v>
      </c>
      <c r="C4" s="3">
        <v>0</v>
      </c>
      <c r="D4" s="70">
        <f ca="1">A4-B4+C4</f>
        <v>72400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43</v>
      </c>
      <c r="B2" s="49">
        <f ca="1">INDEX(data!I2:I91,MATCH(A2*1,data!G2:G91,0))</f>
        <v>46227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74000</v>
      </c>
      <c r="B4" s="34">
        <f>SUM(F2:F4)</f>
        <v>0</v>
      </c>
      <c r="C4" s="3">
        <v>0</v>
      </c>
      <c r="D4" s="70">
        <f ca="1">A4-B4+C4</f>
        <v>74000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19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44</v>
      </c>
      <c r="B2" s="49">
        <f ca="1">INDEX(data!I2:I91,MATCH(A2*1,data!G2:G91,0))</f>
        <v>46228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75600</v>
      </c>
      <c r="B4" s="34">
        <f>SUM(F2:F4)</f>
        <v>0</v>
      </c>
      <c r="C4" s="3">
        <v>0</v>
      </c>
      <c r="D4" s="70">
        <f ca="1">A4-B4+C4</f>
        <v>75600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7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45</v>
      </c>
      <c r="B2" s="49">
        <f ca="1">INDEX(data!I2:I91,MATCH(A2*1,data!G2:G91,0))</f>
        <v>46229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77200</v>
      </c>
      <c r="B4" s="34">
        <f>SUM(F2:F4)</f>
        <v>0</v>
      </c>
      <c r="C4" s="3">
        <v>0</v>
      </c>
      <c r="D4" s="70">
        <f ca="1">A4-B4+C4</f>
        <v>77200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7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46</v>
      </c>
      <c r="B2" s="49">
        <f ca="1">INDEX(data!I2:I91,MATCH(A2*1,data!G2:G91,0))</f>
        <v>46230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78800</v>
      </c>
      <c r="B4" s="34">
        <f>SUM(F2:F4)</f>
        <v>0</v>
      </c>
      <c r="C4" s="3">
        <v>0</v>
      </c>
      <c r="D4" s="70">
        <f ca="1">A4-B4+C4</f>
        <v>78800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47</v>
      </c>
      <c r="B2" s="49">
        <f ca="1">INDEX(data!I2:I91,MATCH(A2*1,data!G2:G91,0))</f>
        <v>46231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80400</v>
      </c>
      <c r="B4" s="34">
        <f>SUM(F2:F4)</f>
        <v>0</v>
      </c>
      <c r="C4" s="3">
        <v>0</v>
      </c>
      <c r="D4" s="70">
        <f ca="1">A4-B4+C4</f>
        <v>80400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7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48</v>
      </c>
      <c r="B2" s="49">
        <f ca="1">INDEX(data!I2:I91,MATCH(A2*1,data!G2:G91,0))</f>
        <v>46232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82000</v>
      </c>
      <c r="B4" s="34">
        <f>SUM(F2:F4)</f>
        <v>0</v>
      </c>
      <c r="C4" s="3">
        <v>0</v>
      </c>
      <c r="D4" s="70">
        <f ca="1">A4-B4+C4</f>
        <v>82000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49</v>
      </c>
      <c r="B2" s="49">
        <f ca="1">INDEX(data!I2:I91,MATCH(A2*1,data!G2:G91,0))</f>
        <v>46233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83600</v>
      </c>
      <c r="B4" s="34">
        <f>SUM(F2:F4)</f>
        <v>0</v>
      </c>
      <c r="C4" s="3">
        <v>0</v>
      </c>
      <c r="D4" s="70">
        <f ca="1">A4-B4+C4</f>
        <v>83600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01"/>
      <c r="E14" s="101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50</v>
      </c>
      <c r="B2" s="49">
        <f ca="1">INDEX(data!I2:I91,MATCH(A2*1,data!G2:G91,0))</f>
        <v>46234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85200</v>
      </c>
      <c r="B4" s="34">
        <f>SUM(F2:F4)</f>
        <v>0</v>
      </c>
      <c r="C4" s="3">
        <v>0</v>
      </c>
      <c r="D4" s="70">
        <f ca="1">A4-B4+C4</f>
        <v>85200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7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96"/>
      <c r="F14" s="19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51</v>
      </c>
      <c r="B2" s="49">
        <f ca="1">INDEX(data!I2:I91,MATCH(A2*1,data!G2:G91,0))</f>
        <v>46235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86800</v>
      </c>
      <c r="B4" s="34">
        <f>SUM(F2:F4)</f>
        <v>0</v>
      </c>
      <c r="C4" s="3">
        <v>0</v>
      </c>
      <c r="D4" s="70">
        <f ca="1">A4-B4+C4</f>
        <v>86800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01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52</v>
      </c>
      <c r="B2" s="49">
        <f ca="1">INDEX(data!I2:I91,MATCH(A2*1,data!G2:G91,0))</f>
        <v>46236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88400</v>
      </c>
      <c r="B4" s="34">
        <f>SUM(F2:F4)</f>
        <v>0</v>
      </c>
      <c r="C4" s="3">
        <v>0</v>
      </c>
      <c r="D4" s="70">
        <f ca="1">A4-B4+C4</f>
        <v>88400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53</v>
      </c>
      <c r="B2" s="49">
        <f ca="1">INDEX(data!I2:I91,MATCH(A2*1,data!G2:G91,0))</f>
        <v>46237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90000</v>
      </c>
      <c r="B4" s="34">
        <f>SUM(F2:F4)</f>
        <v>0</v>
      </c>
      <c r="C4" s="3">
        <v>0</v>
      </c>
      <c r="D4" s="70">
        <f ca="1">A4-B4+C4</f>
        <v>90000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19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54</v>
      </c>
      <c r="B2" s="49">
        <f ca="1">INDEX(data!I2:I91,MATCH(A2*1,data!G2:G91,0))</f>
        <v>46238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91600</v>
      </c>
      <c r="B4" s="34">
        <f>SUM(F2:F4)</f>
        <v>0</v>
      </c>
      <c r="C4" s="3">
        <v>0</v>
      </c>
      <c r="D4" s="70">
        <f ca="1">A4-B4+C4</f>
        <v>91600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55</v>
      </c>
      <c r="B2" s="49">
        <f ca="1">INDEX(data!I2:I91,MATCH(A2*1,data!G2:G91,0))</f>
        <v>46239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93200</v>
      </c>
      <c r="B4" s="34">
        <f>SUM(F2:F4)</f>
        <v>0</v>
      </c>
      <c r="C4" s="3">
        <v>0</v>
      </c>
      <c r="D4" s="70">
        <f ca="1">A4-B4+C4</f>
        <v>93200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7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56</v>
      </c>
      <c r="B2" s="49">
        <f ca="1">INDEX(data!I2:I91,MATCH(A2*1,data!G2:G91,0))</f>
        <v>46240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94800</v>
      </c>
      <c r="B4" s="34">
        <f>SUM(F2:F4)</f>
        <v>0</v>
      </c>
      <c r="C4" s="3">
        <v>0</v>
      </c>
      <c r="D4" s="70">
        <f ca="1">A4-B4+C4</f>
        <v>94800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57</v>
      </c>
      <c r="B2" s="49">
        <f ca="1">INDEX(data!I2:I91,MATCH(A2*1,data!G2:G91,0))</f>
        <v>46241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96400</v>
      </c>
      <c r="B4" s="34">
        <f>SUM(F2:F4)</f>
        <v>0</v>
      </c>
      <c r="C4" s="3">
        <v>0</v>
      </c>
      <c r="D4" s="70">
        <f ca="1">A4-B4+C4</f>
        <v>96400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58</v>
      </c>
      <c r="B2" s="49">
        <f ca="1">INDEX(data!I2:I91,MATCH(A2*1,data!G2:G91,0))</f>
        <v>46242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98000</v>
      </c>
      <c r="B4" s="34">
        <f>SUM(F2:F4)</f>
        <v>0</v>
      </c>
      <c r="C4" s="3">
        <v>0</v>
      </c>
      <c r="D4" s="70">
        <f ca="1">A4-B4+C4</f>
        <v>98000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59</v>
      </c>
      <c r="B2" s="49">
        <f ca="1">INDEX(data!I2:I91,MATCH(A2*1,data!G2:G91,0))</f>
        <v>46243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99600</v>
      </c>
      <c r="B4" s="34">
        <f>SUM(F2:F4)</f>
        <v>0</v>
      </c>
      <c r="C4" s="3">
        <v>0</v>
      </c>
      <c r="D4" s="70">
        <f ca="1">A4-B4+C4</f>
        <v>99600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96"/>
      <c r="E11" s="96"/>
      <c r="F11" s="96"/>
      <c r="G11" s="96"/>
      <c r="H11" s="96"/>
      <c r="I11" s="9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101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60</v>
      </c>
      <c r="B2" s="49">
        <f ca="1">INDEX(data!I2:I91,MATCH(A2*1,data!G2:G91,0))</f>
        <v>46244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101200</v>
      </c>
      <c r="B4" s="34">
        <f>SUM(F2:F4)</f>
        <v>0</v>
      </c>
      <c r="C4" s="3">
        <v>0</v>
      </c>
      <c r="D4" s="70">
        <f ca="1">A4-B4+C4</f>
        <v>101200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96"/>
      <c r="F14" s="96"/>
      <c r="G14" s="101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61</v>
      </c>
      <c r="B2" s="49">
        <f ca="1">INDEX(data!I2:I91,MATCH(A2*1,data!G2:G91,0))</f>
        <v>46245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102800</v>
      </c>
      <c r="B4" s="34">
        <f>SUM(F2:F4)</f>
        <v>0</v>
      </c>
      <c r="C4" s="3">
        <v>0</v>
      </c>
      <c r="D4" s="70">
        <f ca="1">A4-B4+C4</f>
        <v>102800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19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101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62</v>
      </c>
      <c r="B2" s="49">
        <f ca="1">INDEX(data!I2:I91,MATCH(A2*1,data!G2:G91,0))</f>
        <v>46246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104400</v>
      </c>
      <c r="B4" s="34">
        <f>SUM(F2:F4)</f>
        <v>0</v>
      </c>
      <c r="C4" s="3">
        <v>0</v>
      </c>
      <c r="D4" s="70">
        <f ca="1">A4-B4+C4</f>
        <v>104400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63</v>
      </c>
      <c r="B2" s="49">
        <f ca="1">INDEX(data!I2:I91,MATCH(A2*1,data!G2:G91,0))</f>
        <v>46247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106000</v>
      </c>
      <c r="B4" s="34">
        <f>SUM(F2:F4)</f>
        <v>0</v>
      </c>
      <c r="C4" s="3">
        <v>0</v>
      </c>
      <c r="D4" s="70">
        <f ca="1">A4-B4+C4</f>
        <v>106000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01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64</v>
      </c>
      <c r="B2" s="49">
        <f ca="1">INDEX(data!I2:I91,MATCH(A2*1,data!G2:G91,0))</f>
        <v>46248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107600</v>
      </c>
      <c r="B4" s="34">
        <f>SUM(F2:F4)</f>
        <v>0</v>
      </c>
      <c r="C4" s="3">
        <v>0</v>
      </c>
      <c r="D4" s="70">
        <f ca="1">A4-B4+C4</f>
        <v>107600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65</v>
      </c>
      <c r="B2" s="49">
        <f ca="1">INDEX(data!I2:I91,MATCH(A2*1,data!G2:G91,0))</f>
        <v>46249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109200</v>
      </c>
      <c r="B4" s="34">
        <f>SUM(F2:F4)</f>
        <v>0</v>
      </c>
      <c r="C4" s="3">
        <v>0</v>
      </c>
      <c r="D4" s="70">
        <f ca="1">A4-B4+C4</f>
        <v>109200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7"/>
      <c r="F11" s="96"/>
      <c r="G11" s="103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66</v>
      </c>
      <c r="B2" s="49">
        <f ca="1">INDEX(data!I2:I91,MATCH(A2*1,data!G2:G91,0))</f>
        <v>46250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110800</v>
      </c>
      <c r="B4" s="34">
        <f>SUM(F2:F4)</f>
        <v>0</v>
      </c>
      <c r="C4" s="3">
        <v>0</v>
      </c>
      <c r="D4" s="70">
        <f ca="1">A4-B4+C4</f>
        <v>110800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7"/>
      <c r="D11" s="96"/>
      <c r="E11" s="96"/>
      <c r="F11" s="19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67</v>
      </c>
      <c r="B2" s="49">
        <f ca="1">INDEX(data!I2:I91,MATCH(A2*1,data!G2:G91,0))</f>
        <v>46251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112400</v>
      </c>
      <c r="B4" s="34">
        <f>SUM(F2:F4)</f>
        <v>0</v>
      </c>
      <c r="C4" s="3">
        <v>0</v>
      </c>
      <c r="D4" s="70">
        <f ca="1">A4-B4+C4</f>
        <v>112400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103"/>
      <c r="E11" s="96"/>
      <c r="F11" s="97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68</v>
      </c>
      <c r="B2" s="49">
        <f ca="1">INDEX(data!I2:I91,MATCH(A2*1,data!G2:G91,0))</f>
        <v>46252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114000</v>
      </c>
      <c r="B4" s="34">
        <f>SUM(F2:F4)</f>
        <v>0</v>
      </c>
      <c r="C4" s="3">
        <v>0</v>
      </c>
      <c r="D4" s="70">
        <f ca="1">A4-B4+C4</f>
        <v>114000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7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103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69</v>
      </c>
      <c r="B2" s="49">
        <f ca="1">INDEX(data!I2:I91,MATCH(A2*1,data!G2:G91,0))</f>
        <v>46253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115600</v>
      </c>
      <c r="B4" s="34">
        <f>SUM(F2:F4)</f>
        <v>0</v>
      </c>
      <c r="C4" s="3">
        <v>0</v>
      </c>
      <c r="D4" s="70">
        <f ca="1">A4-B4+C4</f>
        <v>115600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103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19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70</v>
      </c>
      <c r="B2" s="49">
        <f ca="1">INDEX(data!I2:I91,MATCH(A2*1,data!G2:G91,0))</f>
        <v>46254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117200</v>
      </c>
      <c r="B4" s="34">
        <f>SUM(F2:F4)</f>
        <v>0</v>
      </c>
      <c r="C4" s="3">
        <v>0</v>
      </c>
      <c r="D4" s="70">
        <f ca="1">A4-B4+C4</f>
        <v>117200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19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71</v>
      </c>
      <c r="B2" s="49">
        <f ca="1">INDEX(data!I2:I91,MATCH(A2*1,data!G2:G91,0))</f>
        <v>46255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118800</v>
      </c>
      <c r="B4" s="34">
        <f>SUM(F2:F4)</f>
        <v>0</v>
      </c>
      <c r="C4" s="3">
        <v>0</v>
      </c>
      <c r="D4" s="70">
        <f ca="1">A4-B4+C4</f>
        <v>118800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96"/>
      <c r="E11" s="96"/>
      <c r="F11" s="96"/>
      <c r="G11" s="103"/>
      <c r="H11" s="96"/>
      <c r="I11" s="9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72</v>
      </c>
      <c r="B2" s="49">
        <f ca="1">INDEX(data!I2:I91,MATCH(A2*1,data!G2:G91,0))</f>
        <v>46256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120400</v>
      </c>
      <c r="B4" s="34">
        <f>SUM(F2:F4)</f>
        <v>0</v>
      </c>
      <c r="C4" s="3">
        <v>0</v>
      </c>
      <c r="D4" s="70">
        <f ca="1">A4-B4+C4</f>
        <v>120400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103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73</v>
      </c>
      <c r="B2" s="49">
        <f ca="1">INDEX(data!I2:I91,MATCH(A2*1,data!G2:G91,0))</f>
        <v>46257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122000</v>
      </c>
      <c r="B4" s="34">
        <f>SUM(F2:F4)</f>
        <v>0</v>
      </c>
      <c r="C4" s="3">
        <v>0</v>
      </c>
      <c r="D4" s="70">
        <f ca="1">A4-B4+C4</f>
        <v>122000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103"/>
      <c r="F11" s="96"/>
      <c r="G11" s="96"/>
      <c r="H11" s="10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7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74</v>
      </c>
      <c r="B2" s="49">
        <f ca="1">INDEX(data!I2:I91,MATCH(A2*1,data!G2:G91,0))</f>
        <v>46258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123600</v>
      </c>
      <c r="B4" s="34">
        <f>SUM(F2:F4)</f>
        <v>0</v>
      </c>
      <c r="C4" s="3">
        <v>0</v>
      </c>
      <c r="D4" s="70">
        <f ca="1">A4-B4+C4</f>
        <v>123600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96"/>
      <c r="E14" s="96"/>
      <c r="F14" s="96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75</v>
      </c>
      <c r="B2" s="49">
        <f ca="1">INDEX(data!I2:I91,MATCH(A2*1,data!G2:G91,0))</f>
        <v>46259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125200</v>
      </c>
      <c r="B4" s="34">
        <f>SUM(F2:F4)</f>
        <v>0</v>
      </c>
      <c r="C4" s="3">
        <v>0</v>
      </c>
      <c r="D4" s="70">
        <f ca="1">A4-B4+C4</f>
        <v>125200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103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6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76</v>
      </c>
      <c r="B2" s="49">
        <f ca="1">INDEX(data!I2:I91,MATCH(A2*1,data!G2:G91,0))</f>
        <v>46260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126800</v>
      </c>
      <c r="B4" s="34">
        <f>SUM(F2:F4)</f>
        <v>0</v>
      </c>
      <c r="C4" s="3">
        <v>0</v>
      </c>
      <c r="D4" s="70">
        <f ca="1">A4-B4+C4</f>
        <v>126800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103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77</v>
      </c>
      <c r="B2" s="49">
        <f ca="1">INDEX(data!I2:I91,MATCH(A2*1,data!G2:G91,0))</f>
        <v>46261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128400</v>
      </c>
      <c r="B4" s="34">
        <f>SUM(F2:F4)</f>
        <v>0</v>
      </c>
      <c r="C4" s="3">
        <v>0</v>
      </c>
      <c r="D4" s="70">
        <f ca="1">A4-B4+C4</f>
        <v>128400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78</v>
      </c>
      <c r="B2" s="49">
        <f ca="1">INDEX(data!I2:I91,MATCH(A2*1,data!G2:G91,0))</f>
        <v>46262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130000</v>
      </c>
      <c r="B4" s="34">
        <f>SUM(F2:F4)</f>
        <v>0</v>
      </c>
      <c r="C4" s="3">
        <v>0</v>
      </c>
      <c r="D4" s="70">
        <f ca="1">A4-B4+C4</f>
        <v>130000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96"/>
      <c r="E14" s="101"/>
      <c r="F14" s="101"/>
      <c r="G14" s="101"/>
      <c r="H14" s="10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79</v>
      </c>
      <c r="B2" s="49">
        <f ca="1">INDEX(data!I2:I91,MATCH(A2*1,data!G2:G91,0))</f>
        <v>46263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131600</v>
      </c>
      <c r="B4" s="34">
        <f>SUM(F2:F4)</f>
        <v>0</v>
      </c>
      <c r="C4" s="3">
        <v>0</v>
      </c>
      <c r="D4" s="70">
        <f ca="1">A4-B4+C4</f>
        <v>131600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80</v>
      </c>
      <c r="B2" s="49">
        <f ca="1">INDEX(data!I2:I91,MATCH(A2*1,data!G2:G91,0))</f>
        <v>46264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133200</v>
      </c>
      <c r="B4" s="34">
        <f>SUM(F2:F4)</f>
        <v>0</v>
      </c>
      <c r="C4" s="3">
        <v>0</v>
      </c>
      <c r="D4" s="70">
        <f ca="1">A4-B4+C4</f>
        <v>133200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73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81</v>
      </c>
      <c r="B2" s="49">
        <f ca="1">INDEX(data!I2:I91,MATCH(A2*1,data!G2:G91,0))</f>
        <v>46265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134800</v>
      </c>
      <c r="B4" s="34">
        <f>SUM(F2:F4)</f>
        <v>0</v>
      </c>
      <c r="C4" s="3">
        <v>0</v>
      </c>
      <c r="D4" s="70">
        <f ca="1">A4-B4+C4</f>
        <v>134800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97"/>
      <c r="F14" s="101"/>
      <c r="G14" s="96"/>
      <c r="H14" s="9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82</v>
      </c>
      <c r="B2" s="49">
        <f ca="1">INDEX(data!I2:I91,MATCH(A2*1,data!G2:G91,0))</f>
        <v>46266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136400</v>
      </c>
      <c r="B4" s="34">
        <f>SUM(F2:F4)</f>
        <v>0</v>
      </c>
      <c r="C4" s="3">
        <v>0</v>
      </c>
      <c r="D4" s="70">
        <f ca="1">A4-B4+C4</f>
        <v>136400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103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83</v>
      </c>
      <c r="B2" s="49">
        <f ca="1">INDEX(data!I2:I91,MATCH(A2*1,data!G2:G91,0))</f>
        <v>46267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138000</v>
      </c>
      <c r="B4" s="34">
        <f>SUM(F2:F4)</f>
        <v>0</v>
      </c>
      <c r="C4" s="3">
        <v>0</v>
      </c>
      <c r="D4" s="70">
        <f ca="1">A4-B4+C4</f>
        <v>138000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96"/>
      <c r="E8" s="104"/>
      <c r="F8" s="96"/>
      <c r="G8" s="96"/>
      <c r="H8" s="96"/>
      <c r="I8" s="96"/>
      <c r="J8" s="10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96"/>
      <c r="E11" s="96"/>
      <c r="F11" s="96"/>
      <c r="G11" s="96"/>
      <c r="H11" s="96"/>
      <c r="I11" s="9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97"/>
      <c r="D14" s="3"/>
      <c r="E14" s="19"/>
      <c r="F14" s="3"/>
      <c r="G14" s="19"/>
      <c r="H14" s="3"/>
      <c r="I14" s="3"/>
      <c r="J14" s="96"/>
      <c r="K14" s="96"/>
      <c r="L14" s="1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84</v>
      </c>
      <c r="B2" s="49">
        <f ca="1">INDEX(data!I2:I91,MATCH(A2*1,data!G2:G91,0))</f>
        <v>46268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139600</v>
      </c>
      <c r="B4" s="34">
        <f>SUM(F2:F4)</f>
        <v>0</v>
      </c>
      <c r="C4" s="3">
        <v>0</v>
      </c>
      <c r="D4" s="70">
        <f ca="1">A4-B4+C4</f>
        <v>139600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103"/>
      <c r="E8" s="96"/>
      <c r="F8" s="104"/>
      <c r="G8" s="96"/>
      <c r="H8" s="9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19"/>
      <c r="F14" s="3"/>
      <c r="G14" s="19"/>
      <c r="H14" s="3"/>
      <c r="I14" s="19"/>
      <c r="J14" s="101"/>
      <c r="K14" s="101"/>
      <c r="L14" s="101"/>
      <c r="M14" s="10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85</v>
      </c>
      <c r="B2" s="49">
        <f ca="1">INDEX(data!I2:I91,MATCH(A2*1,data!G2:G91,0))</f>
        <v>46269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141200</v>
      </c>
      <c r="B4" s="34">
        <f>SUM(F2:F4)</f>
        <v>0</v>
      </c>
      <c r="C4" s="3">
        <v>0</v>
      </c>
      <c r="D4" s="70">
        <f ca="1">A4-B4+C4</f>
        <v>141200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96"/>
      <c r="E8" s="96"/>
      <c r="F8" s="103"/>
      <c r="G8" s="96"/>
      <c r="H8" s="10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8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86</v>
      </c>
      <c r="B2" s="49">
        <f ca="1">INDEX(data!I2:I91,MATCH(A2*1,data!G2:G91,0))</f>
        <v>46270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142800</v>
      </c>
      <c r="B4" s="34">
        <f>SUM(F2:F4)</f>
        <v>0</v>
      </c>
      <c r="C4" s="3">
        <v>0</v>
      </c>
      <c r="D4" s="70">
        <f ca="1">A4-B4+C4</f>
        <v>142800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103"/>
      <c r="E8" s="96"/>
      <c r="F8" s="96"/>
      <c r="G8" s="10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9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87</v>
      </c>
      <c r="B2" s="49">
        <f ca="1">INDEX(data!I2:I91,MATCH(A2*1,data!G2:G91,0))</f>
        <v>46271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144400</v>
      </c>
      <c r="B4" s="34">
        <f>SUM(F2:F4)</f>
        <v>0</v>
      </c>
      <c r="C4" s="3">
        <v>0</v>
      </c>
      <c r="D4" s="70">
        <f ca="1">A4-B4+C4</f>
        <v>144400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96"/>
      <c r="E8" s="104"/>
      <c r="F8" s="3"/>
      <c r="G8" s="96"/>
      <c r="H8" s="9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0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88</v>
      </c>
      <c r="B2" s="49">
        <f ca="1">INDEX(data!I2:I91,MATCH(A2*1,data!G2:G91,0))</f>
        <v>46272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146000</v>
      </c>
      <c r="B4" s="34">
        <f>SUM(F2:F4)</f>
        <v>0</v>
      </c>
      <c r="C4" s="3">
        <v>0</v>
      </c>
      <c r="D4" s="70">
        <f ca="1">A4-B4+C4</f>
        <v>146000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103"/>
      <c r="D8" s="96"/>
      <c r="E8" s="104"/>
      <c r="F8" s="96"/>
      <c r="G8" s="103"/>
      <c r="H8" s="96"/>
      <c r="I8" s="10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9"/>
      <c r="G14" s="101"/>
      <c r="H14" s="10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1"/>
  <dimension ref="A1:AD33"/>
  <sheetViews>
    <sheetView zoomScale="115" zoomScaleNormal="115" workbookViewId="0">
      <selection activeCell="D1" sqref="D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89</v>
      </c>
      <c r="B2" s="49">
        <f ca="1">INDEX(data!I2:I91,MATCH(A2*1,data!G2:G91,0))</f>
        <v>46273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147600</v>
      </c>
      <c r="B4" s="34">
        <f>SUM(F2:F4)</f>
        <v>0</v>
      </c>
      <c r="C4" s="3">
        <v>0</v>
      </c>
      <c r="D4" s="70">
        <f ca="1">A4-B4+C4</f>
        <v>147600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96"/>
      <c r="D8" s="103"/>
      <c r="E8" s="96"/>
      <c r="F8" s="104"/>
      <c r="G8" s="3"/>
      <c r="H8" s="96"/>
      <c r="I8" s="96"/>
      <c r="J8" s="10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96"/>
      <c r="D11" s="96"/>
      <c r="E11" s="96"/>
      <c r="F11" s="96"/>
      <c r="G11" s="96"/>
      <c r="H11" s="96"/>
      <c r="I11" s="96"/>
      <c r="J11" s="10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2"/>
  <dimension ref="A1:AD33"/>
  <sheetViews>
    <sheetView zoomScale="115" zoomScaleNormal="115" workbookViewId="0">
      <selection activeCell="AB1" sqref="AB1"/>
    </sheetView>
  </sheetViews>
  <sheetFormatPr defaultRowHeight="15"/>
  <cols>
    <col min="2" max="2" width="11.85546875" customWidth="1"/>
    <col min="3" max="27" width="5.7109375" customWidth="1"/>
    <col min="28" max="28" width="10.7109375" bestFit="1" customWidth="1"/>
  </cols>
  <sheetData>
    <row r="1" spans="1:30" ht="30" customHeight="1">
      <c r="A1" s="46" t="s">
        <v>0</v>
      </c>
      <c r="B1" s="48" t="s">
        <v>1</v>
      </c>
      <c r="C1" s="66" t="str">
        <f ca="1">HYPERLINK("#" &amp; (A2-1) &amp; "!A1", "昨日")</f>
        <v>昨日</v>
      </c>
      <c r="D1" s="66" t="str">
        <f ca="1">HYPERLINK("#" &amp;(A2+1)&amp; "!A1","明日")</f>
        <v>明日</v>
      </c>
      <c r="E1" s="29"/>
      <c r="F1" s="39" t="s">
        <v>64</v>
      </c>
      <c r="G1" s="72" t="s">
        <v>65</v>
      </c>
      <c r="H1" s="39" t="s">
        <v>66</v>
      </c>
      <c r="I1" s="40" t="s">
        <v>67</v>
      </c>
      <c r="J1" s="74" t="s">
        <v>68</v>
      </c>
      <c r="AB1" s="78" t="str">
        <f>HYPERLINK("#Main!A1", "总表")</f>
        <v>总表</v>
      </c>
      <c r="AC1" s="44" t="str">
        <f ca="1">IF(MIN(H2:H4)&lt;0, "行动不足", "")</f>
        <v/>
      </c>
      <c r="AD1" s="44" t="str">
        <f ca="1">IF(D4&lt;0, "粮草不足", "")</f>
        <v/>
      </c>
    </row>
    <row r="2" spans="1:30" ht="15.75" customHeight="1" thickBot="1">
      <c r="A2" s="47" t="str">
        <f t="array" aca="1" ref="A2" ca="1">MID(CELL("filename",A4),FIND("]",CELL("filename",A4))+1,255)</f>
        <v>90</v>
      </c>
      <c r="B2" s="49">
        <f ca="1">INDEX(data!I2:I91,MATCH(A2*1,data!G2:G91,0))</f>
        <v>46274</v>
      </c>
      <c r="E2" s="42" t="s">
        <v>69</v>
      </c>
      <c r="F2" s="3">
        <f>SUM(C9:AA9)</f>
        <v>0</v>
      </c>
      <c r="G2" s="3">
        <f>SUM(C10:AA10)</f>
        <v>0</v>
      </c>
      <c r="H2" s="3">
        <f t="array" aca="1" ref="H2" ca="1">MIN(18,INDIRECT("'"&amp;$A$2-1&amp;"'!I2")+6)</f>
        <v>18</v>
      </c>
      <c r="I2" s="32">
        <f t="array" aca="1" ref="I2" ca="1">H2-SUM(IFERROR(INDEX(data!$D$2:$D$27,MATCH(C8:AA8,data!$A$2:$A$27,0)),0))</f>
        <v>18</v>
      </c>
      <c r="J2" s="3">
        <f t="array" ref="J2">SUM(IFERROR(VALUE(MID(IF(LEFT(C8:AA8,1)="跳",C8:AA8,""),2,10)),0))</f>
        <v>0</v>
      </c>
      <c r="AC2" s="45"/>
    </row>
    <row r="3" spans="1:30">
      <c r="A3" s="36" t="s">
        <v>70</v>
      </c>
      <c r="B3" s="37" t="s">
        <v>64</v>
      </c>
      <c r="C3" s="74" t="s">
        <v>71</v>
      </c>
      <c r="D3" s="38" t="s">
        <v>72</v>
      </c>
      <c r="E3" s="43" t="s">
        <v>73</v>
      </c>
      <c r="F3" s="3">
        <f>SUM(C12:AA12)</f>
        <v>0</v>
      </c>
      <c r="G3" s="3">
        <f>SUM(C13:AA13)</f>
        <v>0</v>
      </c>
      <c r="H3" s="3">
        <f t="array" aca="1" ref="H3" ca="1">MIN(18,INDIRECT("'"&amp;$A$2-1&amp;"'!I3")+6)</f>
        <v>18</v>
      </c>
      <c r="I3" s="32">
        <f t="array" aca="1" ref="I3" ca="1">H3-SUM(IFERROR(INDEX(data!$D$2:$D$27,MATCH(C11:AA11,data!$A$2:$A$27,0)),0))</f>
        <v>18</v>
      </c>
      <c r="J3" s="3">
        <f t="array" ref="J3">SUM(IFERROR(VALUE(MID(IF(LEFT(C11:AA11,1)="跳",C11:AA11,""),2,10)),0))</f>
        <v>0</v>
      </c>
    </row>
    <row r="4" spans="1:30" ht="15.75" customHeight="1" thickBot="1">
      <c r="A4" s="33">
        <f t="array" aca="1" ref="A4" ca="1">INDIRECT("'"&amp;A2-1&amp;"'!D4")+1600</f>
        <v>149200</v>
      </c>
      <c r="B4" s="34">
        <f>SUM(F2:F4)</f>
        <v>0</v>
      </c>
      <c r="C4" s="3">
        <v>0</v>
      </c>
      <c r="D4" s="70">
        <f ca="1">A4-B4+C4</f>
        <v>149200</v>
      </c>
      <c r="E4" s="41" t="s">
        <v>74</v>
      </c>
      <c r="F4" s="34">
        <f>SUM(C15:AA15)</f>
        <v>0</v>
      </c>
      <c r="G4" s="3">
        <f>SUM(C16:AA16)</f>
        <v>0</v>
      </c>
      <c r="H4" s="3">
        <f t="array" aca="1" ref="H4" ca="1">MIN(18,INDIRECT("'"&amp;$A$2-1&amp;"'!I4")+6)</f>
        <v>18</v>
      </c>
      <c r="I4" s="35">
        <f t="array" aca="1" ref="I4" ca="1">H4-SUM(IFERROR(INDEX(data!$D$2:$D$27,MATCH(C14:AA14,data!$A$2:$A$27,0)),0))</f>
        <v>18</v>
      </c>
      <c r="J4" s="3">
        <f t="array" ref="J4">SUM(IFERROR(VALUE(MID(IF(LEFT(C14:AA14,1)="跳",C14:AA14,""),2,10)),0))</f>
        <v>0</v>
      </c>
    </row>
    <row r="5" spans="1:30">
      <c r="A5" s="71" t="s">
        <v>75</v>
      </c>
      <c r="B5" s="71" t="s">
        <v>65</v>
      </c>
      <c r="C5" s="74" t="s">
        <v>76</v>
      </c>
      <c r="D5" s="75" t="s">
        <v>10</v>
      </c>
    </row>
    <row r="6" spans="1:30">
      <c r="A6" s="3">
        <f t="array" aca="1" ref="A6" ca="1">INDIRECT("'"&amp;A2-1&amp;"'!D6")</f>
        <v>0</v>
      </c>
      <c r="B6" s="3">
        <f>SUM(G2:G4)</f>
        <v>0</v>
      </c>
      <c r="C6" s="3">
        <v>0</v>
      </c>
      <c r="D6" s="80">
        <f ca="1">A6+B6+C6</f>
        <v>0</v>
      </c>
      <c r="AC6" s="3" t="s">
        <v>4</v>
      </c>
      <c r="AD6" s="50">
        <v>1</v>
      </c>
    </row>
    <row r="7" spans="1:30" ht="15.75" customHeight="1" thickBot="1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C7" s="51" t="str">
        <f>_xlfn.CONCAT(AC6,AD6)</f>
        <v>跳1</v>
      </c>
      <c r="AD7" s="3"/>
    </row>
    <row r="8" spans="1:30">
      <c r="A8" s="108"/>
      <c r="B8" s="3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C8" s="96"/>
    </row>
    <row r="9" spans="1:30">
      <c r="A9" s="109"/>
      <c r="B9" s="3" t="s">
        <v>9</v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>0</v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>0</v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>0</v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>0</v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>0</v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>0</v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>0</v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>0</v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>0</v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>0</v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>0</v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>0</v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>0</v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>0</v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>0</v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>0</v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>0</v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>0</v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>0</v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>0</v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>0</v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>0</v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>0</v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>0</v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>0</v>
      </c>
      <c r="AC9" s="4" t="s">
        <v>23</v>
      </c>
    </row>
    <row r="10" spans="1:30" ht="15.75" customHeight="1" thickBot="1">
      <c r="A10" s="110"/>
      <c r="B10" s="34" t="s">
        <v>11</v>
      </c>
      <c r="C10" s="34">
        <f>IFERROR(INDEX(data!$C$2:$C$27,MATCH(C8,data!$A$2:$A$27,0)),0)</f>
        <v>0</v>
      </c>
      <c r="D10" s="34">
        <f>IFERROR(INDEX(data!$C$2:$C$27,MATCH(D8,data!$A$2:$A$27,0)),0)</f>
        <v>0</v>
      </c>
      <c r="E10" s="34">
        <f>IFERROR(INDEX(data!$C$2:$C$27,MATCH(E8,data!$A$2:$A$27,0)),0)</f>
        <v>0</v>
      </c>
      <c r="F10" s="34">
        <f>IFERROR(INDEX(data!$C$2:$C$27,MATCH(F8,data!$A$2:$A$27,0)),0)</f>
        <v>0</v>
      </c>
      <c r="G10" s="34">
        <f>IFERROR(INDEX(data!$C$2:$C$27,MATCH(G8,data!$A$2:$A$27,0)),0)</f>
        <v>0</v>
      </c>
      <c r="H10" s="34">
        <f>IFERROR(INDEX(data!$C$2:$C$27,MATCH(H8,data!$A$2:$A$27,0)),0)</f>
        <v>0</v>
      </c>
      <c r="I10" s="34">
        <f>IFERROR(INDEX(data!$C$2:$C$27,MATCH(I8,data!$A$2:$A$27,0)),0)</f>
        <v>0</v>
      </c>
      <c r="J10" s="34">
        <f>IFERROR(INDEX(data!$C$2:$C$27,MATCH(J8,data!$A$2:$A$27,0)),0)</f>
        <v>0</v>
      </c>
      <c r="K10" s="34">
        <f>IFERROR(INDEX(data!$C$2:$C$27,MATCH(K8,data!$A$2:$A$27,0)),0)</f>
        <v>0</v>
      </c>
      <c r="L10" s="34">
        <f>IFERROR(INDEX(data!$C$2:$C$27,MATCH(L8,data!$A$2:$A$27,0)),0)</f>
        <v>0</v>
      </c>
      <c r="M10" s="34">
        <f>IFERROR(INDEX(data!$C$2:$C$27,MATCH(M8,data!$A$2:$A$27,0)),0)</f>
        <v>0</v>
      </c>
      <c r="N10" s="34">
        <f>IFERROR(INDEX(data!$C$2:$C$27,MATCH(N8,data!$A$2:$A$27,0)),0)</f>
        <v>0</v>
      </c>
      <c r="O10" s="34">
        <f>IFERROR(INDEX(data!$C$2:$C$27,MATCH(O8,data!$A$2:$A$27,0)),0)</f>
        <v>0</v>
      </c>
      <c r="P10" s="34">
        <f>IFERROR(INDEX(data!$C$2:$C$27,MATCH(P8,data!$A$2:$A$27,0)),0)</f>
        <v>0</v>
      </c>
      <c r="Q10" s="34">
        <f>IFERROR(INDEX(data!$C$2:$C$27,MATCH(Q8,data!$A$2:$A$27,0)),0)</f>
        <v>0</v>
      </c>
      <c r="R10" s="34">
        <f>IFERROR(INDEX(data!$C$2:$C$27,MATCH(R8,data!$A$2:$A$27,0)),0)</f>
        <v>0</v>
      </c>
      <c r="S10" s="34">
        <f>IFERROR(INDEX(data!$C$2:$C$27,MATCH(S8,data!$A$2:$A$27,0)),0)</f>
        <v>0</v>
      </c>
      <c r="T10" s="34">
        <f>IFERROR(INDEX(data!$C$2:$C$27,MATCH(T8,data!$A$2:$A$27,0)),0)</f>
        <v>0</v>
      </c>
      <c r="U10" s="34">
        <f>IFERROR(INDEX(data!$C$2:$C$27,MATCH(U8,data!$A$2:$A$27,0)),0)</f>
        <v>0</v>
      </c>
      <c r="V10" s="34">
        <f>IFERROR(INDEX(data!$C$2:$C$27,MATCH(V8,data!$A$2:$A$27,0)),0)</f>
        <v>0</v>
      </c>
      <c r="W10" s="34">
        <f>IFERROR(INDEX(data!$C$2:$C$27,MATCH(W8,data!$A$2:$A$27,0)),0)</f>
        <v>0</v>
      </c>
      <c r="X10" s="34">
        <f>IFERROR(INDEX(data!$C$2:$C$27,MATCH(X8,data!$A$2:$A$27,0)),0)</f>
        <v>0</v>
      </c>
      <c r="Y10" s="34">
        <f>IFERROR(INDEX(data!$C$2:$C$27,MATCH(Y8,data!$A$2:$A$27,0)),0)</f>
        <v>0</v>
      </c>
      <c r="Z10" s="34">
        <f>IFERROR(INDEX(data!$C$2:$C$27,MATCH(Z8,data!$A$2:$A$27,0)),0)</f>
        <v>0</v>
      </c>
      <c r="AA10" s="34">
        <f>IFERROR(INDEX(data!$C$2:$C$27,MATCH(AA8,data!$A$2:$A$27,0)),0)</f>
        <v>0</v>
      </c>
      <c r="AC10" s="6" t="s">
        <v>26</v>
      </c>
    </row>
    <row r="11" spans="1:30">
      <c r="A11" s="108"/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 s="96"/>
    </row>
    <row r="12" spans="1:30">
      <c r="A12" s="109"/>
      <c r="B12" s="3" t="s">
        <v>9</v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>0</v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>0</v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>0</v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>0</v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>0</v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>0</v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>0</v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>0</v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>0</v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>0</v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>0</v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>0</v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>0</v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>0</v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>0</v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>0</v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>0</v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>0</v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>0</v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>0</v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>0</v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>0</v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>0</v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>0</v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>0</v>
      </c>
      <c r="AC12" s="8" t="s">
        <v>21</v>
      </c>
    </row>
    <row r="13" spans="1:30" ht="15.75" customHeight="1" thickBot="1">
      <c r="A13" s="110"/>
      <c r="B13" s="34" t="s">
        <v>11</v>
      </c>
      <c r="C13" s="34">
        <f>IFERROR(INDEX(data!$C$2:$C$27,MATCH(C11,data!$A$2:$A$27,0)),0)</f>
        <v>0</v>
      </c>
      <c r="D13" s="34">
        <f>IFERROR(INDEX(data!$C$2:$C$27,MATCH(D11,data!$A$2:$A$27,0)),0)</f>
        <v>0</v>
      </c>
      <c r="E13" s="34">
        <f>IFERROR(INDEX(data!$C$2:$C$27,MATCH(E11,data!$A$2:$A$27,0)),0)</f>
        <v>0</v>
      </c>
      <c r="F13" s="34">
        <f>IFERROR(INDEX(data!$C$2:$C$27,MATCH(F11,data!$A$2:$A$27,0)),0)</f>
        <v>0</v>
      </c>
      <c r="G13" s="34">
        <f>IFERROR(INDEX(data!$C$2:$C$27,MATCH(G11,data!$A$2:$A$27,0)),0)</f>
        <v>0</v>
      </c>
      <c r="H13" s="34">
        <f>IFERROR(INDEX(data!$C$2:$C$27,MATCH(H11,data!$A$2:$A$27,0)),0)</f>
        <v>0</v>
      </c>
      <c r="I13" s="34">
        <f>IFERROR(INDEX(data!$C$2:$C$27,MATCH(I11,data!$A$2:$A$27,0)),0)</f>
        <v>0</v>
      </c>
      <c r="J13" s="34">
        <f>IFERROR(INDEX(data!$C$2:$C$27,MATCH(J11,data!$A$2:$A$27,0)),0)</f>
        <v>0</v>
      </c>
      <c r="K13" s="34">
        <f>IFERROR(INDEX(data!$C$2:$C$27,MATCH(K11,data!$A$2:$A$27,0)),0)</f>
        <v>0</v>
      </c>
      <c r="L13" s="34">
        <f>IFERROR(INDEX(data!$C$2:$C$27,MATCH(L11,data!$A$2:$A$27,0)),0)</f>
        <v>0</v>
      </c>
      <c r="M13" s="34">
        <f>IFERROR(INDEX(data!$C$2:$C$27,MATCH(M11,data!$A$2:$A$27,0)),0)</f>
        <v>0</v>
      </c>
      <c r="N13" s="34">
        <f>IFERROR(INDEX(data!$C$2:$C$27,MATCH(N11,data!$A$2:$A$27,0)),0)</f>
        <v>0</v>
      </c>
      <c r="O13" s="34">
        <f>IFERROR(INDEX(data!$C$2:$C$27,MATCH(O11,data!$A$2:$A$27,0)),0)</f>
        <v>0</v>
      </c>
      <c r="P13" s="34">
        <f>IFERROR(INDEX(data!$C$2:$C$27,MATCH(P11,data!$A$2:$A$27,0)),0)</f>
        <v>0</v>
      </c>
      <c r="Q13" s="34">
        <f>IFERROR(INDEX(data!$C$2:$C$27,MATCH(Q11,data!$A$2:$A$27,0)),0)</f>
        <v>0</v>
      </c>
      <c r="R13" s="34">
        <f>IFERROR(INDEX(data!$C$2:$C$27,MATCH(R11,data!$A$2:$A$27,0)),0)</f>
        <v>0</v>
      </c>
      <c r="S13" s="34">
        <f>IFERROR(INDEX(data!$C$2:$C$27,MATCH(S11,data!$A$2:$A$27,0)),0)</f>
        <v>0</v>
      </c>
      <c r="T13" s="34">
        <f>IFERROR(INDEX(data!$C$2:$C$27,MATCH(T11,data!$A$2:$A$27,0)),0)</f>
        <v>0</v>
      </c>
      <c r="U13" s="34">
        <f>IFERROR(INDEX(data!$C$2:$C$27,MATCH(U11,data!$A$2:$A$27,0)),0)</f>
        <v>0</v>
      </c>
      <c r="V13" s="34">
        <f>IFERROR(INDEX(data!$C$2:$C$27,MATCH(V11,data!$A$2:$A$27,0)),0)</f>
        <v>0</v>
      </c>
      <c r="W13" s="34">
        <f>IFERROR(INDEX(data!$C$2:$C$27,MATCH(W11,data!$A$2:$A$27,0)),0)</f>
        <v>0</v>
      </c>
      <c r="X13" s="34">
        <f>IFERROR(INDEX(data!$C$2:$C$27,MATCH(X11,data!$A$2:$A$27,0)),0)</f>
        <v>0</v>
      </c>
      <c r="Y13" s="34">
        <f>IFERROR(INDEX(data!$C$2:$C$27,MATCH(Y11,data!$A$2:$A$27,0)),0)</f>
        <v>0</v>
      </c>
      <c r="Z13" s="34">
        <f>IFERROR(INDEX(data!$C$2:$C$27,MATCH(Z11,data!$A$2:$A$27,0)),0)</f>
        <v>0</v>
      </c>
      <c r="AA13" s="34">
        <f>IFERROR(INDEX(data!$C$2:$C$27,MATCH(AA11,data!$A$2:$A$27,0)),0)</f>
        <v>0</v>
      </c>
      <c r="AC13" s="9" t="s">
        <v>28</v>
      </c>
    </row>
    <row r="14" spans="1:30">
      <c r="A14" s="108"/>
      <c r="B14" s="30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C14" s="97"/>
    </row>
    <row r="15" spans="1:30">
      <c r="A15" s="109"/>
      <c r="B15" s="3" t="s">
        <v>9</v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>0</v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>0</v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>0</v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>0</v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>0</v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>0</v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>0</v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>0</v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>0</v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>0</v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>0</v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>0</v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>0</v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>0</v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>0</v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>0</v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>0</v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>0</v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>0</v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>0</v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>0</v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>0</v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>0</v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>0</v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>0</v>
      </c>
      <c r="AC15" s="11" t="s">
        <v>30</v>
      </c>
    </row>
    <row r="16" spans="1:30" ht="15.75" customHeight="1" thickBot="1">
      <c r="A16" s="110"/>
      <c r="B16" s="34" t="s">
        <v>11</v>
      </c>
      <c r="C16" s="34">
        <f>IFERROR(INDEX(data!$C$2:$C$27,MATCH(C14,data!$A$2:$A$27,0)),0)</f>
        <v>0</v>
      </c>
      <c r="D16" s="34">
        <f>IFERROR(INDEX(data!$C$2:$C$27,MATCH(D14,data!$A$2:$A$27,0)),0)</f>
        <v>0</v>
      </c>
      <c r="E16" s="34">
        <f>IFERROR(INDEX(data!$C$2:$C$27,MATCH(E14,data!$A$2:$A$27,0)),0)</f>
        <v>0</v>
      </c>
      <c r="F16" s="34">
        <f>IFERROR(INDEX(data!$C$2:$C$27,MATCH(F14,data!$A$2:$A$27,0)),0)</f>
        <v>0</v>
      </c>
      <c r="G16" s="34">
        <f>IFERROR(INDEX(data!$C$2:$C$27,MATCH(G14,data!$A$2:$A$27,0)),0)</f>
        <v>0</v>
      </c>
      <c r="H16" s="34">
        <f>IFERROR(INDEX(data!$C$2:$C$27,MATCH(H14,data!$A$2:$A$27,0)),0)</f>
        <v>0</v>
      </c>
      <c r="I16" s="34">
        <f>IFERROR(INDEX(data!$C$2:$C$27,MATCH(I14,data!$A$2:$A$27,0)),0)</f>
        <v>0</v>
      </c>
      <c r="J16" s="34">
        <f>IFERROR(INDEX(data!$C$2:$C$27,MATCH(J14,data!$A$2:$A$27,0)),0)</f>
        <v>0</v>
      </c>
      <c r="K16" s="34">
        <f>IFERROR(INDEX(data!$C$2:$C$27,MATCH(K14,data!$A$2:$A$27,0)),0)</f>
        <v>0</v>
      </c>
      <c r="L16" s="34">
        <f>IFERROR(INDEX(data!$C$2:$C$27,MATCH(L14,data!$A$2:$A$27,0)),0)</f>
        <v>0</v>
      </c>
      <c r="M16" s="34">
        <f>IFERROR(INDEX(data!$C$2:$C$27,MATCH(M14,data!$A$2:$A$27,0)),0)</f>
        <v>0</v>
      </c>
      <c r="N16" s="34">
        <f>IFERROR(INDEX(data!$C$2:$C$27,MATCH(N14,data!$A$2:$A$27,0)),0)</f>
        <v>0</v>
      </c>
      <c r="O16" s="34">
        <f>IFERROR(INDEX(data!$C$2:$C$27,MATCH(O14,data!$A$2:$A$27,0)),0)</f>
        <v>0</v>
      </c>
      <c r="P16" s="34">
        <f>IFERROR(INDEX(data!$C$2:$C$27,MATCH(P14,data!$A$2:$A$27,0)),0)</f>
        <v>0</v>
      </c>
      <c r="Q16" s="34">
        <f>IFERROR(INDEX(data!$C$2:$C$27,MATCH(Q14,data!$A$2:$A$27,0)),0)</f>
        <v>0</v>
      </c>
      <c r="R16" s="34">
        <f>IFERROR(INDEX(data!$C$2:$C$27,MATCH(R14,data!$A$2:$A$27,0)),0)</f>
        <v>0</v>
      </c>
      <c r="S16" s="34">
        <f>IFERROR(INDEX(data!$C$2:$C$27,MATCH(S14,data!$A$2:$A$27,0)),0)</f>
        <v>0</v>
      </c>
      <c r="T16" s="34">
        <f>IFERROR(INDEX(data!$C$2:$C$27,MATCH(T14,data!$A$2:$A$27,0)),0)</f>
        <v>0</v>
      </c>
      <c r="U16" s="34">
        <f>IFERROR(INDEX(data!$C$2:$C$27,MATCH(U14,data!$A$2:$A$27,0)),0)</f>
        <v>0</v>
      </c>
      <c r="V16" s="34">
        <f>IFERROR(INDEX(data!$C$2:$C$27,MATCH(V14,data!$A$2:$A$27,0)),0)</f>
        <v>0</v>
      </c>
      <c r="W16" s="34">
        <f>IFERROR(INDEX(data!$C$2:$C$27,MATCH(W14,data!$A$2:$A$27,0)),0)</f>
        <v>0</v>
      </c>
      <c r="X16" s="34">
        <f>IFERROR(INDEX(data!$C$2:$C$27,MATCH(X14,data!$A$2:$A$27,0)),0)</f>
        <v>0</v>
      </c>
      <c r="Y16" s="34">
        <f>IFERROR(INDEX(data!$C$2:$C$27,MATCH(Y14,data!$A$2:$A$27,0)),0)</f>
        <v>0</v>
      </c>
      <c r="Z16" s="34">
        <f>IFERROR(INDEX(data!$C$2:$C$27,MATCH(Z14,data!$A$2:$A$27,0)),0)</f>
        <v>0</v>
      </c>
      <c r="AA16" s="34">
        <f>IFERROR(INDEX(data!$C$2:$C$27,MATCH(AA14,data!$A$2:$A$27,0)),0)</f>
        <v>0</v>
      </c>
      <c r="AC16" s="12" t="s">
        <v>32</v>
      </c>
    </row>
    <row r="17" spans="2:29">
      <c r="B17" s="1" t="s">
        <v>77</v>
      </c>
      <c r="C17" s="1" t="s">
        <v>80</v>
      </c>
      <c r="D17" s="1" t="s">
        <v>80</v>
      </c>
      <c r="E17" s="1" t="s">
        <v>80</v>
      </c>
      <c r="F17" s="1" t="s">
        <v>80</v>
      </c>
      <c r="G17" s="1" t="s">
        <v>80</v>
      </c>
      <c r="H17" s="1" t="s">
        <v>80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80</v>
      </c>
      <c r="U17" s="1" t="s">
        <v>80</v>
      </c>
      <c r="V17" s="1" t="s">
        <v>80</v>
      </c>
      <c r="W17" s="1" t="s">
        <v>80</v>
      </c>
      <c r="X17" s="1" t="s">
        <v>80</v>
      </c>
      <c r="Y17" s="1" t="s">
        <v>80</v>
      </c>
      <c r="Z17" s="1" t="s">
        <v>80</v>
      </c>
      <c r="AA17" s="1" t="s">
        <v>80</v>
      </c>
      <c r="AC17" s="13" t="s">
        <v>33</v>
      </c>
    </row>
    <row r="18" spans="2:29">
      <c r="AC18" s="14" t="s">
        <v>34</v>
      </c>
    </row>
    <row r="19" spans="2:29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C19" s="16" t="s">
        <v>35</v>
      </c>
    </row>
    <row r="20" spans="2:29">
      <c r="AC20" s="17" t="s">
        <v>39</v>
      </c>
    </row>
    <row r="21" spans="2:29">
      <c r="AC21" s="5" t="s">
        <v>41</v>
      </c>
    </row>
    <row r="22" spans="2:29">
      <c r="AC22" s="18" t="s">
        <v>43</v>
      </c>
    </row>
    <row r="23" spans="2:29">
      <c r="AC23" s="15" t="s">
        <v>29</v>
      </c>
    </row>
    <row r="24" spans="2:29">
      <c r="AC24" s="15" t="s">
        <v>46</v>
      </c>
    </row>
    <row r="25" spans="2:29">
      <c r="AC25" s="19" t="s">
        <v>79</v>
      </c>
    </row>
    <row r="26" spans="2:29">
      <c r="AC26" s="20" t="s">
        <v>25</v>
      </c>
    </row>
    <row r="27" spans="2:29">
      <c r="AC27" s="21" t="s">
        <v>22</v>
      </c>
    </row>
    <row r="28" spans="2:29">
      <c r="AC28" s="19" t="s">
        <v>52</v>
      </c>
    </row>
    <row r="29" spans="2:29">
      <c r="AC29" s="10" t="s">
        <v>53</v>
      </c>
    </row>
    <row r="30" spans="2:29">
      <c r="AC30" s="11" t="s">
        <v>55</v>
      </c>
    </row>
    <row r="31" spans="2:29">
      <c r="AC31" s="12" t="s">
        <v>57</v>
      </c>
    </row>
    <row r="32" spans="2:29">
      <c r="AC32" s="19" t="s">
        <v>59</v>
      </c>
    </row>
    <row r="33" spans="29:29">
      <c r="AC33" s="22" t="s">
        <v>24</v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main</vt:lpstr>
      <vt:lpstr>data</vt:lpstr>
      <vt:lpstr>1</vt:lpstr>
      <vt:lpstr>2</vt:lpstr>
      <vt:lpstr>3</vt:lpstr>
      <vt:lpstr>5</vt:lpstr>
      <vt:lpstr>4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2026-07-06T21:04:43Z</dcterms:modified>
</cp:coreProperties>
</file>